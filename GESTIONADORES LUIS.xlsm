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gaitanes\Desktop\LUIS GAITAN\"/>
    </mc:Choice>
  </mc:AlternateContent>
  <bookViews>
    <workbookView showSheetTabs="0" xWindow="0" yWindow="510" windowWidth="15600" windowHeight="6495" tabRatio="810" firstSheet="1" activeTab="1"/>
  </bookViews>
  <sheets>
    <sheet name="Hoja2" sheetId="2" state="hidden" r:id="rId1"/>
    <sheet name="GENERADOR DE NOTAS" sheetId="5" r:id="rId2"/>
    <sheet name="Hoja3" sheetId="6" r:id="rId3"/>
    <sheet name="CALCULOS MANUALES" sheetId="8" r:id="rId4"/>
    <sheet name="PROPORCIONADOR" sheetId="7" r:id="rId5"/>
    <sheet name="Consolidad Codigo" sheetId="4" r:id="rId6"/>
    <sheet name="COBRO EQUIPOS" sheetId="9" r:id="rId7"/>
    <sheet name="Hoja5" sheetId="10" r:id="rId8"/>
  </sheets>
  <definedNames>
    <definedName name="_xlnm._FilterDatabase" localSheetId="5" hidden="1">'Consolidad Codigo'!$E$11:$G$55</definedName>
    <definedName name="LINKS">Hoja3!$D$3:$E$13</definedName>
    <definedName name="MOTIVOS">'GENERADOR DE NOTAS'!$P$5:$P$8</definedName>
    <definedName name="TIPOLOGIAS">Hoja3!$G$1:$G$22</definedName>
  </definedNames>
  <calcPr calcId="162913"/>
</workbook>
</file>

<file path=xl/calcChain.xml><?xml version="1.0" encoding="utf-8"?>
<calcChain xmlns="http://schemas.openxmlformats.org/spreadsheetml/2006/main">
  <c r="I21" i="9" l="1"/>
  <c r="I2" i="8" l="1"/>
  <c r="J25" i="9" l="1"/>
  <c r="E9" i="5" l="1"/>
  <c r="E12" i="5" l="1"/>
  <c r="E11" i="5"/>
  <c r="I10" i="9" l="1"/>
  <c r="T7" i="9" s="1"/>
  <c r="U12" i="7" l="1"/>
  <c r="U11" i="7"/>
  <c r="U10" i="7"/>
  <c r="U9" i="7"/>
  <c r="U8" i="7"/>
  <c r="U7" i="7"/>
  <c r="U6" i="7"/>
  <c r="M21" i="9" l="1"/>
  <c r="I9" i="9"/>
  <c r="J27" i="9" l="1"/>
  <c r="V6" i="7"/>
  <c r="W6" i="7" s="1"/>
  <c r="W12" i="7"/>
  <c r="W11" i="7"/>
  <c r="W10" i="7"/>
  <c r="W9" i="7"/>
  <c r="W8" i="7"/>
  <c r="W7" i="7"/>
  <c r="Y7" i="7"/>
  <c r="Y8" i="7"/>
  <c r="Y9" i="7"/>
  <c r="Y10" i="7"/>
  <c r="Y11" i="7"/>
  <c r="Y12" i="7"/>
  <c r="Y6" i="7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" i="6"/>
  <c r="G4" i="5"/>
  <c r="W13" i="7" l="1"/>
  <c r="X6" i="7" s="1"/>
  <c r="Z6" i="7" s="1"/>
  <c r="AA6" i="7" s="1"/>
  <c r="J15" i="7" s="1"/>
  <c r="X7" i="7" l="1"/>
  <c r="Z7" i="7" s="1"/>
  <c r="AA7" i="7" s="1"/>
  <c r="J16" i="7" s="1"/>
  <c r="X12" i="7"/>
  <c r="Z12" i="7" s="1"/>
  <c r="AA12" i="7" s="1"/>
  <c r="J21" i="7" s="1"/>
  <c r="X11" i="7"/>
  <c r="Z11" i="7" s="1"/>
  <c r="AA11" i="7" s="1"/>
  <c r="J20" i="7" s="1"/>
  <c r="X8" i="7"/>
  <c r="Z8" i="7" s="1"/>
  <c r="AA8" i="7" s="1"/>
  <c r="J17" i="7" s="1"/>
  <c r="X10" i="7"/>
  <c r="Z10" i="7" s="1"/>
  <c r="AA10" i="7" s="1"/>
  <c r="J19" i="7" s="1"/>
  <c r="AB6" i="7"/>
  <c r="N16" i="7" s="1"/>
  <c r="O16" i="7" s="1"/>
  <c r="X9" i="7"/>
  <c r="Z9" i="7" s="1"/>
  <c r="AA9" i="7" s="1"/>
  <c r="J18" i="7" s="1"/>
  <c r="AB8" i="7" l="1"/>
  <c r="N18" i="7" s="1"/>
  <c r="O18" i="7" s="1"/>
  <c r="AB11" i="7"/>
  <c r="N20" i="7" s="1"/>
  <c r="O20" i="7" s="1"/>
  <c r="AB10" i="7"/>
  <c r="N19" i="7" s="1"/>
  <c r="O19" i="7" s="1"/>
  <c r="AB7" i="7"/>
  <c r="N17" i="7" s="1"/>
  <c r="O17" i="7" s="1"/>
</calcChain>
</file>

<file path=xl/comments1.xml><?xml version="1.0" encoding="utf-8"?>
<comments xmlns="http://schemas.openxmlformats.org/spreadsheetml/2006/main">
  <authors>
    <author>Luis Angel Gaitan Esquivel</author>
  </authors>
  <commentList>
    <comment ref="D8" authorId="0" shapeId="0">
      <text>
        <r>
          <rPr>
            <b/>
            <sz val="9"/>
            <color indexed="81"/>
            <rFont val="Tahoma"/>
            <family val="2"/>
          </rPr>
          <t>INGRESAR LA RENTA EN LOS CAMPOS ILUMINADOS</t>
        </r>
      </text>
    </comment>
  </commentList>
</comments>
</file>

<file path=xl/sharedStrings.xml><?xml version="1.0" encoding="utf-8"?>
<sst xmlns="http://schemas.openxmlformats.org/spreadsheetml/2006/main" count="959" uniqueCount="752">
  <si>
    <t>CMA</t>
  </si>
  <si>
    <t>TAN</t>
  </si>
  <si>
    <t>TAI</t>
  </si>
  <si>
    <t>TAE</t>
  </si>
  <si>
    <t>TQN</t>
  </si>
  <si>
    <t>TQI</t>
  </si>
  <si>
    <t>TQE</t>
  </si>
  <si>
    <t>OAN</t>
  </si>
  <si>
    <t>OAI</t>
  </si>
  <si>
    <t>OAE</t>
  </si>
  <si>
    <t>OQN</t>
  </si>
  <si>
    <t>OQI</t>
  </si>
  <si>
    <t>OQE</t>
  </si>
  <si>
    <t>DAE</t>
  </si>
  <si>
    <t>DQE</t>
  </si>
  <si>
    <t>NMA</t>
  </si>
  <si>
    <t>NMQ</t>
  </si>
  <si>
    <t>ETELL</t>
  </si>
  <si>
    <t>COMCEL</t>
  </si>
  <si>
    <t>TELECOM</t>
  </si>
  <si>
    <t>ORBITEL</t>
  </si>
  <si>
    <t>ETP</t>
  </si>
  <si>
    <t>LMA</t>
  </si>
  <si>
    <t>LMQ</t>
  </si>
  <si>
    <t>EMTELSA</t>
  </si>
  <si>
    <t>RNA</t>
  </si>
  <si>
    <t>RNQ</t>
  </si>
  <si>
    <t>AVANTEL</t>
  </si>
  <si>
    <t>AMA</t>
  </si>
  <si>
    <t>AMQ</t>
  </si>
  <si>
    <t>MOVISTAR</t>
  </si>
  <si>
    <t>MMA</t>
  </si>
  <si>
    <t>MMQ</t>
  </si>
  <si>
    <t>TIGO</t>
  </si>
  <si>
    <t>OMA</t>
  </si>
  <si>
    <t>OMQ</t>
  </si>
  <si>
    <t>TELMEX</t>
  </si>
  <si>
    <t>HIA</t>
  </si>
  <si>
    <t>HAN</t>
  </si>
  <si>
    <t>HAE</t>
  </si>
  <si>
    <t>HQI</t>
  </si>
  <si>
    <t>HQN</t>
  </si>
  <si>
    <t>HQE</t>
  </si>
  <si>
    <t>INFRACEL</t>
  </si>
  <si>
    <t>IIA</t>
  </si>
  <si>
    <t>IIQ</t>
  </si>
  <si>
    <t>ETB</t>
  </si>
  <si>
    <t>EAN</t>
  </si>
  <si>
    <t>EAI</t>
  </si>
  <si>
    <t>EAE</t>
  </si>
  <si>
    <t>EQN</t>
  </si>
  <si>
    <t>EQI</t>
  </si>
  <si>
    <t>EQE</t>
  </si>
  <si>
    <t>EDATEL</t>
  </si>
  <si>
    <t>Local Extendida</t>
  </si>
  <si>
    <t>ESCARSA</t>
  </si>
  <si>
    <t>ZXI</t>
  </si>
  <si>
    <t>ZXA</t>
  </si>
  <si>
    <t>ZXB</t>
  </si>
  <si>
    <t>ZXC</t>
  </si>
  <si>
    <t>ZXD</t>
  </si>
  <si>
    <t>ZXE</t>
  </si>
  <si>
    <t>ZXL</t>
  </si>
  <si>
    <t>ZXP</t>
  </si>
  <si>
    <t>ZXO</t>
  </si>
  <si>
    <t>NO HAY</t>
  </si>
  <si>
    <t>ZXM</t>
  </si>
  <si>
    <t>ZXJ</t>
  </si>
  <si>
    <t>ZXK</t>
  </si>
  <si>
    <t>ZXN</t>
  </si>
  <si>
    <t>ZXG</t>
  </si>
  <si>
    <t>ZXH</t>
  </si>
  <si>
    <t>ZXF</t>
  </si>
  <si>
    <t>CQM</t>
  </si>
  <si>
    <t>TTI</t>
  </si>
  <si>
    <t>TTN</t>
  </si>
  <si>
    <t>TTE</t>
  </si>
  <si>
    <t>OTI</t>
  </si>
  <si>
    <t>OTN</t>
  </si>
  <si>
    <t>OTE</t>
  </si>
  <si>
    <t>ETI</t>
  </si>
  <si>
    <t>ETN</t>
  </si>
  <si>
    <t>CTQ</t>
  </si>
  <si>
    <t>MTQ</t>
  </si>
  <si>
    <t>OTQ</t>
  </si>
  <si>
    <t>DTQ</t>
  </si>
  <si>
    <t>ATQ</t>
  </si>
  <si>
    <t>BTQ</t>
  </si>
  <si>
    <t>LTQ</t>
  </si>
  <si>
    <t>NTQ</t>
  </si>
  <si>
    <t>AF8</t>
  </si>
  <si>
    <t>BUGATEL</t>
  </si>
  <si>
    <t>AF7</t>
  </si>
  <si>
    <t>SERVICIO</t>
  </si>
  <si>
    <t>OPERADORES</t>
  </si>
  <si>
    <t>RECLAMOS</t>
  </si>
  <si>
    <t>AF1</t>
  </si>
  <si>
    <t>AF2</t>
  </si>
  <si>
    <t>AF3</t>
  </si>
  <si>
    <t>AF4</t>
  </si>
  <si>
    <t>AF5</t>
  </si>
  <si>
    <t>AF6</t>
  </si>
  <si>
    <t>SERVICIO NO PRESTADO</t>
  </si>
  <si>
    <t>INDISPONIBILIDAD EN RED DEL CLIENTE</t>
  </si>
  <si>
    <t>INDISPONIBILIDAD MASIVA</t>
  </si>
  <si>
    <t>DEVOLUCION DE COBRO</t>
  </si>
  <si>
    <t>DESCONEXION TARDIA</t>
  </si>
  <si>
    <t>TARIFA O DESCUENTO MAL APLICADO</t>
  </si>
  <si>
    <t>DTV</t>
  </si>
  <si>
    <t>DTA</t>
  </si>
  <si>
    <t>DTT</t>
  </si>
  <si>
    <t>TNA</t>
  </si>
  <si>
    <t>INA</t>
  </si>
  <si>
    <t>VNA</t>
  </si>
  <si>
    <t>ETV</t>
  </si>
  <si>
    <t>ECR</t>
  </si>
  <si>
    <t>FTR</t>
  </si>
  <si>
    <t>FLC</t>
  </si>
  <si>
    <t>FIC</t>
  </si>
  <si>
    <t>FVC</t>
  </si>
  <si>
    <t>ATV</t>
  </si>
  <si>
    <t>ACR</t>
  </si>
  <si>
    <t>STR</t>
  </si>
  <si>
    <t>ARV</t>
  </si>
  <si>
    <t>ATA</t>
  </si>
  <si>
    <t>ARC</t>
  </si>
  <si>
    <t>ATR</t>
  </si>
  <si>
    <t>AVT</t>
  </si>
  <si>
    <t>ARR</t>
  </si>
  <si>
    <t>CRUCE DE SALDOS</t>
  </si>
  <si>
    <t>CSD</t>
  </si>
  <si>
    <t>CSC</t>
  </si>
  <si>
    <t>-</t>
  </si>
  <si>
    <t>COBRO DE PENALIDADES</t>
  </si>
  <si>
    <t>AMP</t>
  </si>
  <si>
    <t>AMR</t>
  </si>
  <si>
    <t>EQP</t>
  </si>
  <si>
    <t>IMPUESTOS</t>
  </si>
  <si>
    <t>IB1</t>
  </si>
  <si>
    <t>IB2</t>
  </si>
  <si>
    <t>IB3</t>
  </si>
  <si>
    <t>IB4</t>
  </si>
  <si>
    <t>IB5</t>
  </si>
  <si>
    <t>IB6</t>
  </si>
  <si>
    <t>IG1</t>
  </si>
  <si>
    <t>IG2</t>
  </si>
  <si>
    <t>IG3</t>
  </si>
  <si>
    <t>IG4</t>
  </si>
  <si>
    <t>IG5</t>
  </si>
  <si>
    <t>IG6</t>
  </si>
  <si>
    <t>IT1</t>
  </si>
  <si>
    <t>IT2</t>
  </si>
  <si>
    <t>IT3</t>
  </si>
  <si>
    <t>IT4</t>
  </si>
  <si>
    <t>IT5</t>
  </si>
  <si>
    <t>IT6</t>
  </si>
  <si>
    <t>IR1</t>
  </si>
  <si>
    <t>IR2</t>
  </si>
  <si>
    <t>IR3</t>
  </si>
  <si>
    <t>IR4</t>
  </si>
  <si>
    <t>IR5</t>
  </si>
  <si>
    <t>IR6</t>
  </si>
  <si>
    <t>IA1</t>
  </si>
  <si>
    <t>IA2</t>
  </si>
  <si>
    <t>IA3</t>
  </si>
  <si>
    <t>IA4</t>
  </si>
  <si>
    <t>IA5</t>
  </si>
  <si>
    <t>IA6</t>
  </si>
  <si>
    <t>IC1</t>
  </si>
  <si>
    <t>IC2</t>
  </si>
  <si>
    <t>IC3</t>
  </si>
  <si>
    <t>IC4</t>
  </si>
  <si>
    <t>IC5</t>
  </si>
  <si>
    <t>IC6</t>
  </si>
  <si>
    <t>E1</t>
  </si>
  <si>
    <t>E2</t>
  </si>
  <si>
    <t>E3</t>
  </si>
  <si>
    <t>E4</t>
  </si>
  <si>
    <t>E5</t>
  </si>
  <si>
    <t>E6</t>
  </si>
  <si>
    <t>SUBSIDIO</t>
  </si>
  <si>
    <t>AU1</t>
  </si>
  <si>
    <t>AU2</t>
  </si>
  <si>
    <t>ASUME TELMEX O CON CARGO A TELMEX</t>
  </si>
  <si>
    <t>ZXQ</t>
  </si>
  <si>
    <t>ZXR</t>
  </si>
  <si>
    <t>ZXS</t>
  </si>
  <si>
    <t>HTQ</t>
  </si>
  <si>
    <t>HMA</t>
  </si>
  <si>
    <t>HMQ</t>
  </si>
  <si>
    <t>IVA</t>
  </si>
  <si>
    <t>IMPUESTO NO APLICADO</t>
  </si>
  <si>
    <t>ADV</t>
  </si>
  <si>
    <t>DVP</t>
  </si>
  <si>
    <t>TIPOLOGIA</t>
  </si>
  <si>
    <t>FRAUDE O SUPLANTACION</t>
  </si>
  <si>
    <t>CODIGO</t>
  </si>
  <si>
    <t>OPERADOR</t>
  </si>
  <si>
    <t>COSTATEL</t>
  </si>
  <si>
    <t>JMA</t>
  </si>
  <si>
    <t>LVU</t>
  </si>
  <si>
    <t>LVE</t>
  </si>
  <si>
    <t>LVN</t>
  </si>
  <si>
    <t>INP</t>
  </si>
  <si>
    <t>TVP</t>
  </si>
  <si>
    <t>VZP</t>
  </si>
  <si>
    <t>PCR</t>
  </si>
  <si>
    <t>PTV</t>
  </si>
  <si>
    <t>APLICAR</t>
  </si>
  <si>
    <t>SIN IVA</t>
  </si>
  <si>
    <t>TOTAL</t>
  </si>
  <si>
    <t>ZOB</t>
  </si>
  <si>
    <t>AJUSTES ESPECIALES</t>
  </si>
  <si>
    <t>CUADRO DE CONVENCIONES</t>
  </si>
  <si>
    <t>TIPO FACTURA</t>
  </si>
  <si>
    <t>*</t>
  </si>
  <si>
    <t>Estos codigos se deben aplicar antes de IVA</t>
  </si>
  <si>
    <t>RENTA PROPORCIO EN CONTRA POR RX MORA</t>
  </si>
  <si>
    <t>CODIGOS DE AJUSTE DEFINITIVO</t>
  </si>
  <si>
    <t>RF</t>
  </si>
  <si>
    <t>NRF</t>
  </si>
  <si>
    <t>OPERADORES QUE  NO RE FACTURAN (OPERADOR DEFINE)</t>
  </si>
  <si>
    <t>OPERADORES QUE RE FACTURAN (AJUSTE INMEDIATO)</t>
  </si>
  <si>
    <t>CODIGOS DE AJUSTE NUEVOS</t>
  </si>
  <si>
    <t>Los codigos de Impuesto se aplican por el valor TOTAL</t>
  </si>
  <si>
    <t>A13</t>
  </si>
  <si>
    <t xml:space="preserve">Estos codigos deben ser aplicados antes del IVA </t>
  </si>
  <si>
    <t>IMPUESTO BELLO</t>
  </si>
  <si>
    <t>IMPUESTO ENVIGADO</t>
  </si>
  <si>
    <t>IMPUESTO MEDELLIN</t>
  </si>
  <si>
    <t>IMPUESTO RIONEGRO</t>
  </si>
  <si>
    <t>IMPUESTO SABANETA</t>
  </si>
  <si>
    <t>IMPUESTO CARTAGENA</t>
  </si>
  <si>
    <t>CONTRIBUCION</t>
  </si>
  <si>
    <t>AO6</t>
  </si>
  <si>
    <t>AO5</t>
  </si>
  <si>
    <t>RACLAMO PROVISIONAL COMCEL</t>
  </si>
  <si>
    <t>RECLAMO DEFINITIVO COMCEL</t>
  </si>
  <si>
    <t>RECLAMO PROVISIONAL TELECOM LDN</t>
  </si>
  <si>
    <t>RECLAMO PROVISIONAL TELECOM LDI</t>
  </si>
  <si>
    <t>RECLAMO PROVISIONAL TELECOM LE</t>
  </si>
  <si>
    <t>RECLAMO DEFINITIVO TELECOM LDN</t>
  </si>
  <si>
    <t>RECLAMO DEFINITIVO TELECOM LDI</t>
  </si>
  <si>
    <t>RECLAMO DEFINITIVO TELECOM LE</t>
  </si>
  <si>
    <t>RECLAMO PROVISIONAL ORBITEL LDN</t>
  </si>
  <si>
    <t>RECLAMO PROVISIONAL ORBITEL LDI</t>
  </si>
  <si>
    <t>RECLAMO PROVISIONAL ORBITEL LE</t>
  </si>
  <si>
    <t>RECLAMO DEFINITIVO ORBITEL LDN</t>
  </si>
  <si>
    <t>RECLAMO DEFINITIVO ORBITEL LDI</t>
  </si>
  <si>
    <t>RECLAMO DEFINITIVO ORBITEL LE</t>
  </si>
  <si>
    <t>RECLAMO PROVISIONAL EDATEL LE</t>
  </si>
  <si>
    <t>RECLAMO DEFINITIVO EDATEL LE</t>
  </si>
  <si>
    <t>RECLAMO PROVISIONAL ETELL LE</t>
  </si>
  <si>
    <t>RECLAMO DEFINITIVO ETELL LE</t>
  </si>
  <si>
    <t>RECLAMO PROVISIONAL ETP LE</t>
  </si>
  <si>
    <t>RECLAMO DEFINITIVO ETP LE</t>
  </si>
  <si>
    <t>RECLAMO PROVISIONAL EMTELSA LE</t>
  </si>
  <si>
    <t>RECLAMO DEFINITIVO EMTELSA LE</t>
  </si>
  <si>
    <t>RECLAMO PROVISIONAL AVANTEL</t>
  </si>
  <si>
    <t>RECLAMO DEFINITIVO AVANTEL</t>
  </si>
  <si>
    <t>RECLAMO PROVISIONAL MOVISTAR</t>
  </si>
  <si>
    <t>RECLAMO DEFINITIVO MOVISTAR</t>
  </si>
  <si>
    <t>RECLAMO PROVISIONAL TIGO</t>
  </si>
  <si>
    <t>RECLAMO DEFINITIVO TIGO</t>
  </si>
  <si>
    <t>RECLAMO PROVISIONAL TELMEX LDN</t>
  </si>
  <si>
    <t>RECLAMO PROVISIONAL TELMEX LDI</t>
  </si>
  <si>
    <t>RECLAMO PROVISIONAL TELMEX LE</t>
  </si>
  <si>
    <t>RECLAMO DEFINITIVO TELMEX LDN</t>
  </si>
  <si>
    <t>RECLAMO DEFINITIVO TELMEX LDI</t>
  </si>
  <si>
    <t>RECLAMO DEFINITIVO TELMEX LE</t>
  </si>
  <si>
    <t>RECLAMO PROVISIONAL INFRACEL LDI</t>
  </si>
  <si>
    <t>RECLAMO DEFINITIVO INFRACEL LDI</t>
  </si>
  <si>
    <t>RECLAMO PROVISIONAL ETB LDN</t>
  </si>
  <si>
    <t>RECLAMO PROVISIONAL ETB LDI</t>
  </si>
  <si>
    <t>RECLAMO PROVISIONAL ETB LE</t>
  </si>
  <si>
    <t>RECLAMO DEFINITIVO ETB LDN</t>
  </si>
  <si>
    <t>RECLAMO DEFINITIVO ETB LDI</t>
  </si>
  <si>
    <t>RECLAMO DEFINITIVO ETB LE</t>
  </si>
  <si>
    <t>RECLAMO PROVISIONAL ESCARSA LE</t>
  </si>
  <si>
    <t>RECLAMO DEFINITIVO ESCARSA LE</t>
  </si>
  <si>
    <t>RECLAMO DEFINITIVO COSTATEL LE</t>
  </si>
  <si>
    <t>DESCRIPCION</t>
  </si>
  <si>
    <t>FRAUDE LLAMADAS COMCEL</t>
  </si>
  <si>
    <t>FRAUDE LLAMADAS TELECOM LDI</t>
  </si>
  <si>
    <t>FRAUDE LLAMADAS TELECOM LDN</t>
  </si>
  <si>
    <t>FRAUDE LLAMADAS TELECOM LE</t>
  </si>
  <si>
    <t xml:space="preserve"> FRAUDE LLAMADAS ORBITEL LDI</t>
  </si>
  <si>
    <t>FRAUDE LLAMADAS ORBITEL LDN</t>
  </si>
  <si>
    <t>FRAUDE LLAMADAS ORBITEL LE</t>
  </si>
  <si>
    <t>FRAUDE LLAMADAS EDATEL LE</t>
  </si>
  <si>
    <t>FRAUDE LLAMADAS ETELL LE</t>
  </si>
  <si>
    <t>FRAUDE LLAMADAS ETP LE</t>
  </si>
  <si>
    <t>FRAUDE LLAMADAS AVANTEL</t>
  </si>
  <si>
    <t>FRAUDE LLAMADAS MOVISTAR</t>
  </si>
  <si>
    <t>FRAUDE LLAMADAS TIGO</t>
  </si>
  <si>
    <t>FRAUDE LLAMADAS TELMEX LDI</t>
  </si>
  <si>
    <t>FRAUDE LLAMADAS TELMEX LDN</t>
  </si>
  <si>
    <t>FRAUDE LLAMADAS TELMEX LE</t>
  </si>
  <si>
    <t>FRAUDE LLAMADAS BUGATEL LE</t>
  </si>
  <si>
    <t>FRAUDE LLAMADAS ETB LDI</t>
  </si>
  <si>
    <t>FRAUDE LLAMADAS ETB LDN</t>
  </si>
  <si>
    <t>FRAUDE LLAMADAS ETB LE</t>
  </si>
  <si>
    <t>FRAUDE LLAMADAS INFRACEL</t>
  </si>
  <si>
    <t>RECLAMO LLAMADAS LINEA 113</t>
  </si>
  <si>
    <t>DEFINITIVO ASUME TELMEX TELECOM LDI</t>
  </si>
  <si>
    <t>DEFINITIVO ASUME TELMEX TELECOM LDN</t>
  </si>
  <si>
    <t>DEFINITIVO ASUME TELMEX TELECOM LE</t>
  </si>
  <si>
    <t>DEFINITIVO ASUME TELMEX ORBITEL LDI</t>
  </si>
  <si>
    <t>DEFINITIVO ASUME TELMEX ORBITEL LDN</t>
  </si>
  <si>
    <t xml:space="preserve">DEFINITIVO ASUME TELMEX ORBITEL LE </t>
  </si>
  <si>
    <t xml:space="preserve">DEFINITIVO ASUME TELMEX ETB LDI </t>
  </si>
  <si>
    <t xml:space="preserve">DEFINITIVO ASUME TELMEX ETB LDN </t>
  </si>
  <si>
    <t xml:space="preserve">DEFINITIVO ASUME TELMEX COMCEL </t>
  </si>
  <si>
    <t xml:space="preserve">DEFINITIVO ASUME TELMEX MOVISTAR </t>
  </si>
  <si>
    <t xml:space="preserve">DEFINITIVO ASUME TELMEX TIGO </t>
  </si>
  <si>
    <t xml:space="preserve">DEFINITIVO ASUME TELMEX EDATEL LE </t>
  </si>
  <si>
    <t xml:space="preserve">DEFINITIVO ASUME TELMEX AVANTEL </t>
  </si>
  <si>
    <t xml:space="preserve">DEFINITIVO ASUME TELMEX BUGATEL LE </t>
  </si>
  <si>
    <t xml:space="preserve">DEFINITIVO ASUME TELMEX ETP LE </t>
  </si>
  <si>
    <t xml:space="preserve">DEFINITIVO ASUME TELMEX ETEL LE </t>
  </si>
  <si>
    <t>DEFINITIVO ASUME TELMEX ESCARSA LE</t>
  </si>
  <si>
    <t>REFERIDOS</t>
  </si>
  <si>
    <t>DESCONEXION TARDIA DE TELEVISION</t>
  </si>
  <si>
    <t>DESCONEXION TARDIA DE INTERNET</t>
  </si>
  <si>
    <t>DESCONEXION TARDIA DE TELEFONIA*</t>
  </si>
  <si>
    <t>DIAS SIN TV POR VISITA NO AGENDADA</t>
  </si>
  <si>
    <t>SIN INTERNET VISITA NO AGENDADA</t>
  </si>
  <si>
    <t>SIN TELEFONIA* VISITA NO AGENDADA</t>
  </si>
  <si>
    <t>ERROR EN FACTURACION DE TELEVISION</t>
  </si>
  <si>
    <t>ERROR EN FACTURACION DE INTERNET</t>
  </si>
  <si>
    <t>ERROR EN FACTURACION DE TELEFONIA*</t>
  </si>
  <si>
    <t>DESCUENTO EN TELEVISION REFERIDO</t>
  </si>
  <si>
    <t>DESCUENTO EN INTERNET REFERIDO</t>
  </si>
  <si>
    <t>FALLA TV EN VIVIENDA DEL CLIENTE</t>
  </si>
  <si>
    <t>FALLA INTERNET VIVIENDA DEL CLIENTE</t>
  </si>
  <si>
    <t>FALLA TELEFONIA* VIVIENDA CLIENTE</t>
  </si>
  <si>
    <t>FALLA MASIVA DE TELEVISION</t>
  </si>
  <si>
    <t>FALLA MASIVA DE INTERNET</t>
  </si>
  <si>
    <t>FALLA MASIVA DE TELEFONIA*</t>
  </si>
  <si>
    <t>FRAUDE CARGO FIJO DE TELEVISION</t>
  </si>
  <si>
    <t>FRAUDE CARGO FIJO DE INTERNET</t>
  </si>
  <si>
    <t>FRAUDE CARGO FIJO DE TELEFONIA*</t>
  </si>
  <si>
    <t>FRAUDE POR CONSUMOS DE PPV</t>
  </si>
  <si>
    <t>FRAUDE CARGO FIJO REVISTA 15MINUTOS</t>
  </si>
  <si>
    <t>FRAUDE REVERSION MULTA PERMANENCIA</t>
  </si>
  <si>
    <t>FRAUDE COMERCIAL O SUPLANTACION
 - SERVICIO-</t>
  </si>
  <si>
    <t>FRAUDE OTROS CONCEPTOS</t>
  </si>
  <si>
    <t>RPCT</t>
  </si>
  <si>
    <t>RPCA</t>
  </si>
  <si>
    <t>ASI</t>
  </si>
  <si>
    <t>RECLAMO POR REVISTA 15 MINUTOS</t>
  </si>
  <si>
    <t>RECLAMO POR TOMAS ADICIONALES</t>
  </si>
  <si>
    <t>RECLAMO POR RECONEXION DE CARTERA</t>
  </si>
  <si>
    <t>RECLAMO POR TRASLADO</t>
  </si>
  <si>
    <t>RECLAMO POR VISITA TECNICA</t>
  </si>
  <si>
    <t>RECLAMO POR ARRENDAMIENTO EQUIPOS</t>
  </si>
  <si>
    <t>RECLAMO POR SEGURO DE ASISTENCIA</t>
  </si>
  <si>
    <t>RECLAMO LINEA VIRTUAL DE USA</t>
  </si>
  <si>
    <t>RECLAMO LINEA VIRTUAL DE ESPAÑA</t>
  </si>
  <si>
    <t>RECLAMO LINEA VIRTUAL NACIONAL</t>
  </si>
  <si>
    <t>REVERSION VALOR PC.</t>
  </si>
  <si>
    <t>REVERSION VALOR CUOTA PC.</t>
  </si>
  <si>
    <t>TRANSFERENCIA DE SALDO A FAVOR</t>
  </si>
  <si>
    <t>TRANSFERENCIA DE SALDO EN CONTRA</t>
  </si>
  <si>
    <t>MULTA POR CLAUSULA DE PERMANENCIA</t>
  </si>
  <si>
    <t xml:space="preserve">MULTA REVISTA       </t>
  </si>
  <si>
    <t>COBRO DE EQUIPOS</t>
  </si>
  <si>
    <t>DEVOLUCION DE PAGOS</t>
  </si>
  <si>
    <t xml:space="preserve">ANULACION DE DEVOLUCION SOLICITADA </t>
  </si>
  <si>
    <t>REVERSION DE SALDO A CERO</t>
  </si>
  <si>
    <t>FICS</t>
  </si>
  <si>
    <t>ACRS</t>
  </si>
  <si>
    <t>DTAS</t>
  </si>
  <si>
    <t>INAS</t>
  </si>
  <si>
    <t>ECRS</t>
  </si>
  <si>
    <t>PCRS</t>
  </si>
  <si>
    <t>AF4S</t>
  </si>
  <si>
    <t>SIN IVA @ (1,2,3)</t>
  </si>
  <si>
    <t>PROPORC. TELEVISION POR DESCONEXION</t>
  </si>
  <si>
    <t>PROPORC. INTERNET POR DESCONEXION</t>
  </si>
  <si>
    <t>PROPORC. TELEFONIA POR DESCONEXION</t>
  </si>
  <si>
    <t>INPS</t>
  </si>
  <si>
    <t>SIN IVA/TOTAL</t>
  </si>
  <si>
    <t>REVERSIÓN COBRO DE RECONEXIÓN INTERNET SIN IVA</t>
  </si>
  <si>
    <t>REVERSIÓN COBRO DE RECONEXIÓN INTERNET CON IVA</t>
  </si>
  <si>
    <t>REVERSIÓN COBRO DE RECONEXIÓN TELEVISIÓN</t>
  </si>
  <si>
    <t>REVERSIÓN COBRO DE RECONEXIÓN TELEFONÍA</t>
  </si>
  <si>
    <t>AIF</t>
  </si>
  <si>
    <t>PRODUCTOS</t>
  </si>
  <si>
    <t>SOLO INTERNET</t>
  </si>
  <si>
    <t>COBROS DE RECONEXION</t>
  </si>
  <si>
    <t>Reversión por servicio reconexión de voz</t>
  </si>
  <si>
    <t>Reversión por servicio reconexión de @ sin IVA</t>
  </si>
  <si>
    <t>Reversión por servicio reconexión de televisión</t>
  </si>
  <si>
    <t>Reversión por servicio reconexión de @ con IVA</t>
  </si>
  <si>
    <t>COBROS DE RECONEXION SSEE</t>
  </si>
  <si>
    <t>AOTT</t>
  </si>
  <si>
    <t>RRXI</t>
  </si>
  <si>
    <t>RRXT</t>
  </si>
  <si>
    <t>RRXV</t>
  </si>
  <si>
    <t>RSFI</t>
  </si>
  <si>
    <t>RSXI</t>
  </si>
  <si>
    <t>RSXT</t>
  </si>
  <si>
    <t>OPERADORES FRAUDE</t>
  </si>
  <si>
    <t>DEFINITIVO ASUME TELMEX ETB LE</t>
  </si>
  <si>
    <t>ETE</t>
  </si>
  <si>
    <t>FACTURACION-COMERCIAL</t>
  </si>
  <si>
    <t>CAMPAÑA INEXISTENTE @</t>
  </si>
  <si>
    <t>CAMPAÑA INEXISTENTE VOZ</t>
  </si>
  <si>
    <t>CAMPAÑA INEXISTENTE TV</t>
  </si>
  <si>
    <t>CAMPAÑA COMERCIAL NO APLICADA @</t>
  </si>
  <si>
    <t>CAMPAÑA COMERCIAL NO APLICADA VOZ</t>
  </si>
  <si>
    <t>CAMPAÑA COMERCIAL NO APLICADA TV</t>
  </si>
  <si>
    <t>CONTRATO NO EXISTE BD @</t>
  </si>
  <si>
    <t>CONTRATO NO EXISTE BD VOZ</t>
  </si>
  <si>
    <t>CONTRATO NO EXISTE BD TV</t>
  </si>
  <si>
    <t>CCNI</t>
  </si>
  <si>
    <t>CCNV</t>
  </si>
  <si>
    <t>CCNT</t>
  </si>
  <si>
    <t>OCIN</t>
  </si>
  <si>
    <t>OCTV</t>
  </si>
  <si>
    <t>NCBI </t>
  </si>
  <si>
    <t>NCBV </t>
  </si>
  <si>
    <t>NCIS</t>
  </si>
  <si>
    <t>OCIS</t>
  </si>
  <si>
    <t>CCIS</t>
  </si>
  <si>
    <t>MULTIPLAY</t>
  </si>
  <si>
    <t>FALLA INTERNET MOVIL</t>
  </si>
  <si>
    <t>REPOSICION SIM</t>
  </si>
  <si>
    <t>REPOSICION MODEM</t>
  </si>
  <si>
    <t>REVERSION CARGO FIJO MEN</t>
  </si>
  <si>
    <t>REVERSION COBRO IVA MOD</t>
  </si>
  <si>
    <t>REVERSION COBRO IVA SIM</t>
  </si>
  <si>
    <t>REVERSION COBRO RECONEXI</t>
  </si>
  <si>
    <t>DESCONEXION TARDIA INTER</t>
  </si>
  <si>
    <t>ERROR EN FACTURACIÓN INT</t>
  </si>
  <si>
    <t>REV PROP INT MOVIL DESCO</t>
  </si>
  <si>
    <t>RECLAMO POR NO APLIC PRO</t>
  </si>
  <si>
    <t>REVERSION MULTA CLAUSULA</t>
  </si>
  <si>
    <t>FIM</t>
  </si>
  <si>
    <t>RSM</t>
  </si>
  <si>
    <t>CSX</t>
  </si>
  <si>
    <t>FIH</t>
  </si>
  <si>
    <t>RIM</t>
  </si>
  <si>
    <t>RIMK</t>
  </si>
  <si>
    <t>RMI</t>
  </si>
  <si>
    <t>RSI</t>
  </si>
  <si>
    <t>CRM</t>
  </si>
  <si>
    <t>DNM</t>
  </si>
  <si>
    <t>EIM</t>
  </si>
  <si>
    <t>PRQ</t>
  </si>
  <si>
    <t>RPQ</t>
  </si>
  <si>
    <t>RCQ</t>
  </si>
  <si>
    <t>TV ONLINE</t>
  </si>
  <si>
    <t>REVERSION SUS PLAN BASICO</t>
  </si>
  <si>
    <t>REVERSION SUSCRIPCION TV</t>
  </si>
  <si>
    <t>REVERSION ESTRENO POR DE</t>
  </si>
  <si>
    <t>REVERSION ESTRENO POR SU</t>
  </si>
  <si>
    <t>REVERSION PREMIUM POR DE</t>
  </si>
  <si>
    <t>AOTB</t>
  </si>
  <si>
    <t>AOT1</t>
  </si>
  <si>
    <t>AOT2</t>
  </si>
  <si>
    <t>AOTP</t>
  </si>
  <si>
    <t>RRFI</t>
  </si>
  <si>
    <t>NCBT</t>
  </si>
  <si>
    <t>NOVEDAD NO APLICADA EN AGENDAMIENTO (TRASLADO)</t>
  </si>
  <si>
    <t>A</t>
  </si>
  <si>
    <t>RXMO</t>
  </si>
  <si>
    <t>FRAUDE FIJO MOVIL</t>
  </si>
  <si>
    <t>OCV</t>
  </si>
  <si>
    <t>SFUC</t>
  </si>
  <si>
    <t>Servicio @inal Falla Unidad Cliente</t>
  </si>
  <si>
    <t>SFMI</t>
  </si>
  <si>
    <t>Servicio @inal Falla Masiva</t>
  </si>
  <si>
    <t>NNAI</t>
  </si>
  <si>
    <t>Novedad No Agendada @inal</t>
  </si>
  <si>
    <t>Fraude @inal</t>
  </si>
  <si>
    <t>DTII</t>
  </si>
  <si>
    <t>Desconexion Tardia De @inal</t>
  </si>
  <si>
    <t>CNBD</t>
  </si>
  <si>
    <t>Contrato No Existe Bd @inal</t>
  </si>
  <si>
    <t>CINA</t>
  </si>
  <si>
    <t>Campaña Inexistente @inal</t>
  </si>
  <si>
    <t>CCNA</t>
  </si>
  <si>
    <t>Campaña Comercial No Aplicada @inal</t>
  </si>
  <si>
    <t>CODIGOS</t>
  </si>
  <si>
    <t>GERENCIA</t>
  </si>
  <si>
    <t>Códigos de Ajuste @inalámbrico con IVA</t>
  </si>
  <si>
    <t>Códigos de Ajuste @inalámbrico sin IVA</t>
  </si>
  <si>
    <t>Campaña Comercial No Aplicada @inal Excluido</t>
  </si>
  <si>
    <t>CCN1</t>
  </si>
  <si>
    <t>Campaña Comercial No Aplicada @inal Exento</t>
  </si>
  <si>
    <t>CCN2</t>
  </si>
  <si>
    <t>Campaña Inexistente @inal Excluido</t>
  </si>
  <si>
    <t>CII1</t>
  </si>
  <si>
    <t>Campaña Inexistente @inal Exento</t>
  </si>
  <si>
    <t>CIII</t>
  </si>
  <si>
    <t>Contrato No Existe Bd @inal  Excluido</t>
  </si>
  <si>
    <t>CNB2</t>
  </si>
  <si>
    <t>Contrato No Existe Bd @inal  Exento</t>
  </si>
  <si>
    <t>CNBS</t>
  </si>
  <si>
    <t>Desconexion Tardia De @inal Excluido</t>
  </si>
  <si>
    <t>DTI2</t>
  </si>
  <si>
    <t>Desconexion Tardia De @inal Exento</t>
  </si>
  <si>
    <t>DTIS</t>
  </si>
  <si>
    <t>Facturacion @Inal Error Excluido</t>
  </si>
  <si>
    <t>AMI1</t>
  </si>
  <si>
    <t>Fraude @inal Excluido</t>
  </si>
  <si>
    <t>AFI1</t>
  </si>
  <si>
    <t>Fraude @inal Exento</t>
  </si>
  <si>
    <t>AFIS</t>
  </si>
  <si>
    <t>Novedad No Agendada @inal Excluido</t>
  </si>
  <si>
    <t>NNA1</t>
  </si>
  <si>
    <t>Novedad No Agendada @inal Exento</t>
  </si>
  <si>
    <t>NNAS</t>
  </si>
  <si>
    <t>Servicio @inal Falla Masiva Excluido</t>
  </si>
  <si>
    <t>SFM2</t>
  </si>
  <si>
    <t>Servicio @inal Falla Masiva Exento</t>
  </si>
  <si>
    <t>SFMS</t>
  </si>
  <si>
    <t>Servicio @inal Falla Unidad Cliente Excluido</t>
  </si>
  <si>
    <t>SFU2</t>
  </si>
  <si>
    <t>Servicio @inal Falla Unidad Cliente Exento</t>
  </si>
  <si>
    <t>SFUS</t>
  </si>
  <si>
    <t>Códigos de Ajuste Línea Fija WTTH</t>
  </si>
  <si>
    <t>Campaña Comercial No Aplicada Línea Fija WTTH</t>
  </si>
  <si>
    <t>CCNW</t>
  </si>
  <si>
    <t>Campaña Inexistente Línea Fija  WTTH</t>
  </si>
  <si>
    <t>CIWT</t>
  </si>
  <si>
    <t>Contrato No Existe Bd Línea Fija WTTH</t>
  </si>
  <si>
    <t>CNEW</t>
  </si>
  <si>
    <t>Desconexion Tardia De WTTH</t>
  </si>
  <si>
    <t>DTWT</t>
  </si>
  <si>
    <t>Fraude Línea Fija WTTH</t>
  </si>
  <si>
    <t>FWTH</t>
  </si>
  <si>
    <t>Novedad No Agendada Línea Fija WTTH</t>
  </si>
  <si>
    <t>NNAW</t>
  </si>
  <si>
    <t>Servicio WTTH Falla Masiva Línea Fija WTTH</t>
  </si>
  <si>
    <t>FMWT</t>
  </si>
  <si>
    <t>Servicio WTTH Falla Unidad Cliente Línea Fija WTTH</t>
  </si>
  <si>
    <t>FUWT</t>
  </si>
  <si>
    <t>exento 1 y 2  excluido 3</t>
  </si>
  <si>
    <t>ESTRATO 2</t>
  </si>
  <si>
    <t>APIC</t>
  </si>
  <si>
    <t>PUNTO CABLEADO</t>
  </si>
  <si>
    <t>ALDT</t>
  </si>
  <si>
    <t>LD 30</t>
  </si>
  <si>
    <t>AIS</t>
  </si>
  <si>
    <t>SUBSIDIO INTERNET</t>
  </si>
  <si>
    <t>TOMAS ADICIONALES/DERIVACIONES</t>
  </si>
  <si>
    <t>AFF</t>
  </si>
  <si>
    <t>DIFERENTE A TOMAS/DERIVACIONES</t>
  </si>
  <si>
    <t>AIPF</t>
  </si>
  <si>
    <t>IP FIJA</t>
  </si>
  <si>
    <t>ATR1</t>
  </si>
  <si>
    <t>CONTROL CAVS</t>
  </si>
  <si>
    <t>ATR0</t>
  </si>
  <si>
    <t>COSTO ENVIO (DOMICILIO)</t>
  </si>
  <si>
    <t>FIJO MOVIL</t>
  </si>
  <si>
    <t>CIIS</t>
  </si>
  <si>
    <t>COMPENSAC INTERNET</t>
  </si>
  <si>
    <t>CIVC</t>
  </si>
  <si>
    <t>COMPENSAC TELEFONIA</t>
  </si>
  <si>
    <t>AFMR</t>
  </si>
  <si>
    <t xml:space="preserve">ELEGIDOS </t>
  </si>
  <si>
    <t>AM1</t>
  </si>
  <si>
    <t>COBRO MCAFEE</t>
  </si>
  <si>
    <t>AM3</t>
  </si>
  <si>
    <t>FRAUDE MCAFEE</t>
  </si>
  <si>
    <t>RPCV</t>
  </si>
  <si>
    <t>ROUTER</t>
  </si>
  <si>
    <t>COBRO TRASLADO</t>
  </si>
  <si>
    <t>PC DIENS</t>
  </si>
  <si>
    <t>ADBR</t>
  </si>
  <si>
    <t>INTERNET  PLUS</t>
  </si>
  <si>
    <t>REFA</t>
  </si>
  <si>
    <t>RECARGAS SIN DATOS CMAX</t>
  </si>
  <si>
    <t>REFF</t>
  </si>
  <si>
    <t>RECARGAS FRAUDES</t>
  </si>
  <si>
    <t>TN6D</t>
  </si>
  <si>
    <t>CONTROL KIDS</t>
  </si>
  <si>
    <t>AWPP      </t>
  </si>
  <si>
    <t>AJUSTE WIN PREMIUM PYM</t>
  </si>
  <si>
    <t>AWHP      </t>
  </si>
  <si>
    <t>AJUSTE WIN PREMIUM  SOHO</t>
  </si>
  <si>
    <t>AWMP      </t>
  </si>
  <si>
    <t>AJUSTE WIN PREMIUM  </t>
  </si>
  <si>
    <t>AWRP      </t>
  </si>
  <si>
    <t>AJUSTE WIN PREMIUM  RESIDENCIAL</t>
  </si>
  <si>
    <t>EQRS</t>
  </si>
  <si>
    <t>ERROR FACTURA  1Y2</t>
  </si>
  <si>
    <t>EQSS</t>
  </si>
  <si>
    <t xml:space="preserve">ERROR FACTURA 3 </t>
  </si>
  <si>
    <t>ECRQ</t>
  </si>
  <si>
    <t>ERROR FACTURA 4,5,6</t>
  </si>
  <si>
    <t>ETVQ</t>
  </si>
  <si>
    <t>ERROR FACTURA TV</t>
  </si>
  <si>
    <t>FTRQ</t>
  </si>
  <si>
    <t xml:space="preserve">ERROR FACTURA TELEFONIA </t>
  </si>
  <si>
    <t xml:space="preserve">CODIGOS PQR </t>
  </si>
  <si>
    <t>AEH4</t>
  </si>
  <si>
    <t>PPE ESTRENO HD</t>
  </si>
  <si>
    <t>UW8R</t>
  </si>
  <si>
    <t>ULTRAWIFI</t>
  </si>
  <si>
    <t>ASP</t>
  </si>
  <si>
    <t>ANR1</t>
  </si>
  <si>
    <t>NETFLIX</t>
  </si>
  <si>
    <t>RRPC</t>
  </si>
  <si>
    <t>REMAINING EN CONTRA</t>
  </si>
  <si>
    <t>REMAINING SIN  IVA A FAVOR</t>
  </si>
  <si>
    <t>CUOTAS A FAVOR</t>
  </si>
  <si>
    <t>UW7B</t>
  </si>
  <si>
    <t>CORREGIDO</t>
  </si>
  <si>
    <t>APROBADO</t>
  </si>
  <si>
    <t>RECHAZADO</t>
  </si>
  <si>
    <t>https://comunidadvirtual.claro.com.co/www/lms/Biblioteca/Documentos/others/2020/capsulas/transversal/capsula-creer-en-el-cliente-raw/content/index.html#/lessons/f0vj3EFXfxk85MhjifLSQns9Dz_VVkmd</t>
  </si>
  <si>
    <t>https://comunidadvirtual.claro.com.co/www/lms/Biblioteca/Documentos/others/MiEnlace/DOCPDF/Venta_Cartera_Castigada.pdf</t>
  </si>
  <si>
    <t>CARTERA VENDIDA</t>
  </si>
  <si>
    <t>TEMA</t>
  </si>
  <si>
    <t>LINK</t>
  </si>
  <si>
    <t>CREER EN  EL CLIENTE</t>
  </si>
  <si>
    <t>LINKS</t>
  </si>
  <si>
    <t>N/A</t>
  </si>
  <si>
    <t>.</t>
  </si>
  <si>
    <t xml:space="preserve">OFRECIMIENTOS RETENCION O FIDELIZACON  </t>
  </si>
  <si>
    <t>CUENTA DEBE ESTAR AL DIA EN PAGOS,DEBE ESTAR ACTIVA,EXCEPTO RECONEXIÓN  DEBE TENER UN  AÑO DE ANTIGÜEDAD Y NO TENER EL MISMO OFRECIMIENTO EN MENOS DE UN  AÑO</t>
  </si>
  <si>
    <t>POR CARGO CONEXIÓN</t>
  </si>
  <si>
    <t>POR CARTERA</t>
  </si>
  <si>
    <t>POR CLARO VIDEO</t>
  </si>
  <si>
    <t xml:space="preserve">POR COBRO TRASLADO </t>
  </si>
  <si>
    <t xml:space="preserve">POR COMERCIAL </t>
  </si>
  <si>
    <t>POR EQUIPOS</t>
  </si>
  <si>
    <t>POR ERROR OT</t>
  </si>
  <si>
    <t>POR FACTURACION</t>
  </si>
  <si>
    <t xml:space="preserve">POR FRAUDE </t>
  </si>
  <si>
    <t>POR MULTAS</t>
  </si>
  <si>
    <t>POR NOV NO AGENDADA</t>
  </si>
  <si>
    <t xml:space="preserve">POR OPERADORES </t>
  </si>
  <si>
    <t>POR PRESTACION  DE SERVICIO</t>
  </si>
  <si>
    <t>POR PUNTO CABLEADO</t>
  </si>
  <si>
    <t>POR REVISTA</t>
  </si>
  <si>
    <t>POR SSEE</t>
  </si>
  <si>
    <t>POR TOMAS ADICIONALES</t>
  </si>
  <si>
    <t xml:space="preserve">POR CREER EN EL CLIENTE </t>
  </si>
  <si>
    <t>POR FACTURACION  PQR</t>
  </si>
  <si>
    <t>TIPOLOGIAS</t>
  </si>
  <si>
    <t>POR CRUCE DE SALDO</t>
  </si>
  <si>
    <t>POR DEVOLUCION  DE DINERO</t>
  </si>
  <si>
    <t>POR IMPUESTOS</t>
  </si>
  <si>
    <t>POR COBRO DE RECONEXIÓN</t>
  </si>
  <si>
    <t>POR DIFERENCIA DE TARIFAS</t>
  </si>
  <si>
    <t xml:space="preserve"> SUSCRIPCIÓN MES CV PREMIUM</t>
  </si>
  <si>
    <t>S1CV</t>
  </si>
  <si>
    <t>VALOR A PROPORCIONAR</t>
  </si>
  <si>
    <t>@</t>
  </si>
  <si>
    <t>LTE</t>
  </si>
  <si>
    <t>LDT</t>
  </si>
  <si>
    <t>FNC</t>
  </si>
  <si>
    <t>TV</t>
  </si>
  <si>
    <t>WIFI</t>
  </si>
  <si>
    <t>RESUMEN</t>
  </si>
  <si>
    <t>APLICAR EN RR</t>
  </si>
  <si>
    <t>EQUIPO</t>
  </si>
  <si>
    <t>VALOR CON IVA</t>
  </si>
  <si>
    <t>VALOR SIN IVA</t>
  </si>
  <si>
    <t>Decodificador SD-DVB </t>
  </si>
  <si>
    <t>Decodificador HD-DVB </t>
  </si>
  <si>
    <t>SMART CARD</t>
  </si>
  <si>
    <t>DECODIFICADOR MOTOROLA DCT 700</t>
  </si>
  <si>
    <t>DECODIFICADOR HD (DCX3200  - DCX700)</t>
  </si>
  <si>
    <t>DECODIFICADOR PVR</t>
  </si>
  <si>
    <t>DECODIFICADOR DE LA NUEVA TV ( Nagra)</t>
  </si>
  <si>
    <t>DECODIFICADOR DTH HD</t>
  </si>
  <si>
    <t>ANTENA DTH</t>
  </si>
  <si>
    <t>LNB DTH</t>
  </si>
  <si>
    <t>CABLEMODEM WIFI o INALÁMBRICO</t>
  </si>
  <si>
    <t>EMTA WIFI o ALÁMBRICO</t>
  </si>
  <si>
    <t>EMTA 4 PUERTOS</t>
  </si>
  <si>
    <t>EMTA 8 PUERTOS</t>
  </si>
  <si>
    <t>EMTA 12 PUERTOS</t>
  </si>
  <si>
    <t>FUENTES DE PODER (cable alimentador de energía)</t>
  </si>
  <si>
    <t>CONTROL REMOTO (Revisar políticas de control)  CAV</t>
  </si>
  <si>
    <t>CONTROL REMOTO (Revisar políticas de control)  DOMICILIO</t>
  </si>
  <si>
    <t>EQUIPO MTA DUAL BAND</t>
  </si>
  <si>
    <t>ROUTER INTERNET INALAMBRICO ( Incluye sim card )</t>
  </si>
  <si>
    <t>TV PLAYER</t>
  </si>
  <si>
    <t>DECODIFICADOR ESTÁNDAR (Tv Prepago Satelital)</t>
  </si>
  <si>
    <t>SMART CARD (Tv Prepago Satelital)</t>
  </si>
  <si>
    <t>CONTROL REMOTO SMK (Tv Prepago Satelital "Solo CAV")</t>
  </si>
  <si>
    <t>CANTIDAD</t>
  </si>
  <si>
    <t>VALOR</t>
  </si>
  <si>
    <t>VAL CUOTA</t>
  </si>
  <si>
    <t>COD</t>
  </si>
  <si>
    <t>CONTRA</t>
  </si>
  <si>
    <t xml:space="preserve">CREER EN EL CL.RECOMENDACION </t>
  </si>
  <si>
    <t xml:space="preserve">FAVOR TENER EN CUENTA QUE ESTA SOLICITUD APLICA PARA ESCALAR POR CREER EN EL CLIENTE </t>
  </si>
  <si>
    <t>PERMANENCIA</t>
  </si>
  <si>
    <t>COBRO DE EQUIPOS Y PERMANENCIA</t>
  </si>
  <si>
    <t xml:space="preserve">POR RECARGAS MOVIL </t>
  </si>
  <si>
    <t>AHBG</t>
  </si>
  <si>
    <t>HBO CASO ENERO</t>
  </si>
  <si>
    <t>Columna1</t>
  </si>
  <si>
    <t xml:space="preserve"> CARGO CONEXIÓN</t>
  </si>
  <si>
    <t xml:space="preserve"> CARTERA</t>
  </si>
  <si>
    <t xml:space="preserve"> CLARO VIDEO</t>
  </si>
  <si>
    <t xml:space="preserve"> COBRO TRASLADO </t>
  </si>
  <si>
    <t xml:space="preserve"> EQUIPOS</t>
  </si>
  <si>
    <t xml:space="preserve"> ERROR OT</t>
  </si>
  <si>
    <t xml:space="preserve"> FRAUDE </t>
  </si>
  <si>
    <t>MULTAS</t>
  </si>
  <si>
    <t>NOV NO AGENDADA</t>
  </si>
  <si>
    <t xml:space="preserve">OPERADORES </t>
  </si>
  <si>
    <t>PRESTACION  DE SERVICIO</t>
  </si>
  <si>
    <t xml:space="preserve"> REVISTA</t>
  </si>
  <si>
    <t xml:space="preserve">CREER EN EL CLIENTE </t>
  </si>
  <si>
    <t>CRUCE DE SALDO</t>
  </si>
  <si>
    <t>DEVOLUCION  DE DINERO</t>
  </si>
  <si>
    <t>COBRO DE RECONEXIÓN</t>
  </si>
  <si>
    <t>DIFERENCIA DE TARIFAS</t>
  </si>
  <si>
    <t xml:space="preserve">RECARGAS MOVIL </t>
  </si>
  <si>
    <t>|</t>
  </si>
  <si>
    <t>ARRIBA</t>
  </si>
  <si>
    <t>NO ES AJUSTE</t>
  </si>
  <si>
    <t>SE RESCALA TICKET  000000000,CASO DEBE SER GESTIONADO POR PQR</t>
  </si>
  <si>
    <t xml:space="preserve">BACK AJUSTES </t>
  </si>
  <si>
    <t>CMP1</t>
  </si>
  <si>
    <t>FRAUDE NUEVO</t>
  </si>
  <si>
    <t>SERV ASISTENCIA</t>
  </si>
  <si>
    <t>SUPERIOR</t>
  </si>
  <si>
    <t>TECNOLOGIA</t>
  </si>
  <si>
    <t>SE ESCALA CUENTA PARA APLICACIÓN  TECNOLOGIA</t>
  </si>
  <si>
    <t>SE ESCALA CUENTA PARA APLICACIÓN  DE SUPERIORES</t>
  </si>
  <si>
    <t>SERVICIOS PREMIUM</t>
  </si>
  <si>
    <t>TOMAS Y/O DERIVACIONES</t>
  </si>
  <si>
    <t>CAMPAÑAS  COMERCIALES</t>
  </si>
  <si>
    <t>DESCONEXIONES TARDIAS</t>
  </si>
  <si>
    <t>RENTA X SERVICIO</t>
  </si>
  <si>
    <t>REF CARPETA</t>
  </si>
  <si>
    <t>SOLICITUD EN CARPETA N°</t>
  </si>
  <si>
    <t>ERROR DE FACTURACION</t>
  </si>
  <si>
    <t xml:space="preserve">RESPONSABILIDAD </t>
  </si>
  <si>
    <t xml:space="preserve">SE DA PROCEDENCIA  AL AJUSTE  BAJO RESPONSABILIDAD   DE LA INFORMACION  REGISTRADA POR ASESOR                                       QUIEN   ESCUCHA GRABACION  ADJUNTADA COMO SOPORTE </t>
  </si>
  <si>
    <t xml:space="preserve"> </t>
  </si>
  <si>
    <t>NO HAY NOTAS EN F7 O NO ESTAN  EN CARPETA AJUSTES</t>
  </si>
  <si>
    <t>NOTAS DE SOLICITUD  ESTAN  INCOMPLETAS</t>
  </si>
  <si>
    <t>NO HAY DISPUTAS</t>
  </si>
  <si>
    <t>SOLICITUD SE ENVIA SIN  VALORES O  CON VALORES ERRADOS</t>
  </si>
  <si>
    <t>MACRO  BORRA C5 A C9</t>
  </si>
  <si>
    <t>https://luiski84.github.io/aplicativos/</t>
  </si>
  <si>
    <t>CON IVA</t>
  </si>
  <si>
    <t>STB SEI ROBOTICS (DECO CLARO BOX TV)</t>
  </si>
  <si>
    <t>CONTROL REMOTO CERVINO (CONTROL CLARO BOX TV)</t>
  </si>
  <si>
    <t>DECODIFICADOR HD (Tv Prepago Satelital)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</si>
</sst>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212121"/>
      <name val="Calibri"/>
      <family val="2"/>
    </font>
    <font>
      <b/>
      <sz val="16"/>
      <color rgb="FF212121"/>
      <name val="Calibri"/>
      <family val="2"/>
    </font>
    <font>
      <sz val="11"/>
      <name val="Calibri"/>
      <family val="2"/>
      <scheme val="minor"/>
    </font>
    <font>
      <sz val="11"/>
      <color rgb="FF000000"/>
      <name val="Arial"/>
      <family val="2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0" fontId="1" fillId="0" borderId="0"/>
    <xf numFmtId="9" fontId="3" fillId="0" borderId="0" applyFont="0" applyFill="0" applyBorder="0" applyAlignment="0" applyProtection="0"/>
    <xf numFmtId="0" fontId="4" fillId="11" borderId="0" applyNumberFormat="0" applyBorder="0" applyAlignment="0" applyProtection="0"/>
    <xf numFmtId="43" fontId="3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205">
    <xf numFmtId="0" fontId="0" fillId="0" borderId="0" xfId="0"/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>
      <alignment horizontal="left"/>
    </xf>
    <xf numFmtId="0" fontId="6" fillId="0" borderId="4" xfId="0" applyFont="1" applyBorder="1" applyAlignment="1">
      <alignment horizontal="left" wrapText="1"/>
    </xf>
    <xf numFmtId="0" fontId="6" fillId="0" borderId="4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0" borderId="0" xfId="0" applyFont="1" applyBorder="1" applyAlignment="1">
      <alignment horizontal="left" wrapText="1"/>
    </xf>
    <xf numFmtId="0" fontId="6" fillId="0" borderId="7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/>
    </xf>
    <xf numFmtId="0" fontId="7" fillId="0" borderId="2" xfId="0" applyFont="1" applyBorder="1" applyAlignment="1">
      <alignment horizontal="left" vertical="center" wrapText="1"/>
    </xf>
    <xf numFmtId="0" fontId="7" fillId="2" borderId="7" xfId="0" applyFont="1" applyFill="1" applyBorder="1" applyAlignment="1">
      <alignment horizontal="left" vertical="center"/>
    </xf>
    <xf numFmtId="0" fontId="7" fillId="2" borderId="6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6" fillId="0" borderId="9" xfId="0" applyFont="1" applyBorder="1" applyAlignment="1">
      <alignment horizontal="left" wrapText="1"/>
    </xf>
    <xf numFmtId="0" fontId="6" fillId="2" borderId="9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8" fillId="3" borderId="1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/>
    </xf>
    <xf numFmtId="0" fontId="6" fillId="0" borderId="2" xfId="0" applyFont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5" fillId="2" borderId="2" xfId="0" applyFont="1" applyFill="1" applyBorder="1" applyAlignment="1">
      <alignment horizontal="left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9" fontId="6" fillId="0" borderId="0" xfId="2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0" borderId="2" xfId="0" applyFont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1" fillId="4" borderId="11" xfId="0" applyFont="1" applyFill="1" applyBorder="1" applyAlignment="1">
      <alignment horizontal="left" vertical="center" wrapText="1"/>
    </xf>
    <xf numFmtId="0" fontId="7" fillId="0" borderId="13" xfId="0" applyFont="1" applyBorder="1" applyAlignment="1">
      <alignment horizontal="left"/>
    </xf>
    <xf numFmtId="0" fontId="7" fillId="0" borderId="13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left"/>
    </xf>
    <xf numFmtId="0" fontId="6" fillId="5" borderId="3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left"/>
    </xf>
    <xf numFmtId="0" fontId="7" fillId="5" borderId="4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left"/>
    </xf>
    <xf numFmtId="0" fontId="6" fillId="5" borderId="5" xfId="0" applyFont="1" applyFill="1" applyBorder="1" applyAlignment="1">
      <alignment horizontal="left"/>
    </xf>
    <xf numFmtId="0" fontId="6" fillId="5" borderId="6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7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left"/>
    </xf>
    <xf numFmtId="0" fontId="7" fillId="5" borderId="0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left"/>
    </xf>
    <xf numFmtId="0" fontId="7" fillId="5" borderId="9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left"/>
    </xf>
    <xf numFmtId="0" fontId="6" fillId="5" borderId="10" xfId="0" applyFont="1" applyFill="1" applyBorder="1" applyAlignment="1">
      <alignment horizontal="left"/>
    </xf>
    <xf numFmtId="0" fontId="10" fillId="4" borderId="11" xfId="0" applyFont="1" applyFill="1" applyBorder="1" applyAlignment="1">
      <alignment horizontal="left" vertical="center" wrapText="1"/>
    </xf>
    <xf numFmtId="0" fontId="10" fillId="4" borderId="11" xfId="0" applyFont="1" applyFill="1" applyBorder="1" applyAlignment="1">
      <alignment horizontal="left" vertical="center"/>
    </xf>
    <xf numFmtId="0" fontId="10" fillId="4" borderId="11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left"/>
    </xf>
    <xf numFmtId="0" fontId="11" fillId="4" borderId="11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left" vertical="center" wrapText="1"/>
    </xf>
    <xf numFmtId="0" fontId="9" fillId="6" borderId="11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wrapText="1"/>
    </xf>
    <xf numFmtId="0" fontId="9" fillId="6" borderId="0" xfId="0" applyFont="1" applyFill="1" applyBorder="1" applyAlignment="1">
      <alignment horizontal="left"/>
    </xf>
    <xf numFmtId="0" fontId="9" fillId="6" borderId="14" xfId="0" applyFont="1" applyFill="1" applyBorder="1" applyAlignment="1">
      <alignment horizontal="left"/>
    </xf>
    <xf numFmtId="0" fontId="7" fillId="0" borderId="2" xfId="0" applyFont="1" applyFill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1" fillId="4" borderId="0" xfId="0" applyFont="1" applyFill="1" applyBorder="1" applyAlignment="1">
      <alignment horizontal="left"/>
    </xf>
    <xf numFmtId="0" fontId="6" fillId="0" borderId="0" xfId="0" applyFont="1" applyBorder="1" applyAlignment="1">
      <alignment horizontal="left" vertical="center" wrapText="1"/>
    </xf>
    <xf numFmtId="0" fontId="7" fillId="0" borderId="0" xfId="0" applyFont="1" applyBorder="1" applyAlignment="1">
      <alignment horizontal="left" vertical="center" wrapText="1"/>
    </xf>
    <xf numFmtId="0" fontId="6" fillId="0" borderId="8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3" fillId="0" borderId="11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/>
    </xf>
    <xf numFmtId="0" fontId="6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0" fillId="4" borderId="2" xfId="0" applyFont="1" applyFill="1" applyBorder="1" applyAlignment="1">
      <alignment horizontal="left"/>
    </xf>
    <xf numFmtId="0" fontId="14" fillId="0" borderId="0" xfId="0" applyFont="1"/>
    <xf numFmtId="0" fontId="0" fillId="0" borderId="0" xfId="0" applyBorder="1"/>
    <xf numFmtId="1" fontId="0" fillId="0" borderId="0" xfId="0" applyNumberFormat="1"/>
    <xf numFmtId="16" fontId="0" fillId="0" borderId="0" xfId="0" applyNumberFormat="1"/>
    <xf numFmtId="22" fontId="0" fillId="0" borderId="0" xfId="0" applyNumberFormat="1"/>
    <xf numFmtId="0" fontId="15" fillId="0" borderId="0" xfId="0" applyFont="1"/>
    <xf numFmtId="0" fontId="0" fillId="7" borderId="2" xfId="0" applyFont="1" applyFill="1" applyBorder="1"/>
    <xf numFmtId="0" fontId="0" fillId="8" borderId="2" xfId="0" applyFont="1" applyFill="1" applyBorder="1"/>
    <xf numFmtId="0" fontId="0" fillId="7" borderId="13" xfId="0" applyFont="1" applyFill="1" applyBorder="1"/>
    <xf numFmtId="0" fontId="0" fillId="7" borderId="25" xfId="0" applyFont="1" applyFill="1" applyBorder="1"/>
    <xf numFmtId="0" fontId="0" fillId="9" borderId="0" xfId="0" applyFill="1"/>
    <xf numFmtId="0" fontId="0" fillId="9" borderId="2" xfId="0" applyFill="1" applyBorder="1"/>
    <xf numFmtId="9" fontId="3" fillId="9" borderId="2" xfId="2" applyFont="1" applyFill="1" applyBorder="1"/>
    <xf numFmtId="1" fontId="0" fillId="9" borderId="2" xfId="0" applyNumberFormat="1" applyFill="1" applyBorder="1"/>
    <xf numFmtId="1" fontId="0" fillId="9" borderId="19" xfId="0" applyNumberFormat="1" applyFill="1" applyBorder="1"/>
    <xf numFmtId="0" fontId="0" fillId="9" borderId="0" xfId="0" applyFill="1" applyBorder="1"/>
    <xf numFmtId="1" fontId="0" fillId="9" borderId="0" xfId="0" applyNumberFormat="1" applyFill="1"/>
    <xf numFmtId="0" fontId="0" fillId="10" borderId="0" xfId="0" applyFill="1"/>
    <xf numFmtId="1" fontId="0" fillId="10" borderId="0" xfId="0" applyNumberFormat="1" applyFill="1"/>
    <xf numFmtId="0" fontId="0" fillId="10" borderId="2" xfId="0" applyFill="1" applyBorder="1"/>
    <xf numFmtId="1" fontId="0" fillId="10" borderId="2" xfId="0" applyNumberFormat="1" applyFill="1" applyBorder="1"/>
    <xf numFmtId="0" fontId="4" fillId="10" borderId="1" xfId="0" applyFont="1" applyFill="1" applyBorder="1"/>
    <xf numFmtId="0" fontId="0" fillId="0" borderId="0" xfId="0" applyNumberFormat="1"/>
    <xf numFmtId="0" fontId="16" fillId="0" borderId="0" xfId="0" applyFont="1" applyAlignment="1"/>
    <xf numFmtId="0" fontId="0" fillId="0" borderId="0" xfId="0" applyAlignment="1">
      <alignment horizontal="left"/>
    </xf>
    <xf numFmtId="0" fontId="4" fillId="11" borderId="0" xfId="3"/>
    <xf numFmtId="0" fontId="23" fillId="11" borderId="0" xfId="3" applyFont="1"/>
    <xf numFmtId="0" fontId="23" fillId="11" borderId="0" xfId="3" applyFont="1" applyAlignment="1">
      <alignment vertical="center"/>
    </xf>
    <xf numFmtId="0" fontId="4" fillId="11" borderId="0" xfId="3" applyAlignment="1"/>
    <xf numFmtId="0" fontId="4" fillId="11" borderId="2" xfId="3" applyBorder="1"/>
    <xf numFmtId="1" fontId="4" fillId="11" borderId="2" xfId="3" applyNumberFormat="1" applyBorder="1"/>
    <xf numFmtId="1" fontId="4" fillId="11" borderId="0" xfId="3" applyNumberFormat="1"/>
    <xf numFmtId="0" fontId="14" fillId="11" borderId="0" xfId="3" applyFont="1"/>
    <xf numFmtId="0" fontId="24" fillId="11" borderId="2" xfId="3" applyFont="1" applyBorder="1"/>
    <xf numFmtId="0" fontId="24" fillId="11" borderId="0" xfId="3" applyFont="1"/>
    <xf numFmtId="1" fontId="24" fillId="11" borderId="2" xfId="3" applyNumberFormat="1" applyFont="1" applyBorder="1"/>
    <xf numFmtId="0" fontId="14" fillId="12" borderId="11" xfId="3" applyFont="1" applyFill="1" applyBorder="1" applyAlignment="1"/>
    <xf numFmtId="0" fontId="14" fillId="11" borderId="2" xfId="3" applyFont="1" applyBorder="1" applyAlignment="1"/>
    <xf numFmtId="9" fontId="0" fillId="0" borderId="0" xfId="0" applyNumberFormat="1"/>
    <xf numFmtId="0" fontId="0" fillId="13" borderId="0" xfId="0" applyFill="1"/>
    <xf numFmtId="0" fontId="6" fillId="13" borderId="0" xfId="0" applyFont="1" applyFill="1" applyAlignment="1">
      <alignment horizontal="left"/>
    </xf>
    <xf numFmtId="0" fontId="6" fillId="13" borderId="0" xfId="0" applyFont="1" applyFill="1" applyAlignment="1">
      <alignment horizontal="left" wrapText="1"/>
    </xf>
    <xf numFmtId="0" fontId="4" fillId="13" borderId="0" xfId="3" applyFill="1"/>
    <xf numFmtId="16" fontId="4" fillId="13" borderId="0" xfId="3" applyNumberFormat="1" applyFill="1"/>
    <xf numFmtId="16" fontId="0" fillId="13" borderId="0" xfId="0" applyNumberFormat="1" applyFill="1"/>
    <xf numFmtId="0" fontId="15" fillId="13" borderId="0" xfId="0" applyFont="1" applyFill="1"/>
    <xf numFmtId="1" fontId="0" fillId="13" borderId="0" xfId="0" applyNumberFormat="1" applyFill="1"/>
    <xf numFmtId="22" fontId="0" fillId="13" borderId="0" xfId="0" applyNumberFormat="1" applyFill="1"/>
    <xf numFmtId="1" fontId="0" fillId="0" borderId="0" xfId="4" applyNumberFormat="1" applyFont="1"/>
    <xf numFmtId="0" fontId="0" fillId="0" borderId="2" xfId="0" applyBorder="1"/>
    <xf numFmtId="0" fontId="25" fillId="2" borderId="2" xfId="3" applyFont="1" applyFill="1" applyBorder="1" applyAlignment="1">
      <alignment vertical="center" wrapText="1"/>
    </xf>
    <xf numFmtId="0" fontId="4" fillId="0" borderId="0" xfId="3" applyFill="1"/>
    <xf numFmtId="0" fontId="26" fillId="14" borderId="11" xfId="5" applyFill="1" applyBorder="1"/>
    <xf numFmtId="0" fontId="0" fillId="13" borderId="0" xfId="0" applyFill="1" applyBorder="1" applyAlignment="1">
      <alignment horizontal="center" vertical="center"/>
    </xf>
    <xf numFmtId="0" fontId="27" fillId="15" borderId="13" xfId="0" applyFont="1" applyFill="1" applyBorder="1"/>
    <xf numFmtId="0" fontId="28" fillId="13" borderId="0" xfId="0" applyFont="1" applyFill="1"/>
    <xf numFmtId="0" fontId="27" fillId="15" borderId="27" xfId="0" applyFont="1" applyFill="1" applyBorder="1"/>
    <xf numFmtId="0" fontId="24" fillId="2" borderId="19" xfId="3" applyFont="1" applyFill="1" applyBorder="1" applyAlignment="1">
      <alignment horizontal="left"/>
    </xf>
    <xf numFmtId="0" fontId="24" fillId="2" borderId="17" xfId="3" applyFont="1" applyFill="1" applyBorder="1" applyAlignment="1">
      <alignment horizontal="left"/>
    </xf>
    <xf numFmtId="0" fontId="24" fillId="2" borderId="26" xfId="3" applyFont="1" applyFill="1" applyBorder="1" applyAlignment="1">
      <alignment horizontal="left"/>
    </xf>
    <xf numFmtId="0" fontId="25" fillId="2" borderId="2" xfId="3" applyFont="1" applyFill="1" applyBorder="1" applyAlignment="1">
      <alignment horizontal="center" vertical="center"/>
    </xf>
    <xf numFmtId="0" fontId="0" fillId="2" borderId="2" xfId="3" applyFont="1" applyFill="1" applyBorder="1" applyAlignment="1">
      <alignment horizontal="center"/>
    </xf>
    <xf numFmtId="0" fontId="14" fillId="2" borderId="2" xfId="3" applyFont="1" applyFill="1" applyBorder="1" applyAlignment="1">
      <alignment horizontal="center"/>
    </xf>
    <xf numFmtId="0" fontId="25" fillId="2" borderId="14" xfId="3" applyFont="1" applyFill="1" applyBorder="1" applyAlignment="1">
      <alignment horizontal="center" vertical="center" wrapText="1"/>
    </xf>
    <xf numFmtId="0" fontId="25" fillId="2" borderId="0" xfId="3" applyFont="1" applyFill="1" applyBorder="1" applyAlignment="1">
      <alignment horizontal="center" vertical="center" wrapText="1"/>
    </xf>
    <xf numFmtId="0" fontId="25" fillId="2" borderId="2" xfId="3" applyFont="1" applyFill="1" applyBorder="1" applyAlignment="1">
      <alignment horizontal="center" vertical="center" wrapText="1"/>
    </xf>
    <xf numFmtId="1" fontId="0" fillId="13" borderId="28" xfId="0" applyNumberFormat="1" applyFill="1" applyBorder="1" applyAlignment="1">
      <alignment horizontal="center" vertical="center"/>
    </xf>
    <xf numFmtId="1" fontId="0" fillId="13" borderId="15" xfId="0" applyNumberFormat="1" applyFill="1" applyBorder="1" applyAlignment="1">
      <alignment horizontal="center" vertical="center"/>
    </xf>
    <xf numFmtId="1" fontId="0" fillId="13" borderId="12" xfId="0" applyNumberFormat="1" applyFill="1" applyBorder="1" applyAlignment="1">
      <alignment horizontal="center" vertical="center"/>
    </xf>
    <xf numFmtId="1" fontId="0" fillId="13" borderId="21" xfId="0" applyNumberFormat="1" applyFill="1" applyBorder="1" applyAlignment="1">
      <alignment horizontal="center" vertical="center"/>
    </xf>
    <xf numFmtId="0" fontId="24" fillId="11" borderId="16" xfId="3" applyFont="1" applyBorder="1" applyAlignment="1">
      <alignment horizontal="center"/>
    </xf>
    <xf numFmtId="0" fontId="22" fillId="11" borderId="0" xfId="3" applyFont="1" applyAlignment="1">
      <alignment horizontal="center"/>
    </xf>
    <xf numFmtId="0" fontId="6" fillId="2" borderId="18" xfId="0" applyFont="1" applyFill="1" applyBorder="1" applyAlignment="1">
      <alignment horizontal="left" vertical="center" wrapText="1"/>
    </xf>
    <xf numFmtId="0" fontId="6" fillId="2" borderId="1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left" vertical="center" wrapText="1"/>
    </xf>
    <xf numFmtId="0" fontId="6" fillId="2" borderId="13" xfId="0" applyFont="1" applyFill="1" applyBorder="1" applyAlignment="1">
      <alignment horizontal="left" vertical="center"/>
    </xf>
    <xf numFmtId="0" fontId="6" fillId="2" borderId="18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9" fillId="6" borderId="0" xfId="0" applyFont="1" applyFill="1" applyBorder="1" applyAlignment="1">
      <alignment horizontal="left"/>
    </xf>
    <xf numFmtId="0" fontId="9" fillId="6" borderId="22" xfId="0" applyFont="1" applyFill="1" applyBorder="1" applyAlignment="1">
      <alignment horizontal="left" vertical="center"/>
    </xf>
    <xf numFmtId="0" fontId="9" fillId="6" borderId="23" xfId="0" applyFont="1" applyFill="1" applyBorder="1" applyAlignment="1">
      <alignment horizontal="left" vertical="center"/>
    </xf>
    <xf numFmtId="0" fontId="9" fillId="6" borderId="24" xfId="0" applyFont="1" applyFill="1" applyBorder="1" applyAlignment="1">
      <alignment horizontal="left" vertical="center"/>
    </xf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left" vertical="center"/>
    </xf>
    <xf numFmtId="0" fontId="19" fillId="0" borderId="2" xfId="0" applyFont="1" applyBorder="1" applyAlignment="1">
      <alignment horizontal="center" vertical="center" textRotation="90" wrapText="1"/>
    </xf>
    <xf numFmtId="0" fontId="19" fillId="0" borderId="13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textRotation="90" wrapText="1"/>
    </xf>
    <xf numFmtId="0" fontId="6" fillId="0" borderId="2" xfId="0" applyFont="1" applyBorder="1" applyAlignment="1">
      <alignment horizontal="left"/>
    </xf>
    <xf numFmtId="0" fontId="18" fillId="0" borderId="13" xfId="0" applyFont="1" applyBorder="1" applyAlignment="1">
      <alignment horizontal="center" vertical="center" textRotation="90" wrapText="1"/>
    </xf>
    <xf numFmtId="0" fontId="18" fillId="0" borderId="18" xfId="0" applyFont="1" applyBorder="1" applyAlignment="1">
      <alignment horizontal="center" vertical="center" textRotation="90" wrapText="1"/>
    </xf>
    <xf numFmtId="0" fontId="18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 vertical="center" textRotation="90" wrapText="1"/>
    </xf>
    <xf numFmtId="0" fontId="6" fillId="0" borderId="18" xfId="0" applyFont="1" applyBorder="1" applyAlignment="1">
      <alignment horizontal="center" vertical="center" textRotation="90" wrapText="1"/>
    </xf>
    <xf numFmtId="0" fontId="6" fillId="0" borderId="1" xfId="0" applyFont="1" applyBorder="1" applyAlignment="1">
      <alignment horizontal="center" vertical="center" textRotation="90" wrapText="1"/>
    </xf>
    <xf numFmtId="0" fontId="10" fillId="4" borderId="12" xfId="0" applyFont="1" applyFill="1" applyBorder="1" applyAlignment="1">
      <alignment horizontal="left"/>
    </xf>
    <xf numFmtId="0" fontId="10" fillId="4" borderId="20" xfId="0" applyFont="1" applyFill="1" applyBorder="1" applyAlignment="1">
      <alignment horizontal="left"/>
    </xf>
    <xf numFmtId="0" fontId="10" fillId="4" borderId="21" xfId="0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4" fillId="11" borderId="0" xfId="3" applyAlignment="1">
      <alignment horizontal="center"/>
    </xf>
    <xf numFmtId="1" fontId="0" fillId="11" borderId="12" xfId="3" applyNumberFormat="1" applyFont="1" applyBorder="1" applyAlignment="1">
      <alignment horizontal="center"/>
    </xf>
    <xf numFmtId="1" fontId="4" fillId="11" borderId="20" xfId="3" applyNumberFormat="1" applyBorder="1" applyAlignment="1">
      <alignment horizontal="center"/>
    </xf>
    <xf numFmtId="1" fontId="4" fillId="11" borderId="21" xfId="3" applyNumberFormat="1" applyBorder="1" applyAlignment="1">
      <alignment horizontal="center"/>
    </xf>
    <xf numFmtId="1" fontId="4" fillId="11" borderId="2" xfId="3" applyNumberFormat="1" applyBorder="1" applyAlignment="1">
      <alignment horizontal="center"/>
    </xf>
  </cellXfs>
  <cellStyles count="6">
    <cellStyle name="Énfasis2" xfId="3" builtinId="33"/>
    <cellStyle name="Hipervínculo" xfId="5" builtinId="8"/>
    <cellStyle name="Millares" xfId="4" builtinId="3"/>
    <cellStyle name="Normal" xfId="0" builtinId="0"/>
    <cellStyle name="Normal 2" xfId="1"/>
    <cellStyle name="Porcentaje" xfId="2" builtinId="5"/>
  </cellStyles>
  <dxfs count="19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 tint="-0.24994659260841701"/>
        </patternFill>
      </fill>
    </dxf>
    <dxf>
      <numFmt numFmtId="1" formatCode="0"/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1" formatCode="d\-mmm"/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34998626667073579"/>
        </patternFill>
      </fill>
    </dxf>
    <dxf>
      <numFmt numFmtId="21" formatCode="d\-mmm"/>
      <fill>
        <patternFill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ist" dx="22" fmlaLink="$D$14" fmlaRange="Hoja3!$D$4:$D$13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$N$5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firstButton="1" fmlaLink="$J$3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fmlaLink="$T$4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firstButton="1" fmlaLink="$T$5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CheckBox" checked="Checked" fmlaLink="$T$14" lockText="1" noThreeD="1"/>
</file>

<file path=xl/ctrlProps/ctrlProp19.xml><?xml version="1.0" encoding="utf-8"?>
<formControlPr xmlns="http://schemas.microsoft.com/office/spreadsheetml/2009/9/main" objectType="CheckBox" checked="Checked" fmlaLink="$T$15" lockText="1" noThreeD="1"/>
</file>

<file path=xl/ctrlProps/ctrlProp20.xml><?xml version="1.0" encoding="utf-8"?>
<formControlPr xmlns="http://schemas.microsoft.com/office/spreadsheetml/2009/9/main" objectType="CheckBox" checked="Checked" fmlaLink="$T$16" lockText="1" noThreeD="1"/>
</file>

<file path=xl/ctrlProps/ctrlProp21.xml><?xml version="1.0" encoding="utf-8"?>
<formControlPr xmlns="http://schemas.microsoft.com/office/spreadsheetml/2009/9/main" objectType="CheckBox" checked="Checked" fmlaLink="$T$17" lockText="1" noThreeD="1"/>
</file>

<file path=xl/ctrlProps/ctrlProp22.xml><?xml version="1.0" encoding="utf-8"?>
<formControlPr xmlns="http://schemas.microsoft.com/office/spreadsheetml/2009/9/main" objectType="CheckBox" checked="Checked" fmlaLink="$T$18" lockText="1" noThreeD="1"/>
</file>

<file path=xl/ctrlProps/ctrlProp23.xml><?xml version="1.0" encoding="utf-8"?>
<formControlPr xmlns="http://schemas.microsoft.com/office/spreadsheetml/2009/9/main" objectType="CheckBox" checked="Checked" fmlaLink="$T$19" lockText="1" noThreeD="1"/>
</file>

<file path=xl/ctrlProps/ctrlProp24.xml><?xml version="1.0" encoding="utf-8"?>
<formControlPr xmlns="http://schemas.microsoft.com/office/spreadsheetml/2009/9/main" objectType="CheckBox" checked="Checked" fmlaLink="$T$20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List" dx="22" fmlaLink="$H$8" fmlaRange="$P$7:$P$34" noThreeD="1" sel="5" val="0"/>
</file>

<file path=xl/ctrlProps/ctrlProp27.xml><?xml version="1.0" encoding="utf-8"?>
<formControlPr xmlns="http://schemas.microsoft.com/office/spreadsheetml/2009/9/main" objectType="Spin" dx="16" fmlaLink="$M$9" max="30000" page="10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Spin" dx="16" fmlaLink="$I$25" max="30000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PROPORCIONADOR!A1"/><Relationship Id="rId1" Type="http://schemas.openxmlformats.org/officeDocument/2006/relationships/hyperlink" Target="#'CALCULOS MANUALES'!A1"/><Relationship Id="rId4" Type="http://schemas.openxmlformats.org/officeDocument/2006/relationships/hyperlink" Target="#'COBRO EQUIPO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PROPORCIONADOR!A1"/><Relationship Id="rId1" Type="http://schemas.openxmlformats.org/officeDocument/2006/relationships/hyperlink" Target="#'GENERADOR DE NOTAS'!A1"/><Relationship Id="rId4" Type="http://schemas.openxmlformats.org/officeDocument/2006/relationships/hyperlink" Target="#'COBRO EQUIPO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solidad Codigo'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4" Type="http://schemas.openxmlformats.org/officeDocument/2006/relationships/hyperlink" Target="#'COBRO EQUIPO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6" Type="http://schemas.openxmlformats.org/officeDocument/2006/relationships/hyperlink" Target="#'Consolidad Codigo'!G101"/><Relationship Id="rId5" Type="http://schemas.openxmlformats.org/officeDocument/2006/relationships/hyperlink" Target="#'Consolidad Codigo'!A1"/><Relationship Id="rId4" Type="http://schemas.openxmlformats.org/officeDocument/2006/relationships/hyperlink" Target="#'COBRO EQUIPO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ROPORCIONADOR!A1"/><Relationship Id="rId2" Type="http://schemas.openxmlformats.org/officeDocument/2006/relationships/hyperlink" Target="#'CALCULOS MANUALES'!A1"/><Relationship Id="rId1" Type="http://schemas.openxmlformats.org/officeDocument/2006/relationships/hyperlink" Target="#'GENERADOR DE NOTAS'!A1"/><Relationship Id="rId4" Type="http://schemas.openxmlformats.org/officeDocument/2006/relationships/hyperlink" Target="#'Consolidad Codigo'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552450</xdr:colOff>
          <xdr:row>12</xdr:row>
          <xdr:rowOff>266700</xdr:rowOff>
        </xdr:from>
        <xdr:to>
          <xdr:col>2</xdr:col>
          <xdr:colOff>1257300</xdr:colOff>
          <xdr:row>15</xdr:row>
          <xdr:rowOff>257175</xdr:rowOff>
        </xdr:to>
        <xdr:sp macro="" textlink="">
          <xdr:nvSpPr>
            <xdr:cNvPr id="1241" name="List Box 217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3</xdr:row>
          <xdr:rowOff>76200</xdr:rowOff>
        </xdr:from>
        <xdr:to>
          <xdr:col>9</xdr:col>
          <xdr:colOff>238125</xdr:colOff>
          <xdr:row>6</xdr:row>
          <xdr:rowOff>38100</xdr:rowOff>
        </xdr:to>
        <xdr:sp macro="" textlink="">
          <xdr:nvSpPr>
            <xdr:cNvPr id="1579" name="Button 555" hidden="1">
              <a:extLst>
                <a:ext uri="{63B3BB69-23CF-44E3-9099-C40C66FF867C}">
                  <a14:compatExt spid="_x0000_s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</xdr:colOff>
      <xdr:row>0</xdr:row>
      <xdr:rowOff>9525</xdr:rowOff>
    </xdr:from>
    <xdr:to>
      <xdr:col>2</xdr:col>
      <xdr:colOff>219074</xdr:colOff>
      <xdr:row>2</xdr:row>
      <xdr:rowOff>57150</xdr:rowOff>
    </xdr:to>
    <xdr:sp macro="" textlink="">
      <xdr:nvSpPr>
        <xdr:cNvPr id="3" name="Rectángulo redondeado 2"/>
        <xdr:cNvSpPr/>
      </xdr:nvSpPr>
      <xdr:spPr>
        <a:xfrm>
          <a:off x="19050" y="9525"/>
          <a:ext cx="1724024" cy="42862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rgbClr val="FF0000"/>
              </a:solidFill>
            </a:rPr>
            <a:t>GENERADOR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DE</a:t>
          </a:r>
          <a:r>
            <a:rPr lang="es-CO" sz="1100"/>
            <a:t> </a:t>
          </a:r>
          <a:r>
            <a:rPr lang="es-CO" sz="1100">
              <a:solidFill>
                <a:srgbClr val="FF0000"/>
              </a:solidFill>
            </a:rPr>
            <a:t>NOTAS</a:t>
          </a:r>
        </a:p>
      </xdr:txBody>
    </xdr:sp>
    <xdr:clientData/>
  </xdr:twoCellAnchor>
  <xdr:twoCellAnchor>
    <xdr:from>
      <xdr:col>2</xdr:col>
      <xdr:colOff>209550</xdr:colOff>
      <xdr:row>0</xdr:row>
      <xdr:rowOff>9525</xdr:rowOff>
    </xdr:from>
    <xdr:to>
      <xdr:col>3</xdr:col>
      <xdr:colOff>57150</xdr:colOff>
      <xdr:row>2</xdr:row>
      <xdr:rowOff>57150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1733550" y="9525"/>
          <a:ext cx="154305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3</xdr:col>
      <xdr:colOff>76200</xdr:colOff>
      <xdr:row>0</xdr:row>
      <xdr:rowOff>1</xdr:rowOff>
    </xdr:from>
    <xdr:to>
      <xdr:col>4</xdr:col>
      <xdr:colOff>1343025</xdr:colOff>
      <xdr:row>2</xdr:row>
      <xdr:rowOff>57150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3295650" y="1"/>
          <a:ext cx="1409700" cy="438149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1362075</xdr:colOff>
      <xdr:row>0</xdr:row>
      <xdr:rowOff>1</xdr:rowOff>
    </xdr:from>
    <xdr:to>
      <xdr:col>4</xdr:col>
      <xdr:colOff>2524125</xdr:colOff>
      <xdr:row>2</xdr:row>
      <xdr:rowOff>57151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4724400" y="1"/>
          <a:ext cx="1162050" cy="4381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4</xdr:col>
      <xdr:colOff>2495550</xdr:colOff>
      <xdr:row>0</xdr:row>
      <xdr:rowOff>0</xdr:rowOff>
    </xdr:from>
    <xdr:to>
      <xdr:col>5</xdr:col>
      <xdr:colOff>390525</xdr:colOff>
      <xdr:row>2</xdr:row>
      <xdr:rowOff>66675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5857875" y="0"/>
          <a:ext cx="1123950" cy="4476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6</xdr:row>
          <xdr:rowOff>285750</xdr:rowOff>
        </xdr:from>
        <xdr:to>
          <xdr:col>9</xdr:col>
          <xdr:colOff>28575</xdr:colOff>
          <xdr:row>7</xdr:row>
          <xdr:rowOff>209550</xdr:rowOff>
        </xdr:to>
        <xdr:sp macro="" textlink="">
          <xdr:nvSpPr>
            <xdr:cNvPr id="1604" name="Option Button 580" hidden="1">
              <a:extLst>
                <a:ext uri="{63B3BB69-23CF-44E3-9099-C40C66FF867C}">
                  <a14:compatExt spid="_x0000_s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7</xdr:row>
          <xdr:rowOff>285750</xdr:rowOff>
        </xdr:from>
        <xdr:to>
          <xdr:col>9</xdr:col>
          <xdr:colOff>28575</xdr:colOff>
          <xdr:row>8</xdr:row>
          <xdr:rowOff>209550</xdr:rowOff>
        </xdr:to>
        <xdr:sp macro="" textlink="">
          <xdr:nvSpPr>
            <xdr:cNvPr id="1605" name="Option Button 581" hidden="1">
              <a:extLst>
                <a:ext uri="{63B3BB69-23CF-44E3-9099-C40C66FF867C}">
                  <a14:compatExt spid="_x0000_s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9</xdr:row>
          <xdr:rowOff>57150</xdr:rowOff>
        </xdr:from>
        <xdr:to>
          <xdr:col>9</xdr:col>
          <xdr:colOff>28575</xdr:colOff>
          <xdr:row>9</xdr:row>
          <xdr:rowOff>276225</xdr:rowOff>
        </xdr:to>
        <xdr:sp macro="" textlink="">
          <xdr:nvSpPr>
            <xdr:cNvPr id="1606" name="Option Button 582" hidden="1">
              <a:extLst>
                <a:ext uri="{63B3BB69-23CF-44E3-9099-C40C66FF867C}">
                  <a14:compatExt spid="_x0000_s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171450</xdr:colOff>
      <xdr:row>6</xdr:row>
      <xdr:rowOff>266701</xdr:rowOff>
    </xdr:from>
    <xdr:to>
      <xdr:col>10</xdr:col>
      <xdr:colOff>495300</xdr:colOff>
      <xdr:row>7</xdr:row>
      <xdr:rowOff>219076</xdr:rowOff>
    </xdr:to>
    <xdr:sp macro="" textlink="">
      <xdr:nvSpPr>
        <xdr:cNvPr id="2" name="Rectángulo redondeado 1"/>
        <xdr:cNvSpPr/>
      </xdr:nvSpPr>
      <xdr:spPr>
        <a:xfrm>
          <a:off x="12877800" y="1409701"/>
          <a:ext cx="1085850" cy="2476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APROBADO</a:t>
          </a:r>
        </a:p>
      </xdr:txBody>
    </xdr:sp>
    <xdr:clientData/>
  </xdr:twoCellAnchor>
  <xdr:twoCellAnchor>
    <xdr:from>
      <xdr:col>9</xdr:col>
      <xdr:colOff>190500</xdr:colOff>
      <xdr:row>7</xdr:row>
      <xdr:rowOff>285751</xdr:rowOff>
    </xdr:from>
    <xdr:to>
      <xdr:col>10</xdr:col>
      <xdr:colOff>504825</xdr:colOff>
      <xdr:row>8</xdr:row>
      <xdr:rowOff>228600</xdr:rowOff>
    </xdr:to>
    <xdr:sp macro="" textlink="">
      <xdr:nvSpPr>
        <xdr:cNvPr id="13" name="Rectángulo redondeado 12"/>
        <xdr:cNvSpPr/>
      </xdr:nvSpPr>
      <xdr:spPr>
        <a:xfrm>
          <a:off x="12896850" y="1724026"/>
          <a:ext cx="1076325" cy="23812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CORREGIDO</a:t>
          </a:r>
        </a:p>
      </xdr:txBody>
    </xdr:sp>
    <xdr:clientData/>
  </xdr:twoCellAnchor>
  <xdr:twoCellAnchor>
    <xdr:from>
      <xdr:col>9</xdr:col>
      <xdr:colOff>180975</xdr:colOff>
      <xdr:row>9</xdr:row>
      <xdr:rowOff>38100</xdr:rowOff>
    </xdr:from>
    <xdr:to>
      <xdr:col>10</xdr:col>
      <xdr:colOff>504825</xdr:colOff>
      <xdr:row>9</xdr:row>
      <xdr:rowOff>285750</xdr:rowOff>
    </xdr:to>
    <xdr:sp macro="" textlink="">
      <xdr:nvSpPr>
        <xdr:cNvPr id="14" name="Rectángulo redondeado 13"/>
        <xdr:cNvSpPr/>
      </xdr:nvSpPr>
      <xdr:spPr>
        <a:xfrm>
          <a:off x="12887325" y="2066925"/>
          <a:ext cx="1085850" cy="2476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RECHAZADO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9526</xdr:rowOff>
    </xdr:from>
    <xdr:to>
      <xdr:col>2</xdr:col>
      <xdr:colOff>219074</xdr:colOff>
      <xdr:row>2</xdr:row>
      <xdr:rowOff>28576</xdr:rowOff>
    </xdr:to>
    <xdr:sp macro="" textlink="">
      <xdr:nvSpPr>
        <xdr:cNvPr id="2" name="Rectángulo redondeado 1">
          <a:hlinkClick xmlns:r="http://schemas.openxmlformats.org/officeDocument/2006/relationships" r:id="rId1"/>
        </xdr:cNvPr>
        <xdr:cNvSpPr/>
      </xdr:nvSpPr>
      <xdr:spPr>
        <a:xfrm>
          <a:off x="19050" y="9526"/>
          <a:ext cx="1724024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247650</xdr:colOff>
      <xdr:row>0</xdr:row>
      <xdr:rowOff>0</xdr:rowOff>
    </xdr:from>
    <xdr:to>
      <xdr:col>3</xdr:col>
      <xdr:colOff>657225</xdr:colOff>
      <xdr:row>2</xdr:row>
      <xdr:rowOff>28575</xdr:rowOff>
    </xdr:to>
    <xdr:sp macro="" textlink="">
      <xdr:nvSpPr>
        <xdr:cNvPr id="3" name="Rectángulo redondeado 2"/>
        <xdr:cNvSpPr/>
      </xdr:nvSpPr>
      <xdr:spPr>
        <a:xfrm>
          <a:off x="1771650" y="0"/>
          <a:ext cx="1543050" cy="409575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CALCULOS</a:t>
          </a:r>
          <a:r>
            <a:rPr lang="es-CO" sz="1100" b="1"/>
            <a:t> </a:t>
          </a:r>
          <a:r>
            <a:rPr lang="es-CO" sz="1100" b="1">
              <a:solidFill>
                <a:srgbClr val="FF0000"/>
              </a:solidFill>
            </a:rPr>
            <a:t>MANUALES</a:t>
          </a:r>
        </a:p>
      </xdr:txBody>
    </xdr:sp>
    <xdr:clientData/>
  </xdr:twoCellAnchor>
  <xdr:twoCellAnchor>
    <xdr:from>
      <xdr:col>3</xdr:col>
      <xdr:colOff>685800</xdr:colOff>
      <xdr:row>0</xdr:row>
      <xdr:rowOff>1</xdr:rowOff>
    </xdr:from>
    <xdr:to>
      <xdr:col>4</xdr:col>
      <xdr:colOff>942975</xdr:colOff>
      <xdr:row>2</xdr:row>
      <xdr:rowOff>19051</xdr:rowOff>
    </xdr:to>
    <xdr:sp macro="" textlink="">
      <xdr:nvSpPr>
        <xdr:cNvPr id="4" name="Rectángulo redondeado 3">
          <a:hlinkClick xmlns:r="http://schemas.openxmlformats.org/officeDocument/2006/relationships" r:id="rId2"/>
        </xdr:cNvPr>
        <xdr:cNvSpPr/>
      </xdr:nvSpPr>
      <xdr:spPr>
        <a:xfrm>
          <a:off x="3343275" y="1"/>
          <a:ext cx="1409700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4</xdr:col>
      <xdr:colOff>971550</xdr:colOff>
      <xdr:row>0</xdr:row>
      <xdr:rowOff>0</xdr:rowOff>
    </xdr:from>
    <xdr:to>
      <xdr:col>5</xdr:col>
      <xdr:colOff>390525</xdr:colOff>
      <xdr:row>2</xdr:row>
      <xdr:rowOff>28575</xdr:rowOff>
    </xdr:to>
    <xdr:sp macro="" textlink="">
      <xdr:nvSpPr>
        <xdr:cNvPr id="5" name="Rectángulo redondeado 4">
          <a:hlinkClick xmlns:r="http://schemas.openxmlformats.org/officeDocument/2006/relationships" r:id="rId3"/>
        </xdr:cNvPr>
        <xdr:cNvSpPr/>
      </xdr:nvSpPr>
      <xdr:spPr>
        <a:xfrm>
          <a:off x="4781550" y="0"/>
          <a:ext cx="1162050" cy="4095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5</xdr:col>
      <xdr:colOff>390525</xdr:colOff>
      <xdr:row>0</xdr:row>
      <xdr:rowOff>9526</xdr:rowOff>
    </xdr:from>
    <xdr:to>
      <xdr:col>6</xdr:col>
      <xdr:colOff>171450</xdr:colOff>
      <xdr:row>2</xdr:row>
      <xdr:rowOff>38100</xdr:rowOff>
    </xdr:to>
    <xdr:sp macro="" textlink="">
      <xdr:nvSpPr>
        <xdr:cNvPr id="6" name="Rectángulo redondeado 5">
          <a:hlinkClick xmlns:r="http://schemas.openxmlformats.org/officeDocument/2006/relationships" r:id="rId4"/>
        </xdr:cNvPr>
        <xdr:cNvSpPr/>
      </xdr:nvSpPr>
      <xdr:spPr>
        <a:xfrm>
          <a:off x="5943600" y="9526"/>
          <a:ext cx="1238250" cy="40957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552450</xdr:colOff>
          <xdr:row>0</xdr:row>
          <xdr:rowOff>0</xdr:rowOff>
        </xdr:from>
        <xdr:to>
          <xdr:col>9</xdr:col>
          <xdr:colOff>47625</xdr:colOff>
          <xdr:row>0</xdr:row>
          <xdr:rowOff>190500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628650</xdr:colOff>
          <xdr:row>0</xdr:row>
          <xdr:rowOff>0</xdr:rowOff>
        </xdr:from>
        <xdr:to>
          <xdr:col>9</xdr:col>
          <xdr:colOff>866775</xdr:colOff>
          <xdr:row>0</xdr:row>
          <xdr:rowOff>180975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</xdr:row>
          <xdr:rowOff>180975</xdr:rowOff>
        </xdr:from>
        <xdr:to>
          <xdr:col>3</xdr:col>
          <xdr:colOff>9525</xdr:colOff>
          <xdr:row>24</xdr:row>
          <xdr:rowOff>152400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PROPORCIONAR 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19050</xdr:rowOff>
        </xdr:from>
        <xdr:to>
          <xdr:col>12</xdr:col>
          <xdr:colOff>733425</xdr:colOff>
          <xdr:row>6</xdr:row>
          <xdr:rowOff>152400</xdr:rowOff>
        </xdr:to>
        <xdr:sp macro="" textlink="">
          <xdr:nvSpPr>
            <xdr:cNvPr id="4098" name="Group Box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STRATUS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8</xdr:row>
          <xdr:rowOff>9525</xdr:rowOff>
        </xdr:from>
        <xdr:to>
          <xdr:col>14</xdr:col>
          <xdr:colOff>9525</xdr:colOff>
          <xdr:row>10</xdr:row>
          <xdr:rowOff>180975</xdr:rowOff>
        </xdr:to>
        <xdr:sp macro="" textlink="">
          <xdr:nvSpPr>
            <xdr:cNvPr id="4099" name="Group Box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CODIGOS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5</xdr:row>
          <xdr:rowOff>104775</xdr:rowOff>
        </xdr:from>
        <xdr:to>
          <xdr:col>11</xdr:col>
          <xdr:colOff>228600</xdr:colOff>
          <xdr:row>6</xdr:row>
          <xdr:rowOff>123825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 A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647700</xdr:colOff>
          <xdr:row>5</xdr:row>
          <xdr:rowOff>114300</xdr:rowOff>
        </xdr:from>
        <xdr:to>
          <xdr:col>12</xdr:col>
          <xdr:colOff>581025</xdr:colOff>
          <xdr:row>6</xdr:row>
          <xdr:rowOff>133350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A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200025</xdr:colOff>
          <xdr:row>9</xdr:row>
          <xdr:rowOff>0</xdr:rowOff>
        </xdr:from>
        <xdr:to>
          <xdr:col>8</xdr:col>
          <xdr:colOff>171450</xdr:colOff>
          <xdr:row>10</xdr:row>
          <xdr:rowOff>28575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1,2,3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9</xdr:row>
          <xdr:rowOff>19050</xdr:rowOff>
        </xdr:from>
        <xdr:to>
          <xdr:col>9</xdr:col>
          <xdr:colOff>571500</xdr:colOff>
          <xdr:row>10</xdr:row>
          <xdr:rowOff>47625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FAC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9</xdr:row>
          <xdr:rowOff>0</xdr:rowOff>
        </xdr:from>
        <xdr:to>
          <xdr:col>11</xdr:col>
          <xdr:colOff>123825</xdr:colOff>
          <xdr:row>10</xdr:row>
          <xdr:rowOff>28575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 1,2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600075</xdr:colOff>
          <xdr:row>10</xdr:row>
          <xdr:rowOff>47625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9</xdr:row>
          <xdr:rowOff>28575</xdr:rowOff>
        </xdr:from>
        <xdr:to>
          <xdr:col>13</xdr:col>
          <xdr:colOff>714375</xdr:colOff>
          <xdr:row>10</xdr:row>
          <xdr:rowOff>57150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PQR 4,5,6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9</xdr:row>
          <xdr:rowOff>9525</xdr:rowOff>
        </xdr:from>
        <xdr:to>
          <xdr:col>2</xdr:col>
          <xdr:colOff>676275</xdr:colOff>
          <xdr:row>10</xdr:row>
          <xdr:rowOff>38100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@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9525</xdr:rowOff>
        </xdr:from>
        <xdr:to>
          <xdr:col>2</xdr:col>
          <xdr:colOff>495300</xdr:colOff>
          <xdr:row>12</xdr:row>
          <xdr:rowOff>38100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13</xdr:row>
          <xdr:rowOff>19050</xdr:rowOff>
        </xdr:from>
        <xdr:to>
          <xdr:col>2</xdr:col>
          <xdr:colOff>514350</xdr:colOff>
          <xdr:row>14</xdr:row>
          <xdr:rowOff>47625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15</xdr:row>
          <xdr:rowOff>0</xdr:rowOff>
        </xdr:from>
        <xdr:to>
          <xdr:col>2</xdr:col>
          <xdr:colOff>457200</xdr:colOff>
          <xdr:row>16</xdr:row>
          <xdr:rowOff>28575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FNC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17</xdr:row>
          <xdr:rowOff>28575</xdr:rowOff>
        </xdr:from>
        <xdr:to>
          <xdr:col>2</xdr:col>
          <xdr:colOff>447675</xdr:colOff>
          <xdr:row>18</xdr:row>
          <xdr:rowOff>57150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19</xdr:row>
          <xdr:rowOff>0</xdr:rowOff>
        </xdr:from>
        <xdr:to>
          <xdr:col>2</xdr:col>
          <xdr:colOff>304800</xdr:colOff>
          <xdr:row>20</xdr:row>
          <xdr:rowOff>28575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21</xdr:row>
          <xdr:rowOff>38100</xdr:rowOff>
        </xdr:from>
        <xdr:to>
          <xdr:col>2</xdr:col>
          <xdr:colOff>333375</xdr:colOff>
          <xdr:row>22</xdr:row>
          <xdr:rowOff>66675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WIFI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733425</xdr:colOff>
          <xdr:row>4</xdr:row>
          <xdr:rowOff>209550</xdr:rowOff>
        </xdr:from>
        <xdr:to>
          <xdr:col>15</xdr:col>
          <xdr:colOff>352425</xdr:colOff>
          <xdr:row>6</xdr:row>
          <xdr:rowOff>114300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25977</xdr:colOff>
      <xdr:row>0</xdr:row>
      <xdr:rowOff>19916</xdr:rowOff>
    </xdr:from>
    <xdr:to>
      <xdr:col>2</xdr:col>
      <xdr:colOff>676274</xdr:colOff>
      <xdr:row>1</xdr:row>
      <xdr:rowOff>181841</xdr:rowOff>
    </xdr:to>
    <xdr:sp macro="" textlink="">
      <xdr:nvSpPr>
        <xdr:cNvPr id="20" name="Rectángulo redondeado 19">
          <a:hlinkClick xmlns:r="http://schemas.openxmlformats.org/officeDocument/2006/relationships" r:id="rId1"/>
        </xdr:cNvPr>
        <xdr:cNvSpPr/>
      </xdr:nvSpPr>
      <xdr:spPr>
        <a:xfrm>
          <a:off x="25977" y="19916"/>
          <a:ext cx="1724024" cy="352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692727</xdr:colOff>
      <xdr:row>0</xdr:row>
      <xdr:rowOff>0</xdr:rowOff>
    </xdr:from>
    <xdr:to>
      <xdr:col>4</xdr:col>
      <xdr:colOff>711777</xdr:colOff>
      <xdr:row>1</xdr:row>
      <xdr:rowOff>186170</xdr:rowOff>
    </xdr:to>
    <xdr:sp macro="" textlink="">
      <xdr:nvSpPr>
        <xdr:cNvPr id="21" name="Rectángulo redondeado 20">
          <a:hlinkClick xmlns:r="http://schemas.openxmlformats.org/officeDocument/2006/relationships" r:id="rId2"/>
        </xdr:cNvPr>
        <xdr:cNvSpPr/>
      </xdr:nvSpPr>
      <xdr:spPr>
        <a:xfrm>
          <a:off x="1766454" y="0"/>
          <a:ext cx="1543050" cy="37667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718704</xdr:colOff>
      <xdr:row>0</xdr:row>
      <xdr:rowOff>0</xdr:rowOff>
    </xdr:from>
    <xdr:to>
      <xdr:col>6</xdr:col>
      <xdr:colOff>604404</xdr:colOff>
      <xdr:row>2</xdr:row>
      <xdr:rowOff>0</xdr:rowOff>
    </xdr:to>
    <xdr:sp macro="" textlink="">
      <xdr:nvSpPr>
        <xdr:cNvPr id="22" name="Rectángulo redondeado 21"/>
        <xdr:cNvSpPr/>
      </xdr:nvSpPr>
      <xdr:spPr>
        <a:xfrm>
          <a:off x="3316431" y="0"/>
          <a:ext cx="1409700" cy="381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PROPORCIONADOR</a:t>
          </a:r>
        </a:p>
      </xdr:txBody>
    </xdr:sp>
    <xdr:clientData/>
  </xdr:twoCellAnchor>
  <xdr:twoCellAnchor>
    <xdr:from>
      <xdr:col>6</xdr:col>
      <xdr:colOff>614795</xdr:colOff>
      <xdr:row>0</xdr:row>
      <xdr:rowOff>0</xdr:rowOff>
    </xdr:from>
    <xdr:to>
      <xdr:col>8</xdr:col>
      <xdr:colOff>252845</xdr:colOff>
      <xdr:row>1</xdr:row>
      <xdr:rowOff>181841</xdr:rowOff>
    </xdr:to>
    <xdr:sp macro="" textlink="">
      <xdr:nvSpPr>
        <xdr:cNvPr id="23" name="Rectángulo redondeado 22">
          <a:hlinkClick xmlns:r="http://schemas.openxmlformats.org/officeDocument/2006/relationships" r:id="rId3"/>
        </xdr:cNvPr>
        <xdr:cNvSpPr/>
      </xdr:nvSpPr>
      <xdr:spPr>
        <a:xfrm>
          <a:off x="4736522" y="0"/>
          <a:ext cx="1162050" cy="3723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8</xdr:col>
      <xdr:colOff>242455</xdr:colOff>
      <xdr:row>0</xdr:row>
      <xdr:rowOff>0</xdr:rowOff>
    </xdr:from>
    <xdr:to>
      <xdr:col>9</xdr:col>
      <xdr:colOff>442480</xdr:colOff>
      <xdr:row>1</xdr:row>
      <xdr:rowOff>181841</xdr:rowOff>
    </xdr:to>
    <xdr:sp macro="" textlink="">
      <xdr:nvSpPr>
        <xdr:cNvPr id="24" name="Rectángulo redondeado 23">
          <a:hlinkClick xmlns:r="http://schemas.openxmlformats.org/officeDocument/2006/relationships" r:id="rId4"/>
        </xdr:cNvPr>
        <xdr:cNvSpPr/>
      </xdr:nvSpPr>
      <xdr:spPr>
        <a:xfrm>
          <a:off x="5888182" y="0"/>
          <a:ext cx="962025" cy="37234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EQUIPOS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952500</xdr:colOff>
      <xdr:row>2</xdr:row>
      <xdr:rowOff>82827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0" y="0"/>
          <a:ext cx="2664239" cy="60739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GENERADOR</a:t>
          </a:r>
          <a:r>
            <a:rPr lang="es-CO" sz="1100"/>
            <a:t> </a:t>
          </a:r>
          <a:r>
            <a:rPr lang="es-CO" sz="1800"/>
            <a:t>DE</a:t>
          </a:r>
          <a:r>
            <a:rPr lang="es-CO" sz="1100"/>
            <a:t> </a:t>
          </a:r>
          <a:r>
            <a:rPr lang="es-CO" sz="1800"/>
            <a:t>NOTAS</a:t>
          </a:r>
        </a:p>
      </xdr:txBody>
    </xdr:sp>
    <xdr:clientData/>
  </xdr:twoCellAnchor>
  <xdr:twoCellAnchor>
    <xdr:from>
      <xdr:col>4</xdr:col>
      <xdr:colOff>957746</xdr:colOff>
      <xdr:row>0</xdr:row>
      <xdr:rowOff>0</xdr:rowOff>
    </xdr:from>
    <xdr:to>
      <xdr:col>6</xdr:col>
      <xdr:colOff>1642717</xdr:colOff>
      <xdr:row>2</xdr:row>
      <xdr:rowOff>86830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2669485" y="0"/>
          <a:ext cx="2534754" cy="61139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CALCULOS</a:t>
          </a:r>
          <a:r>
            <a:rPr lang="es-CO" sz="1100"/>
            <a:t> </a:t>
          </a:r>
          <a:r>
            <a:rPr lang="es-CO" sz="1800"/>
            <a:t>MANUALES</a:t>
          </a:r>
        </a:p>
      </xdr:txBody>
    </xdr:sp>
    <xdr:clientData/>
  </xdr:twoCellAnchor>
  <xdr:twoCellAnchor>
    <xdr:from>
      <xdr:col>6</xdr:col>
      <xdr:colOff>1624634</xdr:colOff>
      <xdr:row>0</xdr:row>
      <xdr:rowOff>0</xdr:rowOff>
    </xdr:from>
    <xdr:to>
      <xdr:col>7</xdr:col>
      <xdr:colOff>124239</xdr:colOff>
      <xdr:row>2</xdr:row>
      <xdr:rowOff>67502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5186156" y="0"/>
          <a:ext cx="2323409" cy="592067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PROPORCIONADOR</a:t>
          </a:r>
        </a:p>
      </xdr:txBody>
    </xdr:sp>
    <xdr:clientData/>
  </xdr:twoCellAnchor>
  <xdr:twoCellAnchor>
    <xdr:from>
      <xdr:col>7</xdr:col>
      <xdr:colOff>110436</xdr:colOff>
      <xdr:row>0</xdr:row>
      <xdr:rowOff>0</xdr:rowOff>
    </xdr:from>
    <xdr:to>
      <xdr:col>9</xdr:col>
      <xdr:colOff>993913</xdr:colOff>
      <xdr:row>2</xdr:row>
      <xdr:rowOff>124239</xdr:rowOff>
    </xdr:to>
    <xdr:sp macro="" textlink="">
      <xdr:nvSpPr>
        <xdr:cNvPr id="10" name="Rectángulo redondeado 9"/>
        <xdr:cNvSpPr/>
      </xdr:nvSpPr>
      <xdr:spPr>
        <a:xfrm>
          <a:off x="7495762" y="0"/>
          <a:ext cx="1891194" cy="64880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>
              <a:solidFill>
                <a:srgbClr val="FF0000"/>
              </a:solidFill>
            </a:rPr>
            <a:t>CODIGOS</a:t>
          </a:r>
        </a:p>
      </xdr:txBody>
    </xdr:sp>
    <xdr:clientData/>
  </xdr:twoCellAnchor>
  <xdr:twoCellAnchor>
    <xdr:from>
      <xdr:col>9</xdr:col>
      <xdr:colOff>1012966</xdr:colOff>
      <xdr:row>0</xdr:row>
      <xdr:rowOff>0</xdr:rowOff>
    </xdr:from>
    <xdr:to>
      <xdr:col>10</xdr:col>
      <xdr:colOff>1891195</xdr:colOff>
      <xdr:row>2</xdr:row>
      <xdr:rowOff>115957</xdr:rowOff>
    </xdr:to>
    <xdr:sp macro="" textlink="">
      <xdr:nvSpPr>
        <xdr:cNvPr id="11" name="Rectángulo redondeado 10">
          <a:hlinkClick xmlns:r="http://schemas.openxmlformats.org/officeDocument/2006/relationships" r:id="rId4"/>
        </xdr:cNvPr>
        <xdr:cNvSpPr/>
      </xdr:nvSpPr>
      <xdr:spPr>
        <a:xfrm>
          <a:off x="9406009" y="0"/>
          <a:ext cx="1996382" cy="64052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EQUIPOS</a:t>
          </a:r>
        </a:p>
      </xdr:txBody>
    </xdr:sp>
    <xdr:clientData/>
  </xdr:twoCellAnchor>
  <xdr:twoCellAnchor>
    <xdr:from>
      <xdr:col>6</xdr:col>
      <xdr:colOff>1242391</xdr:colOff>
      <xdr:row>92</xdr:row>
      <xdr:rowOff>179455</xdr:rowOff>
    </xdr:from>
    <xdr:to>
      <xdr:col>6</xdr:col>
      <xdr:colOff>2595218</xdr:colOff>
      <xdr:row>97</xdr:row>
      <xdr:rowOff>0</xdr:rowOff>
    </xdr:to>
    <xdr:sp macro="" textlink="">
      <xdr:nvSpPr>
        <xdr:cNvPr id="2" name="Flecha derecha 1">
          <a:hlinkClick xmlns:r="http://schemas.openxmlformats.org/officeDocument/2006/relationships" r:id="rId5"/>
        </xdr:cNvPr>
        <xdr:cNvSpPr/>
      </xdr:nvSpPr>
      <xdr:spPr>
        <a:xfrm rot="16200000">
          <a:off x="4638261" y="26877064"/>
          <a:ext cx="1684131" cy="135282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193261</xdr:colOff>
      <xdr:row>4</xdr:row>
      <xdr:rowOff>0</xdr:rowOff>
    </xdr:from>
    <xdr:to>
      <xdr:col>6</xdr:col>
      <xdr:colOff>3036957</xdr:colOff>
      <xdr:row>5</xdr:row>
      <xdr:rowOff>55218</xdr:rowOff>
    </xdr:to>
    <xdr:sp macro="" textlink="">
      <xdr:nvSpPr>
        <xdr:cNvPr id="4" name="Rectángulo 3">
          <a:hlinkClick xmlns:r="http://schemas.openxmlformats.org/officeDocument/2006/relationships" r:id="rId6"/>
        </xdr:cNvPr>
        <xdr:cNvSpPr/>
      </xdr:nvSpPr>
      <xdr:spPr>
        <a:xfrm>
          <a:off x="3754783" y="0"/>
          <a:ext cx="2843696" cy="33130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2000" b="1"/>
            <a:t>ABAJO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6</xdr:row>
          <xdr:rowOff>47625</xdr:rowOff>
        </xdr:from>
        <xdr:to>
          <xdr:col>6</xdr:col>
          <xdr:colOff>247650</xdr:colOff>
          <xdr:row>24</xdr:row>
          <xdr:rowOff>57150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7</xdr:row>
          <xdr:rowOff>28575</xdr:rowOff>
        </xdr:from>
        <xdr:to>
          <xdr:col>11</xdr:col>
          <xdr:colOff>733425</xdr:colOff>
          <xdr:row>12</xdr:row>
          <xdr:rowOff>9525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22</xdr:row>
          <xdr:rowOff>19050</xdr:rowOff>
        </xdr:from>
        <xdr:to>
          <xdr:col>14</xdr:col>
          <xdr:colOff>219075</xdr:colOff>
          <xdr:row>24</xdr:row>
          <xdr:rowOff>152400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7</xdr:row>
          <xdr:rowOff>161925</xdr:rowOff>
        </xdr:from>
        <xdr:to>
          <xdr:col>14</xdr:col>
          <xdr:colOff>66675</xdr:colOff>
          <xdr:row>11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25</xdr:row>
          <xdr:rowOff>19050</xdr:rowOff>
        </xdr:from>
        <xdr:to>
          <xdr:col>8</xdr:col>
          <xdr:colOff>733425</xdr:colOff>
          <xdr:row>26</xdr:row>
          <xdr:rowOff>152400</xdr:rowOff>
        </xdr:to>
        <xdr:sp macro="" textlink="">
          <xdr:nvSpPr>
            <xdr:cNvPr id="5126" name="Spinner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9525</xdr:colOff>
      <xdr:row>0</xdr:row>
      <xdr:rowOff>9525</xdr:rowOff>
    </xdr:from>
    <xdr:to>
      <xdr:col>2</xdr:col>
      <xdr:colOff>209549</xdr:colOff>
      <xdr:row>2</xdr:row>
      <xdr:rowOff>47625</xdr:rowOff>
    </xdr:to>
    <xdr:sp macro="" textlink="">
      <xdr:nvSpPr>
        <xdr:cNvPr id="7" name="Rectángulo redondeado 6">
          <a:hlinkClick xmlns:r="http://schemas.openxmlformats.org/officeDocument/2006/relationships" r:id="rId1"/>
        </xdr:cNvPr>
        <xdr:cNvSpPr/>
      </xdr:nvSpPr>
      <xdr:spPr>
        <a:xfrm>
          <a:off x="9525" y="9525"/>
          <a:ext cx="1724024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GENERADOR DE NOTAS</a:t>
          </a:r>
        </a:p>
      </xdr:txBody>
    </xdr:sp>
    <xdr:clientData/>
  </xdr:twoCellAnchor>
  <xdr:twoCellAnchor>
    <xdr:from>
      <xdr:col>2</xdr:col>
      <xdr:colOff>209550</xdr:colOff>
      <xdr:row>0</xdr:row>
      <xdr:rowOff>0</xdr:rowOff>
    </xdr:from>
    <xdr:to>
      <xdr:col>4</xdr:col>
      <xdr:colOff>228600</xdr:colOff>
      <xdr:row>2</xdr:row>
      <xdr:rowOff>47625</xdr:rowOff>
    </xdr:to>
    <xdr:sp macro="" textlink="">
      <xdr:nvSpPr>
        <xdr:cNvPr id="8" name="Rectángulo redondeado 7">
          <a:hlinkClick xmlns:r="http://schemas.openxmlformats.org/officeDocument/2006/relationships" r:id="rId2"/>
        </xdr:cNvPr>
        <xdr:cNvSpPr/>
      </xdr:nvSpPr>
      <xdr:spPr>
        <a:xfrm>
          <a:off x="1733550" y="0"/>
          <a:ext cx="154305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CALCULOS MANUALES</a:t>
          </a:r>
        </a:p>
      </xdr:txBody>
    </xdr:sp>
    <xdr:clientData/>
  </xdr:twoCellAnchor>
  <xdr:twoCellAnchor>
    <xdr:from>
      <xdr:col>4</xdr:col>
      <xdr:colOff>219075</xdr:colOff>
      <xdr:row>0</xdr:row>
      <xdr:rowOff>0</xdr:rowOff>
    </xdr:from>
    <xdr:to>
      <xdr:col>6</xdr:col>
      <xdr:colOff>104775</xdr:colOff>
      <xdr:row>2</xdr:row>
      <xdr:rowOff>47625</xdr:rowOff>
    </xdr:to>
    <xdr:sp macro="" textlink="">
      <xdr:nvSpPr>
        <xdr:cNvPr id="9" name="Rectángulo redondeado 8">
          <a:hlinkClick xmlns:r="http://schemas.openxmlformats.org/officeDocument/2006/relationships" r:id="rId3"/>
        </xdr:cNvPr>
        <xdr:cNvSpPr/>
      </xdr:nvSpPr>
      <xdr:spPr>
        <a:xfrm>
          <a:off x="3267075" y="0"/>
          <a:ext cx="1409700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PROPORCIONADOR</a:t>
          </a:r>
        </a:p>
      </xdr:txBody>
    </xdr:sp>
    <xdr:clientData/>
  </xdr:twoCellAnchor>
  <xdr:twoCellAnchor>
    <xdr:from>
      <xdr:col>6</xdr:col>
      <xdr:colOff>114299</xdr:colOff>
      <xdr:row>0</xdr:row>
      <xdr:rowOff>0</xdr:rowOff>
    </xdr:from>
    <xdr:to>
      <xdr:col>7</xdr:col>
      <xdr:colOff>714374</xdr:colOff>
      <xdr:row>2</xdr:row>
      <xdr:rowOff>47625</xdr:rowOff>
    </xdr:to>
    <xdr:sp macro="" textlink="">
      <xdr:nvSpPr>
        <xdr:cNvPr id="10" name="Rectángulo redondeado 9">
          <a:hlinkClick xmlns:r="http://schemas.openxmlformats.org/officeDocument/2006/relationships" r:id="rId4"/>
        </xdr:cNvPr>
        <xdr:cNvSpPr/>
      </xdr:nvSpPr>
      <xdr:spPr>
        <a:xfrm>
          <a:off x="4686299" y="0"/>
          <a:ext cx="1362075" cy="428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CODIGOS</a:t>
          </a:r>
        </a:p>
      </xdr:txBody>
    </xdr:sp>
    <xdr:clientData/>
  </xdr:twoCellAnchor>
  <xdr:twoCellAnchor>
    <xdr:from>
      <xdr:col>7</xdr:col>
      <xdr:colOff>733425</xdr:colOff>
      <xdr:row>0</xdr:row>
      <xdr:rowOff>0</xdr:rowOff>
    </xdr:from>
    <xdr:to>
      <xdr:col>9</xdr:col>
      <xdr:colOff>561975</xdr:colOff>
      <xdr:row>2</xdr:row>
      <xdr:rowOff>57150</xdr:rowOff>
    </xdr:to>
    <xdr:sp macro="" textlink="">
      <xdr:nvSpPr>
        <xdr:cNvPr id="11" name="Rectángulo redondeado 10"/>
        <xdr:cNvSpPr/>
      </xdr:nvSpPr>
      <xdr:spPr>
        <a:xfrm>
          <a:off x="6067425" y="0"/>
          <a:ext cx="1352550" cy="4381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rgbClr val="FF0000"/>
              </a:solidFill>
            </a:rPr>
            <a:t>EQUIPOS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77" name="TIPOLOGIAS." displayName="TIPOLOGIAS." ref="W6:W31" totalsRowShown="0" dataDxfId="18">
  <autoFilter ref="W6:W31"/>
  <tableColumns count="1">
    <tableColumn id="1" name="TIPOLOGIAS" dataDxfId="1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C29:C56" totalsRowShown="0" headerRowDxfId="16" dataDxfId="15">
  <autoFilter ref="C29:C56"/>
  <sortState ref="C27:C51">
    <sortCondition ref="C27"/>
  </sortState>
  <tableColumns count="1">
    <tableColumn id="1" name="Columna1" dataDxfId="1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5" name="Tabla25" displayName="Tabla25" ref="D3:E13" totalsRowShown="0">
  <autoFilter ref="D3:E13"/>
  <tableColumns count="2">
    <tableColumn id="1" name="TEMA" dataDxfId="13"/>
    <tableColumn id="2" name="LINK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6" name="TIPOLOGIA" displayName="TIPOLOGIA" ref="K1:K22" totalsRowShown="0">
  <autoFilter ref="K1:K22"/>
  <tableColumns count="1">
    <tableColumn id="1" name="TIPOLOGIAS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EQUIPO" displayName="EQUIPO" ref="P6:R34" totalsRowShown="0" headerRowDxfId="12" headerRowBorderDxfId="11" tableBorderDxfId="10">
  <autoFilter ref="P6:R34"/>
  <tableColumns count="3">
    <tableColumn id="1" name="EQUIPO" dataDxfId="9"/>
    <tableColumn id="2" name="VALOR CON IVA" dataDxfId="8"/>
    <tableColumn id="3" name="VALOR SIN IVA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26" name="Tabla126" displayName="Tabla126" ref="C4:C9" totalsRowShown="0">
  <autoFilter ref="C4:C9"/>
  <tableColumns count="1">
    <tableColumn id="1" name="VALOR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uiski84.github.io/aplicativos/" TargetMode="External"/><Relationship Id="rId6" Type="http://schemas.openxmlformats.org/officeDocument/2006/relationships/ctrlProp" Target="../ctrlProps/ctrlProp2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18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25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17" Type="http://schemas.openxmlformats.org/officeDocument/2006/relationships/ctrlProp" Target="../ctrlProps/ctrlProp21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0.xml"/><Relationship Id="rId20" Type="http://schemas.openxmlformats.org/officeDocument/2006/relationships/ctrlProp" Target="../ctrlProps/ctrlProp2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19" Type="http://schemas.openxmlformats.org/officeDocument/2006/relationships/ctrlProp" Target="../ctrlProps/ctrlProp23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Relationship Id="rId2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5" tint="-0.249977111117893"/>
  </sheetPr>
  <dimension ref="A1:W59"/>
  <sheetViews>
    <sheetView showRowColHeaders="0" tabSelected="1" workbookViewId="0">
      <selection activeCell="F9" sqref="F9:G10"/>
    </sheetView>
  </sheetViews>
  <sheetFormatPr baseColWidth="10" defaultColWidth="0" defaultRowHeight="15" zeroHeight="1" x14ac:dyDescent="0.25"/>
  <cols>
    <col min="1" max="2" width="11.42578125" customWidth="1"/>
    <col min="3" max="3" width="25.42578125" bestFit="1" customWidth="1"/>
    <col min="4" max="4" width="2.140625" customWidth="1"/>
    <col min="5" max="5" width="48.140625" customWidth="1"/>
    <col min="6" max="6" width="17" bestFit="1" customWidth="1"/>
    <col min="7" max="7" width="52.140625" bestFit="1" customWidth="1"/>
    <col min="8" max="11" width="11.42578125" customWidth="1"/>
    <col min="12" max="14" width="11.42578125" hidden="1" customWidth="1"/>
    <col min="15" max="15" width="34.42578125" hidden="1" customWidth="1"/>
    <col min="16" max="16" width="52.140625" hidden="1" customWidth="1"/>
    <col min="17" max="17" width="56.42578125" hidden="1" customWidth="1"/>
    <col min="18" max="18" width="47.42578125" hidden="1" customWidth="1"/>
    <col min="19" max="19" width="11.42578125" hidden="1" customWidth="1"/>
    <col min="20" max="20" width="15.5703125" hidden="1" customWidth="1"/>
    <col min="21" max="22" width="11.42578125" hidden="1" customWidth="1"/>
    <col min="23" max="23" width="45.5703125" hidden="1" customWidth="1"/>
    <col min="24" max="16384" width="11.42578125" hidden="1"/>
  </cols>
  <sheetData>
    <row r="1" spans="1:23" ht="15.75" thickBot="1" x14ac:dyDescent="0.3">
      <c r="A1" s="138">
        <v>137902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</row>
    <row r="2" spans="1:23" ht="15.75" thickBot="1" x14ac:dyDescent="0.3">
      <c r="A2" s="138"/>
      <c r="B2" s="138"/>
      <c r="C2" s="138"/>
      <c r="D2" s="138"/>
      <c r="E2" s="138"/>
      <c r="F2" s="138"/>
      <c r="G2" s="151" t="s">
        <v>747</v>
      </c>
      <c r="H2" s="138"/>
      <c r="I2" s="138"/>
      <c r="J2" s="138"/>
      <c r="K2" s="138"/>
    </row>
    <row r="3" spans="1:23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P3" s="100"/>
    </row>
    <row r="4" spans="1:23" x14ac:dyDescent="0.25">
      <c r="A4" s="124"/>
      <c r="B4" s="124"/>
      <c r="C4" s="124"/>
      <c r="D4" s="124"/>
      <c r="E4" s="124"/>
      <c r="F4" s="124"/>
      <c r="G4" s="125" t="e">
        <f>VLOOKUP(F10,J4:K6,2,FALSE)</f>
        <v>#N/A</v>
      </c>
      <c r="H4" s="125"/>
      <c r="I4" s="125"/>
      <c r="J4" s="125" t="s">
        <v>612</v>
      </c>
      <c r="K4" s="125">
        <v>1</v>
      </c>
      <c r="M4" s="99"/>
      <c r="O4" s="100"/>
      <c r="P4" s="100"/>
      <c r="Q4" s="100"/>
    </row>
    <row r="5" spans="1:23" x14ac:dyDescent="0.25">
      <c r="A5" s="124"/>
      <c r="B5" s="124"/>
      <c r="C5" s="124"/>
      <c r="D5" s="124"/>
      <c r="E5" s="124"/>
      <c r="F5" s="124"/>
      <c r="G5" s="125"/>
      <c r="H5" s="125"/>
      <c r="I5" s="125"/>
      <c r="J5" s="125" t="s">
        <v>611</v>
      </c>
      <c r="K5" s="125">
        <v>2</v>
      </c>
      <c r="M5" s="99"/>
      <c r="N5">
        <v>2</v>
      </c>
      <c r="O5" s="100"/>
      <c r="P5" s="100"/>
      <c r="Q5" s="148" t="s">
        <v>742</v>
      </c>
    </row>
    <row r="6" spans="1:23" x14ac:dyDescent="0.25">
      <c r="A6" s="124"/>
      <c r="B6" s="124"/>
      <c r="C6" s="124"/>
      <c r="D6" s="124"/>
      <c r="E6" s="124"/>
      <c r="F6" s="124"/>
      <c r="G6" s="125"/>
      <c r="H6" s="125"/>
      <c r="I6" s="125"/>
      <c r="J6" s="125" t="s">
        <v>613</v>
      </c>
      <c r="K6" s="125">
        <v>3</v>
      </c>
      <c r="M6" s="99"/>
      <c r="O6" s="100"/>
      <c r="P6" s="100"/>
      <c r="Q6" s="148" t="s">
        <v>743</v>
      </c>
      <c r="W6" t="s">
        <v>644</v>
      </c>
    </row>
    <row r="7" spans="1:23" ht="23.25" x14ac:dyDescent="0.35">
      <c r="A7" s="124"/>
      <c r="B7" s="124"/>
      <c r="C7" s="124"/>
      <c r="D7" s="124"/>
      <c r="E7" s="124"/>
      <c r="F7" s="124"/>
      <c r="G7" s="125"/>
      <c r="H7" s="125"/>
      <c r="I7" s="125"/>
      <c r="J7" s="125"/>
      <c r="K7" s="125"/>
      <c r="M7" s="99"/>
      <c r="O7" s="100"/>
      <c r="P7" s="100"/>
      <c r="Q7" s="148" t="s">
        <v>744</v>
      </c>
      <c r="W7" s="122" t="s">
        <v>625</v>
      </c>
    </row>
    <row r="8" spans="1:23" ht="23.25" x14ac:dyDescent="0.35">
      <c r="A8" s="124"/>
      <c r="B8" s="124"/>
      <c r="C8" s="124"/>
      <c r="D8" s="124"/>
      <c r="E8" s="156" t="s">
        <v>723</v>
      </c>
      <c r="F8" s="157"/>
      <c r="G8" s="158"/>
      <c r="H8" s="124"/>
      <c r="I8" s="124"/>
      <c r="J8" s="124"/>
      <c r="K8" s="124"/>
      <c r="M8" s="99"/>
      <c r="O8" s="100"/>
      <c r="P8" s="100"/>
      <c r="Q8" s="148" t="s">
        <v>745</v>
      </c>
      <c r="W8" s="122" t="s">
        <v>626</v>
      </c>
    </row>
    <row r="9" spans="1:23" ht="23.25" customHeight="1" x14ac:dyDescent="0.35">
      <c r="A9" s="124"/>
      <c r="B9" s="124"/>
      <c r="C9" s="124"/>
      <c r="D9" s="124"/>
      <c r="E9" s="162" t="str">
        <f>IF(N5=1,"SE APRUEBA SOLICITUD,",IF(N5=2,"SE CORRIGE SOLICITUD,","SE RECHAZA SOLICITUD,"))</f>
        <v>SE CORRIGE SOLICITUD,</v>
      </c>
      <c r="F9" s="164"/>
      <c r="G9" s="164"/>
      <c r="H9" s="124" t="s">
        <v>741</v>
      </c>
      <c r="I9" s="124"/>
      <c r="J9" s="124"/>
      <c r="K9" s="124"/>
      <c r="M9" s="99"/>
      <c r="P9" s="100"/>
      <c r="Q9" s="148"/>
      <c r="W9" s="122" t="s">
        <v>627</v>
      </c>
    </row>
    <row r="10" spans="1:23" ht="48.75" customHeight="1" x14ac:dyDescent="0.35">
      <c r="A10" s="124"/>
      <c r="B10" s="124"/>
      <c r="C10" s="124"/>
      <c r="D10" s="124"/>
      <c r="E10" s="163"/>
      <c r="F10" s="164"/>
      <c r="G10" s="164"/>
      <c r="H10" s="125">
        <v>20</v>
      </c>
      <c r="I10" s="124"/>
      <c r="J10" s="124"/>
      <c r="K10" s="124"/>
      <c r="P10" s="100"/>
      <c r="Q10" s="100"/>
      <c r="W10" s="122" t="s">
        <v>628</v>
      </c>
    </row>
    <row r="11" spans="1:23" ht="23.25" customHeight="1" x14ac:dyDescent="0.35">
      <c r="A11" s="124"/>
      <c r="B11" s="124"/>
      <c r="C11" s="124"/>
      <c r="D11" s="124"/>
      <c r="E11" s="149" t="str">
        <f>IF(N5=2,"SE CORRIGE PORQUE","")</f>
        <v>SE CORRIGE PORQUE</v>
      </c>
      <c r="F11" s="159"/>
      <c r="G11" s="159"/>
      <c r="H11" s="124"/>
      <c r="I11" s="124"/>
      <c r="J11" s="124"/>
      <c r="K11" s="124"/>
      <c r="P11" s="100"/>
      <c r="Q11" s="100"/>
      <c r="W11" s="122" t="s">
        <v>629</v>
      </c>
    </row>
    <row r="12" spans="1:23" ht="15" customHeight="1" x14ac:dyDescent="0.35">
      <c r="A12" s="124"/>
      <c r="B12" s="124"/>
      <c r="C12" s="124"/>
      <c r="D12" s="124"/>
      <c r="E12" s="160" t="str">
        <f>INDEX(Hoja3!E4:E13,D14,1)</f>
        <v>.</v>
      </c>
      <c r="F12" s="161"/>
      <c r="G12" s="161"/>
      <c r="H12" s="124"/>
      <c r="I12" s="124"/>
      <c r="J12" s="124"/>
      <c r="K12" s="124"/>
      <c r="L12">
        <v>52648</v>
      </c>
      <c r="P12" s="100"/>
      <c r="Q12" s="100"/>
      <c r="W12" s="122" t="s">
        <v>630</v>
      </c>
    </row>
    <row r="13" spans="1:23" ht="23.25" x14ac:dyDescent="0.35">
      <c r="A13" s="124"/>
      <c r="B13" s="124"/>
      <c r="C13" s="124" t="s">
        <v>620</v>
      </c>
      <c r="D13" s="124"/>
      <c r="E13" s="124"/>
      <c r="F13" s="124"/>
      <c r="G13" s="124"/>
      <c r="H13" s="124"/>
      <c r="I13" s="124"/>
      <c r="J13" s="124"/>
      <c r="K13" s="124"/>
      <c r="P13" s="100"/>
      <c r="Q13" s="100"/>
      <c r="W13" s="122" t="s">
        <v>631</v>
      </c>
    </row>
    <row r="14" spans="1:23" ht="58.5" customHeight="1" x14ac:dyDescent="0.35">
      <c r="A14" s="124"/>
      <c r="B14" s="124"/>
      <c r="C14" s="124"/>
      <c r="D14" s="126">
        <v>4</v>
      </c>
      <c r="E14" s="124"/>
      <c r="F14" s="124"/>
      <c r="G14" s="124"/>
      <c r="H14" s="124"/>
      <c r="I14" s="124"/>
      <c r="J14" s="124"/>
      <c r="K14" s="124"/>
      <c r="P14" s="100"/>
      <c r="Q14" s="100"/>
      <c r="W14" s="122" t="s">
        <v>632</v>
      </c>
    </row>
    <row r="15" spans="1:23" ht="23.25" x14ac:dyDescent="0.3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W15" s="122" t="s">
        <v>633</v>
      </c>
    </row>
    <row r="16" spans="1:23" ht="23.25" x14ac:dyDescent="0.3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W16" s="122" t="s">
        <v>634</v>
      </c>
    </row>
    <row r="17" spans="1:23" ht="23.25" hidden="1" x14ac:dyDescent="0.35">
      <c r="A17" s="141"/>
      <c r="B17" s="141"/>
      <c r="C17" s="141"/>
      <c r="D17" s="142"/>
      <c r="E17" s="141"/>
      <c r="F17" s="141"/>
      <c r="G17" s="141"/>
      <c r="H17" s="141"/>
      <c r="I17" s="141"/>
      <c r="J17" s="141"/>
      <c r="K17" s="141"/>
      <c r="W17" s="122" t="s">
        <v>635</v>
      </c>
    </row>
    <row r="18" spans="1:23" ht="23.25" hidden="1" customHeight="1" x14ac:dyDescent="0.35">
      <c r="A18" s="138"/>
      <c r="B18" s="138"/>
      <c r="C18" s="143"/>
      <c r="D18" s="143"/>
      <c r="E18" s="144"/>
      <c r="F18" s="138"/>
      <c r="G18" s="145"/>
      <c r="H18" s="145"/>
      <c r="I18" s="145"/>
      <c r="J18" s="145"/>
      <c r="K18" s="145"/>
      <c r="M18" s="104"/>
      <c r="W18" s="122" t="s">
        <v>636</v>
      </c>
    </row>
    <row r="19" spans="1:23" ht="23.25" hidden="1" x14ac:dyDescent="0.35">
      <c r="A19" s="138"/>
      <c r="B19" s="138"/>
      <c r="C19" s="143"/>
      <c r="D19" s="143"/>
      <c r="E19" s="144"/>
      <c r="F19" s="145"/>
      <c r="G19" s="145"/>
      <c r="H19" s="145"/>
      <c r="I19" s="145"/>
      <c r="J19" s="145"/>
      <c r="K19" s="145"/>
      <c r="W19" s="122" t="s">
        <v>637</v>
      </c>
    </row>
    <row r="20" spans="1:23" ht="23.25" hidden="1" x14ac:dyDescent="0.35">
      <c r="A20" s="138"/>
      <c r="B20" s="138"/>
      <c r="C20" s="143"/>
      <c r="D20" s="143"/>
      <c r="E20" s="146"/>
      <c r="F20" s="145"/>
      <c r="G20" s="145"/>
      <c r="H20" s="145"/>
      <c r="I20" s="145"/>
      <c r="J20" s="145"/>
      <c r="K20" s="145"/>
      <c r="L20" s="101"/>
      <c r="M20" s="103"/>
      <c r="N20" s="103"/>
      <c r="O20" s="103"/>
      <c r="W20" s="122" t="s">
        <v>638</v>
      </c>
    </row>
    <row r="21" spans="1:23" ht="23.25" hidden="1" x14ac:dyDescent="0.35">
      <c r="A21" s="138"/>
      <c r="B21" s="138"/>
      <c r="C21" s="143"/>
      <c r="D21" s="143"/>
      <c r="E21" s="138"/>
      <c r="F21" s="145"/>
      <c r="G21" s="145"/>
      <c r="H21" s="145"/>
      <c r="I21" s="145"/>
      <c r="J21" s="145"/>
      <c r="K21" s="145"/>
      <c r="L21" s="101"/>
      <c r="O21" s="103"/>
      <c r="W21" s="122" t="s">
        <v>639</v>
      </c>
    </row>
    <row r="22" spans="1:23" ht="23.25" hidden="1" x14ac:dyDescent="0.35">
      <c r="A22" s="138"/>
      <c r="B22" s="138"/>
      <c r="C22" s="143"/>
      <c r="D22" s="143"/>
      <c r="E22" s="138"/>
      <c r="F22" s="145"/>
      <c r="G22" s="145"/>
      <c r="H22" s="145"/>
      <c r="I22" s="145"/>
      <c r="J22" s="145"/>
      <c r="K22" s="145"/>
      <c r="W22" s="122" t="s">
        <v>640</v>
      </c>
    </row>
    <row r="23" spans="1:23" ht="23.25" hidden="1" x14ac:dyDescent="0.35">
      <c r="A23" s="138"/>
      <c r="B23" s="138"/>
      <c r="C23" s="143"/>
      <c r="D23" s="143"/>
      <c r="E23" s="138"/>
      <c r="F23" s="145"/>
      <c r="G23" s="145"/>
      <c r="H23" s="145"/>
      <c r="I23" s="145"/>
      <c r="J23" s="145"/>
      <c r="K23" s="145"/>
      <c r="W23" s="122" t="s">
        <v>641</v>
      </c>
    </row>
    <row r="24" spans="1:23" ht="23.25" hidden="1" x14ac:dyDescent="0.35">
      <c r="A24" s="138"/>
      <c r="B24" s="138"/>
      <c r="C24" s="143"/>
      <c r="D24" s="143"/>
      <c r="E24" s="138"/>
      <c r="F24" s="138"/>
      <c r="G24" s="145"/>
      <c r="H24" s="145"/>
      <c r="I24" s="145"/>
      <c r="J24" s="145"/>
      <c r="K24" s="145"/>
      <c r="W24" s="122" t="s">
        <v>642</v>
      </c>
    </row>
    <row r="25" spans="1:23" ht="23.25" hidden="1" x14ac:dyDescent="0.35">
      <c r="A25" s="138"/>
      <c r="B25" s="138"/>
      <c r="C25" s="143"/>
      <c r="D25" s="143"/>
      <c r="E25" s="138"/>
      <c r="F25" s="138"/>
      <c r="G25" s="145"/>
      <c r="H25" s="145"/>
      <c r="I25" s="145"/>
      <c r="J25" s="145"/>
      <c r="K25" s="138"/>
      <c r="O25" s="101"/>
      <c r="S25" s="101"/>
      <c r="T25" s="101"/>
      <c r="W25" s="122" t="s">
        <v>643</v>
      </c>
    </row>
    <row r="26" spans="1:23" ht="23.25" hidden="1" x14ac:dyDescent="0.35">
      <c r="A26" s="138"/>
      <c r="B26" s="138"/>
      <c r="C26" s="143"/>
      <c r="D26" s="143"/>
      <c r="E26" s="138"/>
      <c r="F26" s="145"/>
      <c r="G26" s="145"/>
      <c r="H26" s="145"/>
      <c r="I26" s="145"/>
      <c r="J26" s="145"/>
      <c r="K26" s="138"/>
      <c r="O26" s="101"/>
      <c r="T26" s="101"/>
      <c r="W26" s="122" t="s">
        <v>645</v>
      </c>
    </row>
    <row r="27" spans="1:23" ht="23.25" hidden="1" x14ac:dyDescent="0.35">
      <c r="A27" s="138"/>
      <c r="B27" s="138"/>
      <c r="C27" s="143"/>
      <c r="D27" s="143"/>
      <c r="E27" s="138"/>
      <c r="F27" s="138"/>
      <c r="G27" s="145"/>
      <c r="H27" s="145"/>
      <c r="I27" s="145"/>
      <c r="J27" s="138"/>
      <c r="K27" s="145"/>
      <c r="M27" s="101"/>
      <c r="N27" s="101"/>
      <c r="O27" s="101"/>
      <c r="T27" s="101"/>
      <c r="W27" s="122" t="s">
        <v>646</v>
      </c>
    </row>
    <row r="28" spans="1:23" ht="23.25" hidden="1" x14ac:dyDescent="0.35">
      <c r="A28" s="138"/>
      <c r="B28" s="138"/>
      <c r="C28" s="143"/>
      <c r="D28" s="143"/>
      <c r="E28" s="138"/>
      <c r="F28" s="138"/>
      <c r="G28" s="145"/>
      <c r="H28" s="145"/>
      <c r="I28" s="145"/>
      <c r="J28" s="145"/>
      <c r="K28" s="145"/>
      <c r="M28" s="101"/>
      <c r="N28" s="101"/>
      <c r="O28" s="101"/>
      <c r="P28" s="101"/>
      <c r="T28" s="101"/>
      <c r="W28" s="122" t="s">
        <v>647</v>
      </c>
    </row>
    <row r="29" spans="1:23" ht="23.25" hidden="1" x14ac:dyDescent="0.35">
      <c r="A29" s="138"/>
      <c r="B29" s="138"/>
      <c r="C29" s="143" t="s">
        <v>700</v>
      </c>
      <c r="D29" s="138"/>
      <c r="E29" s="138" t="s">
        <v>719</v>
      </c>
      <c r="F29" s="138"/>
      <c r="G29" s="145"/>
      <c r="H29" s="145"/>
      <c r="I29" s="145"/>
      <c r="J29" s="138"/>
      <c r="K29" s="145"/>
      <c r="M29" s="101"/>
      <c r="N29" s="101"/>
      <c r="O29" s="101"/>
      <c r="T29" s="101"/>
      <c r="W29" s="122" t="s">
        <v>648</v>
      </c>
    </row>
    <row r="30" spans="1:23" ht="23.25" hidden="1" x14ac:dyDescent="0.35">
      <c r="A30" s="138"/>
      <c r="B30" s="138"/>
      <c r="C30" s="143" t="s">
        <v>701</v>
      </c>
      <c r="D30" s="138"/>
      <c r="E30" s="138"/>
      <c r="F30" s="138"/>
      <c r="G30" s="145"/>
      <c r="H30" s="145"/>
      <c r="I30" s="145"/>
      <c r="J30" s="138"/>
      <c r="K30" s="145"/>
      <c r="M30" s="101"/>
      <c r="N30" s="101"/>
      <c r="O30" s="101"/>
      <c r="T30" s="101"/>
      <c r="W30" s="122" t="s">
        <v>649</v>
      </c>
    </row>
    <row r="31" spans="1:23" ht="23.25" hidden="1" x14ac:dyDescent="0.35">
      <c r="A31" s="138"/>
      <c r="B31" s="138"/>
      <c r="C31" s="143" t="s">
        <v>702</v>
      </c>
      <c r="D31" s="138"/>
      <c r="E31" s="138"/>
      <c r="F31" s="138"/>
      <c r="G31" s="145"/>
      <c r="H31" s="138"/>
      <c r="I31" s="145"/>
      <c r="J31" s="138"/>
      <c r="K31" s="145"/>
      <c r="M31" s="101"/>
      <c r="N31" s="101"/>
      <c r="O31" s="101"/>
      <c r="P31" s="101"/>
      <c r="T31" s="101"/>
      <c r="W31" s="122" t="s">
        <v>697</v>
      </c>
    </row>
    <row r="32" spans="1:23" hidden="1" x14ac:dyDescent="0.25">
      <c r="A32" s="138"/>
      <c r="B32" s="138"/>
      <c r="C32" s="143" t="s">
        <v>703</v>
      </c>
      <c r="D32" s="138"/>
      <c r="E32" s="138"/>
      <c r="F32" s="138"/>
      <c r="G32" s="138"/>
      <c r="H32" s="138"/>
      <c r="I32" s="138"/>
      <c r="J32" s="138"/>
      <c r="K32" s="138"/>
    </row>
    <row r="33" spans="1:11" hidden="1" x14ac:dyDescent="0.25">
      <c r="A33" s="138"/>
      <c r="B33" s="138"/>
      <c r="C33" s="143" t="s">
        <v>704</v>
      </c>
      <c r="D33" s="138"/>
      <c r="E33" s="138"/>
      <c r="F33" s="138"/>
      <c r="G33" s="138"/>
      <c r="H33" s="138"/>
      <c r="I33" s="138"/>
      <c r="J33" s="138"/>
      <c r="K33" s="138"/>
    </row>
    <row r="34" spans="1:11" hidden="1" x14ac:dyDescent="0.25">
      <c r="A34" s="138"/>
      <c r="B34" s="138"/>
      <c r="C34" s="143" t="s">
        <v>733</v>
      </c>
      <c r="D34" s="138"/>
      <c r="E34" s="138"/>
      <c r="F34" s="138"/>
      <c r="G34" s="138"/>
      <c r="H34" s="138"/>
      <c r="I34" s="138"/>
      <c r="J34" s="138"/>
      <c r="K34" s="138"/>
    </row>
    <row r="35" spans="1:11" hidden="1" x14ac:dyDescent="0.25">
      <c r="A35" s="138"/>
      <c r="B35" s="138"/>
      <c r="C35" s="143" t="s">
        <v>705</v>
      </c>
      <c r="D35" s="138"/>
      <c r="E35" s="138"/>
      <c r="F35" s="138"/>
      <c r="G35" s="138"/>
      <c r="H35" s="138"/>
      <c r="I35" s="138"/>
      <c r="J35" s="138"/>
      <c r="K35" s="138"/>
    </row>
    <row r="36" spans="1:11" hidden="1" x14ac:dyDescent="0.25">
      <c r="A36" s="138"/>
      <c r="B36" s="138"/>
      <c r="C36" s="143" t="s">
        <v>706</v>
      </c>
      <c r="D36" s="138"/>
      <c r="E36" s="138"/>
      <c r="F36" s="138"/>
      <c r="G36" s="138"/>
      <c r="H36" s="145"/>
      <c r="I36" s="138"/>
      <c r="J36" s="138"/>
      <c r="K36" s="138"/>
    </row>
    <row r="37" spans="1:11" hidden="1" x14ac:dyDescent="0.25">
      <c r="A37" s="138"/>
      <c r="B37" s="138"/>
      <c r="C37" s="143" t="s">
        <v>738</v>
      </c>
      <c r="D37" s="138"/>
      <c r="E37" s="138"/>
      <c r="F37" s="138"/>
      <c r="G37" s="138"/>
      <c r="H37" s="145"/>
      <c r="I37" s="138"/>
      <c r="J37" s="138"/>
      <c r="K37" s="138"/>
    </row>
    <row r="38" spans="1:11" hidden="1" x14ac:dyDescent="0.25">
      <c r="A38" s="138"/>
      <c r="B38" s="138"/>
      <c r="C38" s="143" t="s">
        <v>707</v>
      </c>
      <c r="D38" s="138"/>
      <c r="E38" s="138"/>
      <c r="F38" s="138"/>
      <c r="G38" s="138"/>
      <c r="H38" s="145"/>
      <c r="I38" s="138"/>
      <c r="J38" s="138"/>
      <c r="K38" s="138"/>
    </row>
    <row r="39" spans="1:11" hidden="1" x14ac:dyDescent="0.25">
      <c r="A39" s="138"/>
      <c r="B39" s="138"/>
      <c r="C39" s="143" t="s">
        <v>712</v>
      </c>
      <c r="D39" s="138"/>
      <c r="E39" s="138"/>
      <c r="F39" s="138"/>
      <c r="G39" s="138"/>
      <c r="H39" s="145"/>
      <c r="I39" s="138"/>
      <c r="J39" s="138"/>
      <c r="K39" s="138"/>
    </row>
    <row r="40" spans="1:11" hidden="1" x14ac:dyDescent="0.25">
      <c r="A40" s="138"/>
      <c r="B40" s="138"/>
      <c r="C40" s="143" t="s">
        <v>734</v>
      </c>
      <c r="D40" s="138"/>
      <c r="E40" s="138"/>
      <c r="F40" s="138"/>
      <c r="G40" s="138"/>
      <c r="H40" s="145"/>
      <c r="I40" s="138"/>
      <c r="J40" s="138"/>
      <c r="K40" s="138"/>
    </row>
    <row r="41" spans="1:11" hidden="1" x14ac:dyDescent="0.25">
      <c r="A41" s="138"/>
      <c r="B41" s="138"/>
      <c r="C41" s="143" t="s">
        <v>716</v>
      </c>
      <c r="D41" s="138"/>
      <c r="E41" s="138"/>
      <c r="F41" s="138"/>
      <c r="G41" s="138"/>
      <c r="H41" s="145"/>
      <c r="I41" s="138"/>
      <c r="J41" s="138"/>
      <c r="K41" s="138"/>
    </row>
    <row r="42" spans="1:11" hidden="1" x14ac:dyDescent="0.25">
      <c r="A42" s="138"/>
      <c r="B42" s="138"/>
      <c r="C42" s="143" t="s">
        <v>713</v>
      </c>
      <c r="D42" s="138"/>
      <c r="E42" s="138"/>
      <c r="F42" s="138"/>
      <c r="G42" s="138"/>
      <c r="H42" s="145"/>
      <c r="I42" s="138"/>
      <c r="J42" s="138"/>
      <c r="K42" s="138"/>
    </row>
    <row r="43" spans="1:11" hidden="1" x14ac:dyDescent="0.25">
      <c r="A43" s="138"/>
      <c r="B43" s="138"/>
      <c r="C43" s="143" t="s">
        <v>714</v>
      </c>
      <c r="D43" s="138"/>
      <c r="E43" s="138"/>
      <c r="F43" s="138"/>
      <c r="G43" s="138"/>
      <c r="H43" s="145"/>
      <c r="I43" s="138"/>
      <c r="J43" s="138"/>
      <c r="K43" s="138"/>
    </row>
    <row r="44" spans="1:11" hidden="1" x14ac:dyDescent="0.25">
      <c r="A44" s="138"/>
      <c r="B44" s="138"/>
      <c r="C44" s="143" t="s">
        <v>715</v>
      </c>
      <c r="D44" s="138"/>
      <c r="E44" s="138"/>
      <c r="F44" s="138"/>
      <c r="G44" s="138"/>
      <c r="H44" s="138"/>
      <c r="I44" s="138"/>
      <c r="J44" s="138"/>
      <c r="K44" s="138"/>
    </row>
    <row r="45" spans="1:11" hidden="1" x14ac:dyDescent="0.25">
      <c r="A45" s="138"/>
      <c r="B45" s="138"/>
      <c r="C45" s="143" t="s">
        <v>717</v>
      </c>
      <c r="D45" s="138"/>
      <c r="E45" s="138"/>
      <c r="F45" s="138"/>
      <c r="G45" s="138"/>
      <c r="H45" s="138"/>
      <c r="I45" s="138"/>
      <c r="J45" s="138"/>
      <c r="K45" s="138"/>
    </row>
    <row r="46" spans="1:11" hidden="1" x14ac:dyDescent="0.25">
      <c r="A46" s="138"/>
      <c r="B46" s="138"/>
      <c r="C46" s="143" t="s">
        <v>137</v>
      </c>
      <c r="D46" s="138"/>
      <c r="E46" s="138"/>
      <c r="F46" s="138"/>
      <c r="G46" s="138"/>
      <c r="H46" s="138"/>
      <c r="I46" s="138"/>
      <c r="J46" s="138"/>
      <c r="K46" s="138"/>
    </row>
    <row r="47" spans="1:11" hidden="1" x14ac:dyDescent="0.25">
      <c r="A47" s="138"/>
      <c r="B47" s="138"/>
      <c r="C47" s="143" t="s">
        <v>708</v>
      </c>
      <c r="D47" s="138"/>
      <c r="E47" s="138"/>
      <c r="F47" s="138"/>
      <c r="G47" s="138"/>
      <c r="H47" s="138"/>
      <c r="I47" s="138"/>
      <c r="J47" s="138"/>
      <c r="K47" s="138"/>
    </row>
    <row r="48" spans="1:11" hidden="1" x14ac:dyDescent="0.25">
      <c r="A48" s="138"/>
      <c r="B48" s="138"/>
      <c r="C48" s="143" t="s">
        <v>709</v>
      </c>
      <c r="D48" s="138"/>
      <c r="E48" s="138"/>
      <c r="F48" s="138"/>
      <c r="G48" s="138"/>
      <c r="H48" s="138"/>
      <c r="I48" s="138"/>
      <c r="J48" s="138"/>
      <c r="K48" s="138"/>
    </row>
    <row r="49" spans="1:11" hidden="1" x14ac:dyDescent="0.25">
      <c r="A49" s="138"/>
      <c r="B49" s="138"/>
      <c r="C49" s="143" t="s">
        <v>710</v>
      </c>
      <c r="D49" s="138"/>
      <c r="E49" s="138"/>
      <c r="F49" s="138"/>
      <c r="G49" s="138"/>
      <c r="H49" s="138"/>
      <c r="I49" s="138"/>
      <c r="J49" s="138"/>
      <c r="K49" s="138"/>
    </row>
    <row r="50" spans="1:11" hidden="1" x14ac:dyDescent="0.25">
      <c r="A50" s="138"/>
      <c r="B50" s="138"/>
      <c r="C50" s="143" t="s">
        <v>711</v>
      </c>
      <c r="D50" s="138"/>
      <c r="E50" s="138"/>
      <c r="F50" s="138"/>
      <c r="G50" s="138"/>
      <c r="H50" s="138"/>
      <c r="I50" s="138"/>
      <c r="J50" s="138"/>
      <c r="K50" s="138"/>
    </row>
    <row r="51" spans="1:11" hidden="1" x14ac:dyDescent="0.25">
      <c r="A51" s="138"/>
      <c r="B51" s="138"/>
      <c r="C51" s="143" t="s">
        <v>543</v>
      </c>
      <c r="D51" s="138"/>
      <c r="E51" s="138"/>
      <c r="F51" s="138"/>
      <c r="G51" s="138"/>
      <c r="H51" s="138"/>
      <c r="I51" s="138"/>
      <c r="J51" s="138"/>
      <c r="K51" s="138"/>
    </row>
    <row r="52" spans="1:11" hidden="1" x14ac:dyDescent="0.25">
      <c r="A52" s="138"/>
      <c r="B52" s="138"/>
      <c r="C52" s="143" t="s">
        <v>718</v>
      </c>
      <c r="D52" s="138"/>
      <c r="E52" s="138"/>
      <c r="F52" s="138"/>
      <c r="G52" s="138"/>
      <c r="H52" s="138"/>
      <c r="I52" s="138"/>
      <c r="J52" s="138"/>
      <c r="K52" s="138"/>
    </row>
    <row r="53" spans="1:11" hidden="1" x14ac:dyDescent="0.25">
      <c r="A53" s="138"/>
      <c r="B53" s="138"/>
      <c r="C53" s="143" t="s">
        <v>732</v>
      </c>
      <c r="D53" s="138"/>
      <c r="E53" s="138"/>
      <c r="F53" s="138"/>
      <c r="G53" s="138"/>
      <c r="H53" s="138"/>
      <c r="I53" s="138"/>
      <c r="J53" s="138"/>
      <c r="K53" s="138"/>
    </row>
    <row r="54" spans="1:11" hidden="1" x14ac:dyDescent="0.25">
      <c r="A54" s="138"/>
      <c r="B54" s="138"/>
      <c r="C54" s="143" t="s">
        <v>726</v>
      </c>
      <c r="D54" s="138"/>
      <c r="E54" s="138"/>
      <c r="F54" s="138"/>
      <c r="G54" s="138"/>
      <c r="H54" s="138"/>
      <c r="I54" s="138"/>
      <c r="J54" s="138"/>
      <c r="K54" s="138"/>
    </row>
    <row r="55" spans="1:11" hidden="1" x14ac:dyDescent="0.25">
      <c r="A55" s="138"/>
      <c r="B55" s="138"/>
      <c r="C55" s="143" t="s">
        <v>731</v>
      </c>
      <c r="D55" s="138"/>
      <c r="E55" s="138"/>
      <c r="F55" s="138"/>
      <c r="G55" s="138"/>
      <c r="H55" s="138"/>
      <c r="I55" s="138"/>
      <c r="J55" s="138"/>
      <c r="K55" s="138"/>
    </row>
    <row r="56" spans="1:11" hidden="1" x14ac:dyDescent="0.25">
      <c r="A56" s="138"/>
      <c r="B56" s="138"/>
      <c r="C56" s="143" t="s">
        <v>621</v>
      </c>
      <c r="D56" s="138"/>
      <c r="E56" s="138"/>
      <c r="F56" s="138"/>
      <c r="G56" s="138"/>
      <c r="H56" s="138"/>
      <c r="I56" s="138"/>
      <c r="J56" s="138"/>
      <c r="K56" s="138"/>
    </row>
    <row r="57" spans="1:11" hidden="1" x14ac:dyDescent="0.25">
      <c r="A57" s="138"/>
      <c r="B57" s="138"/>
      <c r="C57" s="143"/>
      <c r="D57" s="138"/>
      <c r="E57" s="138"/>
      <c r="F57" s="138"/>
      <c r="G57" s="138"/>
      <c r="H57" s="138"/>
      <c r="I57" s="138"/>
      <c r="J57" s="138"/>
      <c r="K57" s="138"/>
    </row>
    <row r="58" spans="1:11" hidden="1" x14ac:dyDescent="0.25">
      <c r="A58" s="138"/>
      <c r="B58" s="138"/>
      <c r="C58" s="143"/>
      <c r="D58" s="138"/>
      <c r="E58" s="138"/>
      <c r="F58" s="138"/>
      <c r="G58" s="138"/>
      <c r="H58" s="138"/>
      <c r="I58" s="138"/>
      <c r="J58" s="138"/>
      <c r="K58" s="138"/>
    </row>
    <row r="59" spans="1:11" hidden="1" x14ac:dyDescent="0.25">
      <c r="A59" s="141"/>
      <c r="B59" s="141"/>
      <c r="C59" s="141"/>
      <c r="D59" s="141"/>
      <c r="E59" s="141"/>
      <c r="F59" s="141"/>
      <c r="G59" s="141"/>
      <c r="H59" s="141"/>
      <c r="I59" s="141"/>
      <c r="J59" s="141"/>
      <c r="K59" s="141"/>
    </row>
  </sheetData>
  <sheetProtection formatCells="0" formatColumns="0" formatRows="0" insertColumns="0" insertRows="0" insertHyperlinks="0" deleteColumns="0" deleteRows="0" sort="0" autoFilter="0" pivotTables="0"/>
  <mergeCells count="5">
    <mergeCell ref="E8:G8"/>
    <mergeCell ref="F11:G11"/>
    <mergeCell ref="E12:G12"/>
    <mergeCell ref="E9:E10"/>
    <mergeCell ref="F9:G10"/>
  </mergeCells>
  <dataValidations count="2">
    <dataValidation type="list" allowBlank="1" showInputMessage="1" showErrorMessage="1" sqref="N13">
      <formula1>$P$6:$R$6</formula1>
    </dataValidation>
    <dataValidation type="list" allowBlank="1" showInputMessage="1" showErrorMessage="1" sqref="F11">
      <formula1>$Q$5:$Q$9</formula1>
    </dataValidation>
  </dataValidations>
  <hyperlinks>
    <hyperlink ref="G2" r:id="rId1"/>
  </hyperlink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1" r:id="rId5" name="List Box 217">
              <controlPr defaultSize="0" autoLine="0" autoPict="0">
                <anchor moveWithCells="1">
                  <from>
                    <xdr:col>1</xdr:col>
                    <xdr:colOff>552450</xdr:colOff>
                    <xdr:row>12</xdr:row>
                    <xdr:rowOff>266700</xdr:rowOff>
                  </from>
                  <to>
                    <xdr:col>2</xdr:col>
                    <xdr:colOff>1257300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6" name="Button 555">
              <controlPr defaultSize="0" print="0" autoFill="0" autoPict="0" macro="[0]!NUEVA">
                <anchor moveWithCells="1" sizeWithCells="1">
                  <from>
                    <xdr:col>7</xdr:col>
                    <xdr:colOff>381000</xdr:colOff>
                    <xdr:row>3</xdr:row>
                    <xdr:rowOff>76200</xdr:rowOff>
                  </from>
                  <to>
                    <xdr:col>9</xdr:col>
                    <xdr:colOff>238125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7" name="Option Button 580">
              <controlPr defaultSize="0" autoFill="0" autoLine="0" autoPict="0">
                <anchor moveWithCells="1">
                  <from>
                    <xdr:col>8</xdr:col>
                    <xdr:colOff>485775</xdr:colOff>
                    <xdr:row>6</xdr:row>
                    <xdr:rowOff>285750</xdr:rowOff>
                  </from>
                  <to>
                    <xdr:col>9</xdr:col>
                    <xdr:colOff>28575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8" name="Option Button 581">
              <controlPr defaultSize="0" autoFill="0" autoLine="0" autoPict="0">
                <anchor moveWithCells="1">
                  <from>
                    <xdr:col>8</xdr:col>
                    <xdr:colOff>485775</xdr:colOff>
                    <xdr:row>7</xdr:row>
                    <xdr:rowOff>285750</xdr:rowOff>
                  </from>
                  <to>
                    <xdr:col>9</xdr:col>
                    <xdr:colOff>28575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9" name="Option Button 582">
              <controlPr defaultSize="0" autoFill="0" autoLine="0" autoPict="0">
                <anchor moveWithCells="1">
                  <from>
                    <xdr:col>8</xdr:col>
                    <xdr:colOff>485775</xdr:colOff>
                    <xdr:row>9</xdr:row>
                    <xdr:rowOff>57150</xdr:rowOff>
                  </from>
                  <to>
                    <xdr:col>9</xdr:col>
                    <xdr:colOff>28575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D1:M22"/>
  <sheetViews>
    <sheetView workbookViewId="0">
      <selection activeCell="D31" sqref="D31"/>
    </sheetView>
  </sheetViews>
  <sheetFormatPr baseColWidth="10" defaultRowHeight="15" x14ac:dyDescent="0.25"/>
  <cols>
    <col min="4" max="4" width="41.42578125" bestFit="1" customWidth="1"/>
    <col min="5" max="5" width="255.7109375" bestFit="1" customWidth="1"/>
    <col min="7" max="7" width="28.42578125" bestFit="1" customWidth="1"/>
    <col min="11" max="11" width="28.42578125" bestFit="1" customWidth="1"/>
    <col min="13" max="13" width="11.85546875" bestFit="1" customWidth="1"/>
  </cols>
  <sheetData>
    <row r="1" spans="4:13" x14ac:dyDescent="0.25">
      <c r="K1" t="s">
        <v>644</v>
      </c>
      <c r="M1" t="s">
        <v>94</v>
      </c>
    </row>
    <row r="2" spans="4:13" x14ac:dyDescent="0.25">
      <c r="K2" t="s">
        <v>625</v>
      </c>
      <c r="M2" t="b">
        <f>ISNUMBER(SEARCH($M$1,$K$2:$K$22))</f>
        <v>0</v>
      </c>
    </row>
    <row r="3" spans="4:13" x14ac:dyDescent="0.25">
      <c r="D3" t="s">
        <v>617</v>
      </c>
      <c r="E3" t="s">
        <v>618</v>
      </c>
      <c r="K3" t="s">
        <v>626</v>
      </c>
      <c r="M3" t="b">
        <f t="shared" ref="M3:M22" si="0">ISNUMBER(SEARCH($M$1,$K$2:$K$22))</f>
        <v>0</v>
      </c>
    </row>
    <row r="4" spans="4:13" x14ac:dyDescent="0.25">
      <c r="D4" s="105" t="s">
        <v>619</v>
      </c>
      <c r="E4" s="105" t="s">
        <v>614</v>
      </c>
      <c r="K4" t="s">
        <v>627</v>
      </c>
      <c r="M4" t="b">
        <f t="shared" si="0"/>
        <v>0</v>
      </c>
    </row>
    <row r="5" spans="4:13" x14ac:dyDescent="0.25">
      <c r="D5" s="106" t="s">
        <v>736</v>
      </c>
      <c r="E5" s="106" t="s">
        <v>737</v>
      </c>
      <c r="K5" t="s">
        <v>628</v>
      </c>
      <c r="M5" t="b">
        <f t="shared" si="0"/>
        <v>0</v>
      </c>
    </row>
    <row r="6" spans="4:13" x14ac:dyDescent="0.25">
      <c r="D6" s="108" t="s">
        <v>616</v>
      </c>
      <c r="E6" s="108" t="s">
        <v>615</v>
      </c>
      <c r="K6" t="s">
        <v>629</v>
      </c>
      <c r="M6" t="b">
        <f t="shared" si="0"/>
        <v>0</v>
      </c>
    </row>
    <row r="7" spans="4:13" x14ac:dyDescent="0.25">
      <c r="D7" s="106" t="s">
        <v>621</v>
      </c>
      <c r="E7" s="106" t="s">
        <v>622</v>
      </c>
      <c r="K7" t="s">
        <v>630</v>
      </c>
      <c r="M7" t="b">
        <f t="shared" si="0"/>
        <v>0</v>
      </c>
    </row>
    <row r="8" spans="4:13" x14ac:dyDescent="0.25">
      <c r="D8" s="107" t="s">
        <v>623</v>
      </c>
      <c r="E8" s="100" t="s">
        <v>624</v>
      </c>
      <c r="K8" t="s">
        <v>631</v>
      </c>
      <c r="M8" t="b">
        <f t="shared" si="0"/>
        <v>0</v>
      </c>
    </row>
    <row r="9" spans="4:13" x14ac:dyDescent="0.25">
      <c r="D9" s="107" t="s">
        <v>693</v>
      </c>
      <c r="E9" s="100" t="s">
        <v>694</v>
      </c>
      <c r="K9" t="s">
        <v>632</v>
      </c>
      <c r="M9" t="b">
        <f t="shared" si="0"/>
        <v>0</v>
      </c>
    </row>
    <row r="10" spans="4:13" x14ac:dyDescent="0.25">
      <c r="D10" s="107" t="s">
        <v>721</v>
      </c>
      <c r="E10" s="100" t="s">
        <v>722</v>
      </c>
      <c r="K10" t="s">
        <v>633</v>
      </c>
      <c r="M10" t="b">
        <f t="shared" si="0"/>
        <v>0</v>
      </c>
    </row>
    <row r="11" spans="4:13" x14ac:dyDescent="0.25">
      <c r="D11" s="107" t="s">
        <v>727</v>
      </c>
      <c r="E11" s="100" t="s">
        <v>730</v>
      </c>
      <c r="K11" t="s">
        <v>634</v>
      </c>
      <c r="M11" t="b">
        <f t="shared" si="0"/>
        <v>0</v>
      </c>
    </row>
    <row r="12" spans="4:13" x14ac:dyDescent="0.25">
      <c r="D12" s="107" t="s">
        <v>728</v>
      </c>
      <c r="E12" s="100" t="s">
        <v>729</v>
      </c>
      <c r="K12" t="s">
        <v>635</v>
      </c>
      <c r="M12" t="b">
        <f t="shared" si="0"/>
        <v>0</v>
      </c>
    </row>
    <row r="13" spans="4:13" x14ac:dyDescent="0.25">
      <c r="D13" s="107" t="s">
        <v>739</v>
      </c>
      <c r="E13" s="100" t="s">
        <v>740</v>
      </c>
      <c r="K13" t="s">
        <v>636</v>
      </c>
      <c r="M13" t="b">
        <f t="shared" si="0"/>
        <v>1</v>
      </c>
    </row>
    <row r="14" spans="4:13" x14ac:dyDescent="0.25">
      <c r="K14" t="s">
        <v>637</v>
      </c>
      <c r="M14" t="b">
        <f t="shared" si="0"/>
        <v>0</v>
      </c>
    </row>
    <row r="15" spans="4:13" x14ac:dyDescent="0.25">
      <c r="K15" t="s">
        <v>638</v>
      </c>
      <c r="M15" t="b">
        <f t="shared" si="0"/>
        <v>0</v>
      </c>
    </row>
    <row r="16" spans="4:13" x14ac:dyDescent="0.25">
      <c r="K16" t="s">
        <v>639</v>
      </c>
      <c r="M16" t="b">
        <f t="shared" si="0"/>
        <v>0</v>
      </c>
    </row>
    <row r="17" spans="11:13" x14ac:dyDescent="0.25">
      <c r="K17" t="s">
        <v>640</v>
      </c>
      <c r="M17" t="b">
        <f t="shared" si="0"/>
        <v>0</v>
      </c>
    </row>
    <row r="18" spans="11:13" x14ac:dyDescent="0.25">
      <c r="K18" t="s">
        <v>641</v>
      </c>
      <c r="M18" t="b">
        <f t="shared" si="0"/>
        <v>0</v>
      </c>
    </row>
    <row r="19" spans="11:13" x14ac:dyDescent="0.25">
      <c r="K19" t="s">
        <v>642</v>
      </c>
      <c r="M19" t="b">
        <f t="shared" si="0"/>
        <v>0</v>
      </c>
    </row>
    <row r="20" spans="11:13" x14ac:dyDescent="0.25">
      <c r="K20" t="s">
        <v>643</v>
      </c>
      <c r="M20" t="b">
        <f t="shared" si="0"/>
        <v>0</v>
      </c>
    </row>
    <row r="21" spans="11:13" x14ac:dyDescent="0.25">
      <c r="K21" t="s">
        <v>645</v>
      </c>
      <c r="M21" t="b">
        <f t="shared" si="0"/>
        <v>0</v>
      </c>
    </row>
    <row r="22" spans="11:13" x14ac:dyDescent="0.25">
      <c r="K22" t="s">
        <v>646</v>
      </c>
      <c r="M22" t="b">
        <f t="shared" si="0"/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A101"/>
  <sheetViews>
    <sheetView showRowColHeaders="0" workbookViewId="0">
      <selection activeCell="F15" sqref="F14:F15"/>
    </sheetView>
  </sheetViews>
  <sheetFormatPr baseColWidth="10" defaultRowHeight="15" x14ac:dyDescent="0.25"/>
  <cols>
    <col min="1" max="1" width="11.42578125" style="121"/>
    <col min="3" max="3" width="17" bestFit="1" customWidth="1"/>
    <col min="4" max="4" width="17.28515625" bestFit="1" customWidth="1"/>
    <col min="5" max="5" width="26.140625" bestFit="1" customWidth="1"/>
    <col min="6" max="6" width="21.85546875" customWidth="1"/>
    <col min="8" max="8" width="13.140625" customWidth="1"/>
    <col min="10" max="10" width="15.7109375" customWidth="1"/>
    <col min="11" max="11" width="18.7109375" bestFit="1" customWidth="1"/>
    <col min="12" max="12" width="19.7109375" customWidth="1"/>
    <col min="15" max="15" width="20.5703125" customWidth="1"/>
    <col min="16" max="16" width="37.7109375" customWidth="1"/>
    <col min="17" max="17" width="12.5703125" customWidth="1"/>
    <col min="18" max="18" width="25.5703125" customWidth="1"/>
    <col min="19" max="19" width="23.140625" bestFit="1" customWidth="1"/>
  </cols>
  <sheetData>
    <row r="1" spans="1:27" ht="15.75" thickBot="1" x14ac:dyDescent="0.3">
      <c r="A1" s="138"/>
      <c r="B1" s="138"/>
      <c r="C1" s="138"/>
      <c r="D1" s="138"/>
      <c r="E1" s="138"/>
      <c r="F1" s="138"/>
      <c r="G1" s="138"/>
      <c r="H1" s="165">
        <v>11561</v>
      </c>
      <c r="I1" s="155" t="s">
        <v>748</v>
      </c>
      <c r="J1" s="153" t="s">
        <v>209</v>
      </c>
      <c r="M1" s="101"/>
    </row>
    <row r="2" spans="1:27" ht="15.75" thickBot="1" x14ac:dyDescent="0.3">
      <c r="A2" s="138"/>
      <c r="B2" s="138"/>
      <c r="C2" s="138"/>
      <c r="D2" s="138"/>
      <c r="E2" s="138"/>
      <c r="F2" s="138"/>
      <c r="G2" s="138"/>
      <c r="H2" s="166"/>
      <c r="I2" s="167">
        <f>IF(J3=1,H1*1.19,H1/1.19)</f>
        <v>9715.1260504201691</v>
      </c>
      <c r="J2" s="168"/>
      <c r="L2" s="101"/>
    </row>
    <row r="3" spans="1:27" x14ac:dyDescent="0.25">
      <c r="A3" s="138"/>
      <c r="B3" s="138"/>
      <c r="C3" s="138"/>
      <c r="D3" s="138"/>
      <c r="E3" s="138"/>
      <c r="F3" s="138"/>
      <c r="G3" s="138"/>
      <c r="H3" s="152"/>
      <c r="I3" s="138"/>
      <c r="J3" s="154">
        <v>2</v>
      </c>
    </row>
    <row r="4" spans="1:27" x14ac:dyDescent="0.25">
      <c r="B4" s="101"/>
      <c r="C4" s="101"/>
      <c r="D4" s="121"/>
      <c r="F4" s="121"/>
      <c r="G4" s="121"/>
      <c r="H4" s="101"/>
      <c r="I4" s="101"/>
      <c r="J4" s="101"/>
      <c r="K4" s="101"/>
      <c r="L4" s="101"/>
      <c r="M4" s="121"/>
      <c r="N4" s="101"/>
      <c r="O4" s="137"/>
      <c r="P4" s="121"/>
      <c r="Q4" s="121"/>
      <c r="R4" s="121"/>
      <c r="S4" s="121"/>
      <c r="T4" s="121"/>
    </row>
    <row r="5" spans="1:27" x14ac:dyDescent="0.25">
      <c r="A5" s="102"/>
      <c r="B5" s="101"/>
      <c r="C5" s="101"/>
      <c r="D5" s="121"/>
      <c r="E5" s="121"/>
      <c r="F5" s="101"/>
      <c r="G5" s="101"/>
      <c r="H5" s="121"/>
      <c r="I5" s="121"/>
      <c r="J5" s="101"/>
      <c r="K5" s="101"/>
      <c r="L5" s="101"/>
      <c r="M5" s="121"/>
      <c r="N5" s="121"/>
      <c r="O5" s="121"/>
      <c r="P5" s="121"/>
      <c r="Q5" s="121"/>
      <c r="R5" s="121"/>
      <c r="S5" s="121"/>
      <c r="T5" s="121"/>
    </row>
    <row r="6" spans="1:27" x14ac:dyDescent="0.25">
      <c r="B6" s="101"/>
      <c r="C6" s="101"/>
      <c r="D6" s="121"/>
      <c r="E6" s="121"/>
      <c r="F6" s="121"/>
      <c r="G6" s="121"/>
      <c r="H6" s="121"/>
      <c r="I6" s="121"/>
      <c r="J6" s="101"/>
      <c r="K6" s="137"/>
      <c r="L6" s="147"/>
      <c r="M6" s="121"/>
      <c r="N6" s="121"/>
      <c r="O6" s="121"/>
      <c r="P6" s="121"/>
      <c r="Q6" s="121"/>
      <c r="R6" s="121"/>
      <c r="S6" s="121"/>
      <c r="T6" s="121"/>
    </row>
    <row r="7" spans="1:27" x14ac:dyDescent="0.25">
      <c r="A7" s="102"/>
      <c r="B7" s="101"/>
      <c r="C7" s="101"/>
      <c r="D7" s="121"/>
      <c r="E7" s="121"/>
      <c r="F7" s="121"/>
      <c r="G7" s="10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</row>
    <row r="8" spans="1:27" x14ac:dyDescent="0.25">
      <c r="A8" s="102"/>
      <c r="B8" s="101"/>
      <c r="C8" s="101"/>
      <c r="D8" s="121"/>
      <c r="E8" s="121"/>
      <c r="F8" s="101"/>
      <c r="G8" s="101"/>
      <c r="H8" s="121"/>
      <c r="I8" s="101"/>
      <c r="J8" s="121"/>
      <c r="K8" s="101"/>
      <c r="L8" s="101"/>
      <c r="M8" s="101"/>
      <c r="N8" s="121"/>
      <c r="O8" s="101"/>
      <c r="P8" s="121"/>
      <c r="Q8" s="121"/>
      <c r="R8" s="121"/>
      <c r="S8" s="121"/>
      <c r="T8" s="121"/>
    </row>
    <row r="9" spans="1:27" x14ac:dyDescent="0.25">
      <c r="A9" s="102"/>
      <c r="B9" s="101"/>
      <c r="C9" s="101"/>
      <c r="D9" s="101"/>
      <c r="F9" s="101"/>
      <c r="G9" s="101"/>
      <c r="I9" s="101"/>
      <c r="K9" s="101"/>
      <c r="L9" s="101"/>
      <c r="S9" s="121"/>
      <c r="T9" s="101"/>
    </row>
    <row r="10" spans="1:27" x14ac:dyDescent="0.25">
      <c r="A10" s="102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S10" s="121"/>
      <c r="T10" s="101"/>
    </row>
    <row r="11" spans="1:27" x14ac:dyDescent="0.25">
      <c r="A11" s="102"/>
      <c r="B11" s="101"/>
      <c r="C11" s="101"/>
      <c r="D11" s="101"/>
      <c r="E11" s="101"/>
      <c r="F11" s="101"/>
      <c r="G11" s="101"/>
      <c r="H11" s="101"/>
      <c r="J11" s="101"/>
      <c r="K11" s="101"/>
      <c r="L11" s="101"/>
      <c r="N11" s="101"/>
      <c r="P11" s="101"/>
      <c r="Q11" s="101"/>
      <c r="T11" s="101"/>
    </row>
    <row r="12" spans="1:27" x14ac:dyDescent="0.25">
      <c r="A12" s="102"/>
      <c r="B12" s="101"/>
      <c r="C12" s="101"/>
      <c r="D12" s="121"/>
      <c r="E12" s="101"/>
      <c r="F12" s="101"/>
      <c r="G12" s="101"/>
      <c r="H12" s="101"/>
      <c r="J12" s="101"/>
      <c r="K12" s="101"/>
      <c r="L12" s="101"/>
      <c r="N12" s="101"/>
      <c r="S12" s="101"/>
      <c r="T12" s="121"/>
    </row>
    <row r="13" spans="1:27" x14ac:dyDescent="0.25">
      <c r="A13" s="102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S13" s="101"/>
      <c r="T13" s="101"/>
      <c r="V13" s="101"/>
    </row>
    <row r="14" spans="1:27" x14ac:dyDescent="0.25">
      <c r="A14" s="102"/>
      <c r="B14" s="101"/>
      <c r="C14" s="101"/>
      <c r="D14" s="101"/>
      <c r="E14" s="101"/>
      <c r="F14" s="101">
        <v>147815</v>
      </c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S14" s="101"/>
      <c r="U14" s="101"/>
      <c r="V14" s="101"/>
      <c r="W14" s="101"/>
      <c r="X14" s="101"/>
      <c r="AA14" s="101"/>
    </row>
    <row r="15" spans="1:27" x14ac:dyDescent="0.25">
      <c r="A15" s="102"/>
      <c r="B15" s="101"/>
      <c r="C15" s="101"/>
      <c r="D15" s="101"/>
      <c r="E15" s="101"/>
      <c r="F15" s="101">
        <v>8403</v>
      </c>
      <c r="G15" s="101"/>
      <c r="H15" s="101"/>
      <c r="I15" s="101"/>
      <c r="J15" s="101"/>
      <c r="K15" s="101"/>
      <c r="L15" s="101"/>
      <c r="N15" s="101"/>
      <c r="O15" s="101"/>
      <c r="P15" s="101"/>
      <c r="Q15" s="101"/>
      <c r="S15" s="101"/>
      <c r="U15" s="101"/>
      <c r="V15" s="101"/>
      <c r="W15" s="101"/>
      <c r="X15" s="101"/>
      <c r="AA15" s="101"/>
    </row>
    <row r="16" spans="1:27" x14ac:dyDescent="0.25">
      <c r="A16" s="102"/>
      <c r="B16" s="101"/>
      <c r="C16" s="101"/>
      <c r="D16" s="121"/>
      <c r="E16" s="101"/>
      <c r="F16" s="101"/>
      <c r="G16" s="101"/>
      <c r="H16" s="101"/>
      <c r="I16" s="101"/>
      <c r="J16" s="101"/>
      <c r="K16" s="101"/>
      <c r="L16" s="101"/>
      <c r="N16" s="101"/>
      <c r="O16" s="101"/>
      <c r="P16" s="101"/>
      <c r="Q16" s="101"/>
      <c r="S16" s="101"/>
      <c r="U16" s="101"/>
      <c r="V16" s="101"/>
      <c r="W16" s="101"/>
      <c r="X16" s="101"/>
      <c r="AA16" s="101"/>
    </row>
    <row r="17" spans="1:27" x14ac:dyDescent="0.25">
      <c r="A17" s="102"/>
      <c r="B17" s="101"/>
      <c r="C17" s="101"/>
      <c r="D17" s="121"/>
      <c r="E17" s="101"/>
      <c r="F17" s="101"/>
      <c r="G17" s="101"/>
      <c r="H17" s="101"/>
      <c r="I17" s="101"/>
      <c r="J17" s="101"/>
      <c r="K17" s="101"/>
      <c r="L17" s="101"/>
      <c r="N17" s="101"/>
      <c r="O17" s="101"/>
      <c r="P17" s="101"/>
      <c r="Q17" s="101"/>
      <c r="R17" s="101"/>
      <c r="S17" s="101"/>
      <c r="T17" s="101"/>
      <c r="U17" s="101"/>
      <c r="V17" s="101"/>
      <c r="W17" s="101"/>
      <c r="X17" s="101"/>
      <c r="AA17" s="101"/>
    </row>
    <row r="18" spans="1:27" x14ac:dyDescent="0.25">
      <c r="A18" s="102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N18" s="101"/>
      <c r="O18" s="101"/>
      <c r="P18" s="101"/>
      <c r="Q18" s="101"/>
      <c r="R18" s="101"/>
      <c r="S18" s="101"/>
      <c r="T18" s="101"/>
      <c r="U18" s="101"/>
      <c r="V18" s="101"/>
      <c r="W18" s="101"/>
      <c r="X18" s="101"/>
      <c r="AA18" s="101"/>
    </row>
    <row r="19" spans="1:27" x14ac:dyDescent="0.25">
      <c r="A19" s="102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N19" s="101"/>
      <c r="O19" s="101"/>
      <c r="P19" s="101"/>
      <c r="Q19" s="101"/>
      <c r="R19" s="101"/>
      <c r="S19" s="101"/>
      <c r="T19" s="101"/>
      <c r="U19" s="101"/>
      <c r="V19" s="101"/>
      <c r="W19" s="101"/>
      <c r="X19" s="101"/>
      <c r="AA19" s="101"/>
    </row>
    <row r="20" spans="1:27" x14ac:dyDescent="0.25">
      <c r="A20" s="102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N20" s="101"/>
      <c r="O20" s="101"/>
      <c r="P20" s="101"/>
      <c r="Q20" s="101"/>
      <c r="S20" s="101"/>
      <c r="T20" s="101"/>
      <c r="U20" s="101"/>
      <c r="V20" s="101"/>
      <c r="X20" s="101"/>
      <c r="AA20" s="101"/>
    </row>
    <row r="21" spans="1:27" x14ac:dyDescent="0.25">
      <c r="A21" s="102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1"/>
      <c r="X21" s="101"/>
      <c r="AA21" s="101"/>
    </row>
    <row r="22" spans="1:27" x14ac:dyDescent="0.25">
      <c r="A22" s="102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21"/>
      <c r="R22" s="121"/>
      <c r="S22" s="121"/>
      <c r="T22" s="121"/>
    </row>
    <row r="23" spans="1:27" x14ac:dyDescent="0.25">
      <c r="A23" s="102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21"/>
      <c r="R23" s="121"/>
      <c r="S23" s="121"/>
      <c r="T23" s="121"/>
    </row>
    <row r="24" spans="1:27" x14ac:dyDescent="0.25">
      <c r="A24" s="102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21"/>
      <c r="Q24" s="101"/>
      <c r="R24" s="121"/>
      <c r="S24" s="121"/>
      <c r="T24" s="121"/>
    </row>
    <row r="25" spans="1:27" x14ac:dyDescent="0.25">
      <c r="A25" s="102"/>
      <c r="B25" s="101"/>
      <c r="C25" s="101"/>
      <c r="D25" s="12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21"/>
      <c r="Q25" s="101"/>
      <c r="R25" s="121"/>
      <c r="S25" s="121"/>
      <c r="T25" s="121"/>
    </row>
    <row r="26" spans="1:27" x14ac:dyDescent="0.25">
      <c r="A26" s="102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P26" s="101"/>
      <c r="R26" s="101"/>
      <c r="S26" s="121"/>
      <c r="T26" s="121"/>
    </row>
    <row r="27" spans="1:27" x14ac:dyDescent="0.25">
      <c r="A27" s="102"/>
      <c r="B27" s="121"/>
      <c r="C27" s="121"/>
      <c r="D27" s="12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P27" s="101"/>
      <c r="R27" s="101"/>
      <c r="S27" s="121"/>
      <c r="T27" s="121"/>
    </row>
    <row r="28" spans="1:27" x14ac:dyDescent="0.25">
      <c r="A28" s="102"/>
      <c r="B28" s="121"/>
      <c r="C28" s="121"/>
      <c r="D28" s="12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P28" s="121"/>
      <c r="Q28" s="101"/>
      <c r="R28" s="121"/>
      <c r="S28" s="121"/>
      <c r="T28" s="121"/>
    </row>
    <row r="29" spans="1:27" x14ac:dyDescent="0.25">
      <c r="A29" s="102"/>
      <c r="B29" s="121"/>
      <c r="C29" s="121"/>
      <c r="D29" s="12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21"/>
      <c r="Q29" s="101"/>
      <c r="R29" s="121"/>
      <c r="S29" s="121"/>
      <c r="T29" s="121"/>
    </row>
    <row r="30" spans="1:27" x14ac:dyDescent="0.25">
      <c r="A30" s="102"/>
      <c r="B30" s="121"/>
      <c r="C30" s="121"/>
      <c r="D30" s="12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21"/>
      <c r="P30" s="121"/>
      <c r="Q30" s="121"/>
      <c r="R30" s="121"/>
      <c r="S30" s="121"/>
      <c r="T30" s="121"/>
    </row>
    <row r="31" spans="1:27" x14ac:dyDescent="0.25">
      <c r="A31" s="102"/>
      <c r="B31" s="121"/>
      <c r="C31" s="121"/>
      <c r="D31" s="121"/>
      <c r="E31" s="101"/>
      <c r="F31" s="101"/>
      <c r="G31" s="101"/>
      <c r="H31" s="101"/>
      <c r="I31" s="101"/>
      <c r="J31" s="121"/>
      <c r="K31" s="101"/>
      <c r="L31" s="121"/>
      <c r="N31" s="101"/>
      <c r="O31" s="121"/>
      <c r="P31" s="121"/>
      <c r="Q31" s="121"/>
      <c r="R31" s="121"/>
      <c r="S31" s="121"/>
      <c r="T31" s="121"/>
    </row>
    <row r="32" spans="1:27" x14ac:dyDescent="0.25">
      <c r="A32" s="102"/>
      <c r="B32" s="121"/>
      <c r="C32" s="121"/>
      <c r="D32" s="121"/>
      <c r="E32" s="101"/>
      <c r="F32" s="101"/>
      <c r="G32" s="121"/>
      <c r="H32" s="101"/>
      <c r="I32" s="101"/>
      <c r="J32" s="102"/>
      <c r="K32" s="101"/>
      <c r="L32" s="101"/>
      <c r="M32" s="101"/>
      <c r="N32" s="101"/>
      <c r="T32" s="121"/>
    </row>
    <row r="33" spans="1:20" x14ac:dyDescent="0.25">
      <c r="A33" s="102"/>
      <c r="B33" s="121"/>
      <c r="C33" s="121"/>
      <c r="D33" s="121"/>
      <c r="E33" s="101"/>
      <c r="F33" s="101"/>
      <c r="G33" s="101"/>
      <c r="H33" s="101"/>
      <c r="I33" s="121"/>
      <c r="J33" s="121"/>
      <c r="K33" s="121"/>
      <c r="L33" s="121"/>
      <c r="M33" s="121"/>
      <c r="N33" s="121"/>
      <c r="T33" s="121"/>
    </row>
    <row r="34" spans="1:20" x14ac:dyDescent="0.25">
      <c r="A34" s="102"/>
      <c r="B34" s="121"/>
      <c r="C34" s="121"/>
      <c r="D34" s="121"/>
      <c r="E34" s="104"/>
      <c r="F34" s="101"/>
      <c r="G34" s="101"/>
      <c r="H34" s="101"/>
      <c r="I34" s="101"/>
      <c r="J34" s="121"/>
      <c r="K34" s="121"/>
      <c r="L34" s="121"/>
      <c r="M34" s="121"/>
      <c r="N34" s="121"/>
      <c r="O34" s="123"/>
      <c r="P34" s="121"/>
      <c r="Q34" s="121"/>
      <c r="T34" s="121"/>
    </row>
    <row r="35" spans="1:20" x14ac:dyDescent="0.25">
      <c r="A35" s="102"/>
      <c r="B35" s="121"/>
      <c r="C35" s="121"/>
      <c r="D35" s="121"/>
      <c r="E35" s="101"/>
      <c r="F35" s="101"/>
      <c r="G35" s="101"/>
      <c r="H35" s="101"/>
      <c r="I35" s="101"/>
      <c r="J35" s="101"/>
      <c r="K35" s="101"/>
      <c r="L35" s="101"/>
      <c r="M35" s="101"/>
      <c r="O35" s="101"/>
      <c r="P35" s="121"/>
      <c r="Q35" s="121"/>
      <c r="T35" s="121"/>
    </row>
    <row r="36" spans="1:20" x14ac:dyDescent="0.25">
      <c r="A36" s="102"/>
      <c r="B36" s="121"/>
      <c r="C36" s="121"/>
      <c r="D36" s="121"/>
      <c r="E36" s="101"/>
      <c r="F36" s="101"/>
      <c r="G36" s="101"/>
      <c r="H36" s="101"/>
      <c r="I36" s="121"/>
      <c r="J36" s="101"/>
      <c r="K36" s="101"/>
      <c r="L36" s="121"/>
      <c r="M36" s="101"/>
      <c r="O36" s="101"/>
      <c r="T36" s="121"/>
    </row>
    <row r="37" spans="1:20" x14ac:dyDescent="0.25">
      <c r="A37" s="102"/>
      <c r="B37" s="121"/>
      <c r="C37" s="121"/>
      <c r="D37" s="121"/>
      <c r="E37" s="101"/>
      <c r="F37" s="121"/>
      <c r="G37" s="101"/>
      <c r="H37" s="101"/>
      <c r="I37" s="121"/>
      <c r="J37" s="101"/>
      <c r="K37" s="101"/>
      <c r="L37" s="101"/>
      <c r="M37" s="101"/>
      <c r="O37" s="101"/>
      <c r="R37" s="121"/>
      <c r="S37" s="121"/>
      <c r="T37" s="121"/>
    </row>
    <row r="38" spans="1:20" x14ac:dyDescent="0.25">
      <c r="A38" s="102"/>
      <c r="E38" s="101"/>
      <c r="F38" s="121"/>
      <c r="G38" s="101"/>
      <c r="H38" s="101"/>
      <c r="I38" s="121"/>
      <c r="J38" s="101"/>
      <c r="K38" s="121"/>
      <c r="L38" s="101"/>
      <c r="M38" s="121"/>
      <c r="O38" s="101"/>
    </row>
    <row r="39" spans="1:20" x14ac:dyDescent="0.25">
      <c r="A39" s="102"/>
      <c r="E39" s="101"/>
      <c r="F39" s="121"/>
      <c r="G39" s="101"/>
      <c r="H39" s="101"/>
      <c r="I39" s="121"/>
      <c r="J39" s="121"/>
      <c r="K39" s="121"/>
      <c r="L39" s="121"/>
      <c r="M39" s="121"/>
      <c r="N39" s="121"/>
    </row>
    <row r="40" spans="1:20" x14ac:dyDescent="0.25">
      <c r="A40" s="102"/>
      <c r="E40" s="101"/>
      <c r="F40" s="121"/>
      <c r="G40" s="101"/>
      <c r="H40" s="121"/>
      <c r="I40" s="121"/>
      <c r="J40" s="121"/>
      <c r="K40" s="121"/>
      <c r="L40" s="121"/>
      <c r="M40" s="121"/>
      <c r="N40" s="121"/>
    </row>
    <row r="41" spans="1:20" x14ac:dyDescent="0.25">
      <c r="A41" s="102"/>
      <c r="E41" s="101"/>
      <c r="F41" s="121"/>
      <c r="G41" s="101"/>
      <c r="H41" s="121"/>
      <c r="I41" s="121"/>
      <c r="J41" s="121"/>
      <c r="K41" s="121"/>
      <c r="L41" s="121"/>
      <c r="M41" s="121"/>
      <c r="N41" s="121"/>
    </row>
    <row r="42" spans="1:20" x14ac:dyDescent="0.25">
      <c r="A42" s="102"/>
      <c r="E42" s="101"/>
      <c r="F42" s="101"/>
      <c r="G42" s="101"/>
      <c r="H42" s="101"/>
      <c r="I42" s="121"/>
      <c r="J42" s="121"/>
      <c r="K42" s="121"/>
      <c r="L42" s="121"/>
      <c r="M42" s="121"/>
      <c r="N42" s="121"/>
    </row>
    <row r="43" spans="1:20" x14ac:dyDescent="0.25">
      <c r="A43" s="102"/>
      <c r="E43" s="101"/>
      <c r="F43" s="121"/>
      <c r="G43" s="101"/>
      <c r="H43" s="101"/>
      <c r="I43" s="121"/>
      <c r="J43" s="121"/>
      <c r="K43" s="121"/>
      <c r="L43" s="121"/>
      <c r="M43" s="121"/>
      <c r="N43" s="121"/>
    </row>
    <row r="44" spans="1:20" x14ac:dyDescent="0.25">
      <c r="A44" s="102"/>
      <c r="E44" s="101"/>
      <c r="F44" s="121"/>
      <c r="G44" s="101"/>
      <c r="H44" s="121"/>
      <c r="I44" s="121"/>
      <c r="J44" s="121"/>
      <c r="K44" s="121"/>
      <c r="L44" s="121"/>
      <c r="M44" s="121"/>
      <c r="N44" s="121"/>
    </row>
    <row r="45" spans="1:20" x14ac:dyDescent="0.25">
      <c r="A45" s="102"/>
      <c r="E45" s="121"/>
      <c r="F45" s="121"/>
      <c r="G45" s="121"/>
      <c r="H45" s="121"/>
      <c r="I45" s="121"/>
      <c r="J45" s="121"/>
      <c r="K45" s="121"/>
      <c r="L45" s="121"/>
      <c r="M45" s="121"/>
      <c r="N45" s="121"/>
    </row>
    <row r="46" spans="1:20" x14ac:dyDescent="0.25">
      <c r="A46" s="102"/>
      <c r="E46" s="121"/>
      <c r="F46" s="121"/>
      <c r="G46" s="121"/>
      <c r="H46" s="121"/>
      <c r="I46" s="121"/>
      <c r="J46" s="121"/>
      <c r="K46" s="121"/>
      <c r="L46" s="121"/>
      <c r="M46" s="121"/>
      <c r="N46" s="121"/>
    </row>
    <row r="47" spans="1:20" x14ac:dyDescent="0.25">
      <c r="A47" s="102"/>
      <c r="E47" s="121"/>
      <c r="F47" s="121"/>
      <c r="G47" s="121"/>
      <c r="H47" s="121"/>
      <c r="I47" s="121"/>
      <c r="J47" s="121"/>
      <c r="K47" s="121"/>
      <c r="L47" s="121"/>
      <c r="M47" s="121"/>
      <c r="N47" s="121"/>
    </row>
    <row r="48" spans="1:20" x14ac:dyDescent="0.25">
      <c r="A48" s="102"/>
      <c r="E48" s="121"/>
      <c r="F48" s="121"/>
      <c r="G48" s="121"/>
      <c r="H48" s="121"/>
      <c r="I48" s="121"/>
      <c r="J48" s="121"/>
      <c r="K48" s="121"/>
      <c r="L48" s="121"/>
      <c r="M48" s="121"/>
      <c r="N48" s="121"/>
    </row>
    <row r="49" spans="1:14" x14ac:dyDescent="0.25">
      <c r="A49" s="102"/>
      <c r="E49" s="121"/>
      <c r="F49" s="121"/>
      <c r="G49" s="121"/>
      <c r="H49" s="121"/>
      <c r="I49" s="121"/>
      <c r="J49" s="121"/>
      <c r="K49" s="121"/>
      <c r="L49" s="121"/>
      <c r="M49" s="121"/>
      <c r="N49" s="121"/>
    </row>
    <row r="50" spans="1:14" x14ac:dyDescent="0.25">
      <c r="A50" s="102"/>
      <c r="E50" s="121"/>
      <c r="F50" s="121"/>
      <c r="G50" s="121"/>
      <c r="H50" s="121"/>
      <c r="I50" s="121"/>
      <c r="J50" s="121"/>
      <c r="K50" s="121"/>
      <c r="L50" s="121"/>
      <c r="M50" s="121"/>
      <c r="N50" s="121"/>
    </row>
    <row r="51" spans="1:14" x14ac:dyDescent="0.25">
      <c r="A51" s="102"/>
      <c r="E51" s="121"/>
      <c r="F51" s="121"/>
      <c r="G51" s="121"/>
      <c r="H51" s="121"/>
      <c r="I51" s="121"/>
      <c r="J51" s="121"/>
      <c r="K51" s="121"/>
      <c r="L51" s="121"/>
      <c r="M51" s="121"/>
      <c r="N51" s="121"/>
    </row>
    <row r="52" spans="1:14" x14ac:dyDescent="0.25">
      <c r="A52" s="102"/>
      <c r="E52" s="121"/>
      <c r="F52" s="121"/>
      <c r="G52" s="121"/>
      <c r="H52" s="121"/>
      <c r="I52" s="121"/>
      <c r="J52" s="121"/>
      <c r="K52" s="121"/>
      <c r="L52" s="121"/>
      <c r="M52" s="121"/>
      <c r="N52" s="121"/>
    </row>
    <row r="53" spans="1:14" x14ac:dyDescent="0.25">
      <c r="A53" s="102"/>
      <c r="E53" s="121"/>
      <c r="F53" s="121"/>
      <c r="G53" s="121"/>
      <c r="H53" s="121"/>
      <c r="I53" s="121"/>
      <c r="J53" s="121"/>
      <c r="K53" s="121"/>
      <c r="L53" s="121"/>
      <c r="M53" s="121"/>
      <c r="N53" s="121"/>
    </row>
    <row r="54" spans="1:14" x14ac:dyDescent="0.25">
      <c r="A54" s="102"/>
      <c r="E54" s="121"/>
      <c r="F54" s="121"/>
      <c r="G54" s="121"/>
      <c r="H54" s="121"/>
      <c r="I54" s="121"/>
      <c r="J54" s="121"/>
      <c r="K54" s="121"/>
      <c r="L54" s="121"/>
      <c r="M54" s="121"/>
      <c r="N54" s="121"/>
    </row>
    <row r="55" spans="1:14" x14ac:dyDescent="0.25">
      <c r="A55" s="102"/>
      <c r="E55" s="121"/>
      <c r="F55" s="121"/>
      <c r="G55" s="121"/>
      <c r="H55" s="121"/>
      <c r="I55" s="121"/>
      <c r="J55" s="121"/>
      <c r="K55" s="121"/>
      <c r="L55" s="121"/>
      <c r="M55" s="121"/>
      <c r="N55" s="121"/>
    </row>
    <row r="56" spans="1:14" x14ac:dyDescent="0.25">
      <c r="A56" s="102"/>
      <c r="E56" s="121"/>
      <c r="F56" s="121"/>
      <c r="G56" s="121"/>
      <c r="H56" s="121"/>
      <c r="I56" s="121"/>
      <c r="J56" s="121"/>
      <c r="K56" s="121"/>
      <c r="L56" s="121"/>
      <c r="M56" s="121"/>
      <c r="N56" s="121"/>
    </row>
    <row r="57" spans="1:14" x14ac:dyDescent="0.25">
      <c r="A57" s="102"/>
      <c r="E57" s="121"/>
      <c r="F57" s="121"/>
      <c r="G57" s="121"/>
      <c r="H57" s="121"/>
      <c r="I57" s="121"/>
      <c r="J57" s="121"/>
      <c r="K57" s="121"/>
      <c r="L57" s="121"/>
      <c r="M57" s="121"/>
      <c r="N57" s="121"/>
    </row>
    <row r="58" spans="1:14" x14ac:dyDescent="0.25">
      <c r="A58" s="102"/>
      <c r="E58" s="121"/>
      <c r="F58" s="121"/>
      <c r="G58" s="121"/>
      <c r="H58" s="121"/>
      <c r="I58" s="121"/>
      <c r="J58" s="121"/>
      <c r="K58" s="121"/>
      <c r="L58" s="121"/>
      <c r="M58" s="121"/>
      <c r="N58" s="121"/>
    </row>
    <row r="59" spans="1:14" x14ac:dyDescent="0.25">
      <c r="A59" s="102"/>
      <c r="E59" s="121"/>
      <c r="F59" s="121"/>
      <c r="G59" s="121"/>
      <c r="H59" s="121"/>
      <c r="I59" s="121"/>
      <c r="J59" s="121"/>
      <c r="K59" s="121"/>
      <c r="L59" s="121"/>
      <c r="M59" s="121"/>
      <c r="N59" s="121"/>
    </row>
    <row r="60" spans="1:14" x14ac:dyDescent="0.25">
      <c r="A60" s="102"/>
      <c r="E60" s="121"/>
      <c r="F60" s="121"/>
      <c r="G60" s="121"/>
      <c r="H60" s="121"/>
      <c r="I60" s="121"/>
      <c r="J60" s="121"/>
      <c r="K60" s="121"/>
      <c r="L60" s="121"/>
      <c r="M60" s="121"/>
      <c r="N60" s="121"/>
    </row>
    <row r="61" spans="1:14" x14ac:dyDescent="0.25">
      <c r="A61" s="102"/>
      <c r="E61" s="121"/>
      <c r="F61" s="121"/>
      <c r="G61" s="121"/>
      <c r="H61" s="121"/>
      <c r="I61" s="121"/>
      <c r="J61" s="121"/>
      <c r="K61" s="121"/>
      <c r="L61" s="121"/>
      <c r="M61" s="121"/>
      <c r="N61" s="121"/>
    </row>
    <row r="62" spans="1:14" x14ac:dyDescent="0.25">
      <c r="A62" s="102"/>
      <c r="E62" s="121"/>
      <c r="F62" s="121"/>
      <c r="G62" s="121"/>
      <c r="H62" s="121"/>
      <c r="I62" s="121"/>
      <c r="J62" s="121"/>
      <c r="K62" s="121"/>
      <c r="L62" s="121"/>
      <c r="M62" s="121"/>
      <c r="N62" s="121"/>
    </row>
    <row r="63" spans="1:14" x14ac:dyDescent="0.25">
      <c r="A63" s="102"/>
      <c r="E63" s="121"/>
      <c r="F63" s="121"/>
      <c r="G63" s="121"/>
      <c r="H63" s="121"/>
      <c r="I63" s="121"/>
      <c r="J63" s="121"/>
      <c r="K63" s="121"/>
      <c r="L63" s="121"/>
      <c r="M63" s="121"/>
      <c r="N63" s="121"/>
    </row>
    <row r="64" spans="1:14" x14ac:dyDescent="0.25">
      <c r="A64" s="102"/>
      <c r="E64" s="121"/>
      <c r="F64" s="121"/>
      <c r="G64" s="121"/>
      <c r="H64" s="121"/>
      <c r="I64" s="121"/>
      <c r="J64" s="121"/>
      <c r="K64" s="121"/>
      <c r="L64" s="121"/>
      <c r="M64" s="121"/>
      <c r="N64" s="121"/>
    </row>
    <row r="65" spans="5:14" x14ac:dyDescent="0.25">
      <c r="E65" s="121"/>
      <c r="F65" s="121"/>
      <c r="G65" s="121"/>
      <c r="H65" s="121"/>
      <c r="I65" s="121"/>
      <c r="J65" s="121"/>
      <c r="K65" s="121"/>
      <c r="L65" s="121"/>
      <c r="M65" s="121"/>
      <c r="N65" s="121"/>
    </row>
    <row r="66" spans="5:14" x14ac:dyDescent="0.25">
      <c r="E66" s="121"/>
      <c r="F66" s="121"/>
      <c r="G66" s="121"/>
      <c r="H66" s="121"/>
      <c r="I66" s="121"/>
      <c r="J66" s="121"/>
      <c r="K66" s="121"/>
      <c r="L66" s="121"/>
      <c r="M66" s="121"/>
      <c r="N66" s="121"/>
    </row>
    <row r="67" spans="5:14" x14ac:dyDescent="0.25">
      <c r="E67" s="121"/>
      <c r="F67" s="121"/>
      <c r="G67" s="121"/>
      <c r="H67" s="121"/>
      <c r="I67" s="121"/>
      <c r="J67" s="121"/>
      <c r="K67" s="121"/>
      <c r="L67" s="121"/>
      <c r="M67" s="121"/>
      <c r="N67" s="121"/>
    </row>
    <row r="68" spans="5:14" x14ac:dyDescent="0.25">
      <c r="E68" s="121"/>
      <c r="F68" s="121"/>
      <c r="G68" s="121"/>
      <c r="H68" s="121"/>
      <c r="I68" s="121"/>
      <c r="J68" s="121"/>
      <c r="K68" s="121"/>
      <c r="L68" s="121"/>
      <c r="M68" s="121"/>
      <c r="N68" s="121"/>
    </row>
    <row r="69" spans="5:14" x14ac:dyDescent="0.25">
      <c r="E69" s="121"/>
      <c r="F69" s="121"/>
      <c r="G69" s="121"/>
      <c r="H69" s="121"/>
      <c r="I69" s="121"/>
      <c r="J69" s="121"/>
      <c r="K69" s="121"/>
      <c r="L69" s="121"/>
      <c r="M69" s="121"/>
      <c r="N69" s="121"/>
    </row>
    <row r="70" spans="5:14" x14ac:dyDescent="0.25">
      <c r="E70" s="121"/>
      <c r="F70" s="121"/>
      <c r="G70" s="121"/>
      <c r="H70" s="121"/>
      <c r="I70" s="121"/>
      <c r="J70" s="121"/>
      <c r="K70" s="121"/>
      <c r="L70" s="121"/>
      <c r="M70" s="121"/>
      <c r="N70" s="121"/>
    </row>
    <row r="71" spans="5:14" x14ac:dyDescent="0.25">
      <c r="E71" s="121"/>
      <c r="F71" s="121"/>
      <c r="G71" s="121"/>
      <c r="H71" s="121"/>
      <c r="I71" s="121"/>
      <c r="J71" s="121"/>
      <c r="K71" s="121"/>
      <c r="L71" s="121"/>
      <c r="M71" s="121"/>
      <c r="N71" s="121"/>
    </row>
    <row r="72" spans="5:14" x14ac:dyDescent="0.25">
      <c r="E72" s="121"/>
      <c r="F72" s="121"/>
      <c r="G72" s="121"/>
      <c r="H72" s="121"/>
      <c r="I72" s="121"/>
      <c r="J72" s="121"/>
      <c r="K72" s="121"/>
      <c r="L72" s="121"/>
      <c r="M72" s="121"/>
      <c r="N72" s="121"/>
    </row>
    <row r="73" spans="5:14" x14ac:dyDescent="0.25">
      <c r="E73" s="121"/>
      <c r="F73" s="121"/>
      <c r="G73" s="121"/>
      <c r="H73" s="121"/>
      <c r="I73" s="121"/>
      <c r="J73" s="121"/>
      <c r="K73" s="121"/>
      <c r="L73" s="121"/>
      <c r="M73" s="121"/>
      <c r="N73" s="121"/>
    </row>
    <row r="74" spans="5:14" x14ac:dyDescent="0.25">
      <c r="E74" s="121"/>
      <c r="F74" s="121"/>
      <c r="G74" s="121"/>
      <c r="H74" s="121"/>
      <c r="I74" s="121"/>
      <c r="J74" s="121"/>
      <c r="K74" s="121"/>
      <c r="L74" s="121"/>
      <c r="M74" s="121"/>
      <c r="N74" s="121"/>
    </row>
    <row r="75" spans="5:14" x14ac:dyDescent="0.25">
      <c r="E75" s="121"/>
      <c r="F75" s="121"/>
      <c r="G75" s="121"/>
      <c r="H75" s="121"/>
      <c r="I75" s="121"/>
      <c r="J75" s="121"/>
      <c r="K75" s="121"/>
      <c r="L75" s="121"/>
      <c r="M75" s="121"/>
      <c r="N75" s="121"/>
    </row>
    <row r="76" spans="5:14" x14ac:dyDescent="0.25">
      <c r="E76" s="121"/>
      <c r="F76" s="121"/>
      <c r="G76" s="121"/>
      <c r="H76" s="121"/>
      <c r="I76" s="121"/>
      <c r="J76" s="121"/>
      <c r="K76" s="121"/>
      <c r="L76" s="121"/>
      <c r="M76" s="121"/>
      <c r="N76" s="121"/>
    </row>
    <row r="77" spans="5:14" x14ac:dyDescent="0.25">
      <c r="E77" s="121"/>
      <c r="F77" s="121"/>
      <c r="G77" s="121"/>
      <c r="H77" s="121"/>
      <c r="I77" s="121"/>
      <c r="J77" s="121"/>
      <c r="K77" s="121"/>
      <c r="L77" s="121"/>
      <c r="M77" s="121"/>
      <c r="N77" s="121"/>
    </row>
    <row r="78" spans="5:14" x14ac:dyDescent="0.25">
      <c r="E78" s="121"/>
      <c r="F78" s="121"/>
      <c r="G78" s="121"/>
      <c r="H78" s="121"/>
      <c r="I78" s="121"/>
      <c r="J78" s="121"/>
      <c r="K78" s="121"/>
      <c r="L78" s="121"/>
      <c r="M78" s="121"/>
      <c r="N78" s="121"/>
    </row>
    <row r="79" spans="5:14" x14ac:dyDescent="0.25">
      <c r="E79" s="121"/>
      <c r="F79" s="121"/>
      <c r="G79" s="121"/>
      <c r="H79" s="121"/>
      <c r="I79" s="121"/>
      <c r="J79" s="121"/>
      <c r="K79" s="121"/>
      <c r="L79" s="121"/>
      <c r="M79" s="121"/>
      <c r="N79" s="121"/>
    </row>
    <row r="80" spans="5:14" x14ac:dyDescent="0.25">
      <c r="E80" s="121"/>
      <c r="F80" s="121"/>
      <c r="G80" s="121"/>
      <c r="H80" s="121"/>
      <c r="I80" s="121"/>
      <c r="J80" s="121"/>
      <c r="K80" s="121"/>
      <c r="L80" s="121"/>
      <c r="M80" s="121"/>
      <c r="N80" s="121"/>
    </row>
    <row r="81" spans="5:14" x14ac:dyDescent="0.25">
      <c r="E81" s="121"/>
      <c r="F81" s="121"/>
      <c r="G81" s="121"/>
      <c r="H81" s="121"/>
      <c r="I81" s="121"/>
      <c r="J81" s="121"/>
      <c r="K81" s="121"/>
      <c r="L81" s="121"/>
      <c r="M81" s="121"/>
      <c r="N81" s="121"/>
    </row>
    <row r="82" spans="5:14" x14ac:dyDescent="0.25">
      <c r="E82" s="121"/>
      <c r="F82" s="121"/>
      <c r="G82" s="121"/>
      <c r="H82" s="121"/>
      <c r="I82" s="121"/>
      <c r="J82" s="121"/>
      <c r="K82" s="121"/>
      <c r="L82" s="121"/>
      <c r="M82" s="121"/>
      <c r="N82" s="121"/>
    </row>
    <row r="83" spans="5:14" x14ac:dyDescent="0.25">
      <c r="E83" s="121"/>
      <c r="F83" s="121"/>
      <c r="G83" s="121"/>
      <c r="H83" s="121"/>
      <c r="I83" s="121"/>
      <c r="J83" s="121"/>
      <c r="K83" s="121"/>
      <c r="L83" s="121"/>
      <c r="M83" s="121"/>
      <c r="N83" s="121"/>
    </row>
    <row r="84" spans="5:14" x14ac:dyDescent="0.25">
      <c r="E84" s="121"/>
      <c r="F84" s="121"/>
      <c r="G84" s="121"/>
      <c r="H84" s="121"/>
      <c r="I84" s="121"/>
      <c r="J84" s="121"/>
      <c r="K84" s="121"/>
      <c r="L84" s="121"/>
      <c r="M84" s="121"/>
      <c r="N84" s="121"/>
    </row>
    <row r="85" spans="5:14" x14ac:dyDescent="0.25">
      <c r="E85" s="121"/>
      <c r="F85" s="121"/>
      <c r="G85" s="121"/>
      <c r="H85" s="121"/>
      <c r="I85" s="121"/>
      <c r="J85" s="121"/>
      <c r="K85" s="121"/>
      <c r="L85" s="121"/>
      <c r="M85" s="121"/>
      <c r="N85" s="121"/>
    </row>
    <row r="86" spans="5:14" x14ac:dyDescent="0.25">
      <c r="E86" s="121"/>
      <c r="F86" s="121"/>
      <c r="G86" s="121"/>
      <c r="H86" s="121"/>
      <c r="I86" s="121"/>
      <c r="J86" s="121"/>
      <c r="K86" s="121"/>
      <c r="L86" s="121"/>
      <c r="M86" s="121"/>
      <c r="N86" s="121"/>
    </row>
    <row r="87" spans="5:14" x14ac:dyDescent="0.25">
      <c r="E87" s="121"/>
      <c r="F87" s="121"/>
      <c r="G87" s="121"/>
      <c r="H87" s="121"/>
      <c r="I87" s="121"/>
      <c r="J87" s="121"/>
      <c r="K87" s="121"/>
      <c r="L87" s="121"/>
      <c r="M87" s="121"/>
      <c r="N87" s="121"/>
    </row>
    <row r="88" spans="5:14" x14ac:dyDescent="0.25">
      <c r="E88" s="121"/>
      <c r="F88" s="121"/>
      <c r="G88" s="121"/>
      <c r="H88" s="121"/>
      <c r="I88" s="121"/>
      <c r="J88" s="121"/>
      <c r="K88" s="121"/>
      <c r="L88" s="121"/>
      <c r="M88" s="121"/>
      <c r="N88" s="121"/>
    </row>
    <row r="89" spans="5:14" x14ac:dyDescent="0.25">
      <c r="E89" s="121"/>
      <c r="F89" s="121"/>
      <c r="G89" s="121"/>
      <c r="H89" s="121"/>
      <c r="I89" s="121"/>
      <c r="J89" s="121"/>
      <c r="K89" s="121"/>
      <c r="L89" s="121"/>
      <c r="M89" s="121"/>
      <c r="N89" s="121"/>
    </row>
    <row r="90" spans="5:14" x14ac:dyDescent="0.25">
      <c r="E90" s="121"/>
      <c r="F90" s="121"/>
      <c r="G90" s="121"/>
      <c r="H90" s="121"/>
      <c r="I90" s="121"/>
      <c r="J90" s="121"/>
      <c r="K90" s="121"/>
      <c r="L90" s="121"/>
      <c r="M90" s="121"/>
      <c r="N90" s="121"/>
    </row>
    <row r="91" spans="5:14" x14ac:dyDescent="0.25">
      <c r="E91" s="121"/>
      <c r="F91" s="121"/>
      <c r="G91" s="121"/>
      <c r="H91" s="121"/>
      <c r="I91" s="121"/>
      <c r="J91" s="121"/>
      <c r="K91" s="121"/>
      <c r="L91" s="121"/>
      <c r="M91" s="121"/>
      <c r="N91" s="121"/>
    </row>
    <row r="92" spans="5:14" x14ac:dyDescent="0.25">
      <c r="E92" s="121"/>
      <c r="F92" s="121"/>
      <c r="G92" s="121"/>
      <c r="H92" s="121"/>
      <c r="I92" s="121"/>
      <c r="J92" s="121"/>
      <c r="K92" s="121"/>
      <c r="L92" s="121"/>
      <c r="M92" s="121"/>
      <c r="N92" s="121"/>
    </row>
    <row r="93" spans="5:14" x14ac:dyDescent="0.25">
      <c r="E93" s="121"/>
      <c r="F93" s="121"/>
      <c r="G93" s="121"/>
      <c r="H93" s="121"/>
      <c r="I93" s="121"/>
      <c r="J93" s="121"/>
      <c r="K93" s="121"/>
      <c r="L93" s="121"/>
      <c r="M93" s="121"/>
      <c r="N93" s="121"/>
    </row>
    <row r="94" spans="5:14" x14ac:dyDescent="0.25">
      <c r="E94" s="121"/>
      <c r="F94" s="121"/>
      <c r="G94" s="121"/>
      <c r="H94" s="121"/>
      <c r="I94" s="121"/>
      <c r="J94" s="121"/>
      <c r="K94" s="121"/>
      <c r="L94" s="121"/>
      <c r="M94" s="121"/>
      <c r="N94" s="121"/>
    </row>
    <row r="95" spans="5:14" x14ac:dyDescent="0.25">
      <c r="E95" s="121"/>
      <c r="F95" s="121"/>
      <c r="G95" s="121"/>
      <c r="H95" s="121"/>
      <c r="I95" s="121"/>
      <c r="J95" s="121"/>
      <c r="K95" s="121"/>
      <c r="L95" s="121"/>
      <c r="M95" s="121"/>
      <c r="N95" s="121"/>
    </row>
    <row r="96" spans="5:14" x14ac:dyDescent="0.25">
      <c r="E96" s="121"/>
      <c r="F96" s="121"/>
      <c r="G96" s="121"/>
      <c r="H96" s="121"/>
      <c r="I96" s="121"/>
      <c r="J96" s="121"/>
      <c r="K96" s="121"/>
      <c r="L96" s="121"/>
      <c r="M96" s="121"/>
      <c r="N96" s="121"/>
    </row>
    <row r="97" spans="5:14" x14ac:dyDescent="0.25">
      <c r="E97" s="121"/>
      <c r="F97" s="121"/>
      <c r="G97" s="121"/>
      <c r="H97" s="121"/>
      <c r="I97" s="121"/>
      <c r="J97" s="121"/>
      <c r="K97" s="121"/>
      <c r="L97" s="121"/>
      <c r="M97" s="121"/>
      <c r="N97" s="121"/>
    </row>
    <row r="98" spans="5:14" x14ac:dyDescent="0.25">
      <c r="E98" s="121"/>
      <c r="F98" s="121"/>
      <c r="G98" s="121"/>
      <c r="H98" s="121"/>
      <c r="I98" s="121"/>
      <c r="J98" s="121"/>
      <c r="K98" s="121"/>
      <c r="L98" s="121"/>
      <c r="M98" s="121"/>
      <c r="N98" s="121"/>
    </row>
    <row r="99" spans="5:14" x14ac:dyDescent="0.25">
      <c r="E99" s="121"/>
      <c r="F99" s="121"/>
      <c r="G99" s="121"/>
      <c r="H99" s="121"/>
      <c r="I99" s="121"/>
      <c r="J99" s="121"/>
      <c r="K99" s="121"/>
      <c r="L99" s="121"/>
      <c r="M99" s="121"/>
      <c r="N99" s="121"/>
    </row>
    <row r="100" spans="5:14" x14ac:dyDescent="0.25"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</row>
    <row r="101" spans="5:14" x14ac:dyDescent="0.25"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</row>
  </sheetData>
  <mergeCells count="2">
    <mergeCell ref="H1:H2"/>
    <mergeCell ref="I2:J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Option Button 4">
              <controlPr defaultSize="0" autoFill="0" autoLine="0" autoPict="0">
                <anchor moveWithCells="1">
                  <from>
                    <xdr:col>8</xdr:col>
                    <xdr:colOff>552450</xdr:colOff>
                    <xdr:row>0</xdr:row>
                    <xdr:rowOff>0</xdr:rowOff>
                  </from>
                  <to>
                    <xdr:col>9</xdr:col>
                    <xdr:colOff>47625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Option Button 5">
              <controlPr defaultSize="0" autoFill="0" autoLine="0" autoPict="0">
                <anchor moveWithCells="1">
                  <from>
                    <xdr:col>9</xdr:col>
                    <xdr:colOff>628650</xdr:colOff>
                    <xdr:row>0</xdr:row>
                    <xdr:rowOff>0</xdr:rowOff>
                  </from>
                  <to>
                    <xdr:col>9</xdr:col>
                    <xdr:colOff>866775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AD30"/>
  <sheetViews>
    <sheetView showGridLines="0" showRowColHeaders="0" zoomScale="110" zoomScaleNormal="110" workbookViewId="0"/>
  </sheetViews>
  <sheetFormatPr baseColWidth="10" defaultColWidth="0" defaultRowHeight="15" zeroHeight="1" x14ac:dyDescent="0.25"/>
  <cols>
    <col min="1" max="1" width="4.7109375" style="109" customWidth="1"/>
    <col min="2" max="14" width="11.42578125" style="109" customWidth="1"/>
    <col min="15" max="15" width="12.42578125" style="109" customWidth="1"/>
    <col min="16" max="16" width="11.42578125" style="109" customWidth="1"/>
    <col min="17" max="19" width="11.42578125" style="109" hidden="1" customWidth="1"/>
    <col min="20" max="20" width="11.85546875" style="109" hidden="1" customWidth="1"/>
    <col min="21" max="16384" width="11.42578125" style="109" hidden="1"/>
  </cols>
  <sheetData>
    <row r="1" spans="1:30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</row>
    <row r="2" spans="1:30" x14ac:dyDescent="0.25">
      <c r="A2" s="138"/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</row>
    <row r="3" spans="1:30" x14ac:dyDescent="0.25">
      <c r="A3" s="138"/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</row>
    <row r="4" spans="1:30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T4" s="109">
        <v>1</v>
      </c>
    </row>
    <row r="5" spans="1:30" ht="15.75" thickBot="1" x14ac:dyDescent="0.3">
      <c r="A5" s="124"/>
      <c r="B5" s="124"/>
      <c r="C5" s="124"/>
      <c r="D5" s="127" t="s">
        <v>652</v>
      </c>
      <c r="E5" s="127"/>
      <c r="F5" s="127"/>
      <c r="G5" s="127"/>
      <c r="H5" s="127"/>
      <c r="I5" s="124"/>
      <c r="J5" s="124"/>
      <c r="K5" s="124"/>
      <c r="L5" s="124"/>
      <c r="M5" s="124"/>
      <c r="N5" s="124"/>
      <c r="O5" s="124"/>
      <c r="P5" s="124"/>
      <c r="T5" s="109">
        <v>3</v>
      </c>
    </row>
    <row r="6" spans="1:30" ht="15.75" thickBot="1" x14ac:dyDescent="0.3">
      <c r="A6" s="124"/>
      <c r="B6" s="124"/>
      <c r="C6" s="124"/>
      <c r="D6" s="135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T6" s="110" t="s">
        <v>653</v>
      </c>
      <c r="U6" s="110">
        <f>E10</f>
        <v>0</v>
      </c>
      <c r="V6" s="110">
        <f>IF(T4=1,1,1.19)</f>
        <v>1</v>
      </c>
      <c r="W6" s="110">
        <f>U6*V6</f>
        <v>0</v>
      </c>
      <c r="X6" s="111" t="e">
        <f t="shared" ref="X6:X12" si="0">W6/$W$13</f>
        <v>#DIV/0!</v>
      </c>
      <c r="Y6" s="110">
        <f>$D$6</f>
        <v>0</v>
      </c>
      <c r="Z6" s="112" t="e">
        <f>X6*Y6</f>
        <v>#DIV/0!</v>
      </c>
      <c r="AA6" s="112" t="e">
        <f t="shared" ref="AA6:AA12" si="1">Z6/V6</f>
        <v>#DIV/0!</v>
      </c>
      <c r="AB6" s="112" t="e">
        <f>AA6</f>
        <v>#DIV/0!</v>
      </c>
      <c r="AD6" s="110" t="s">
        <v>653</v>
      </c>
    </row>
    <row r="7" spans="1:30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T7" s="110" t="s">
        <v>654</v>
      </c>
      <c r="U7" s="110">
        <f>E12</f>
        <v>0</v>
      </c>
      <c r="V7" s="110">
        <v>1.19</v>
      </c>
      <c r="W7" s="110">
        <f t="shared" ref="W7:W12" si="2">U7*V7</f>
        <v>0</v>
      </c>
      <c r="X7" s="111" t="e">
        <f t="shared" si="0"/>
        <v>#DIV/0!</v>
      </c>
      <c r="Y7" s="110">
        <f t="shared" ref="Y7:Y12" si="3">$D$6</f>
        <v>0</v>
      </c>
      <c r="Z7" s="112" t="e">
        <f t="shared" ref="Z7:Z12" si="4">X7*Y7</f>
        <v>#DIV/0!</v>
      </c>
      <c r="AA7" s="112" t="e">
        <f t="shared" si="1"/>
        <v>#DIV/0!</v>
      </c>
      <c r="AB7" s="112" t="e">
        <f>AA7+AA9</f>
        <v>#DIV/0!</v>
      </c>
      <c r="AD7" s="110" t="s">
        <v>654</v>
      </c>
    </row>
    <row r="8" spans="1:30" x14ac:dyDescent="0.25">
      <c r="A8" s="124"/>
      <c r="B8" s="124"/>
      <c r="C8" s="124"/>
      <c r="D8" s="170" t="s">
        <v>735</v>
      </c>
      <c r="E8" s="170"/>
      <c r="F8" s="170"/>
      <c r="G8" s="124"/>
      <c r="H8" s="124"/>
      <c r="I8" s="124"/>
      <c r="J8" s="124"/>
      <c r="K8" s="124"/>
      <c r="L8" s="124"/>
      <c r="M8" s="124"/>
      <c r="N8" s="124"/>
      <c r="O8" s="124"/>
      <c r="P8" s="124"/>
      <c r="T8" s="110" t="s">
        <v>655</v>
      </c>
      <c r="U8" s="110">
        <f>E14</f>
        <v>0</v>
      </c>
      <c r="V8" s="110">
        <v>1.19</v>
      </c>
      <c r="W8" s="110">
        <f t="shared" si="2"/>
        <v>0</v>
      </c>
      <c r="X8" s="111" t="e">
        <f t="shared" si="0"/>
        <v>#DIV/0!</v>
      </c>
      <c r="Y8" s="110">
        <f t="shared" si="3"/>
        <v>0</v>
      </c>
      <c r="Z8" s="112" t="e">
        <f t="shared" si="4"/>
        <v>#DIV/0!</v>
      </c>
      <c r="AA8" s="112" t="e">
        <f t="shared" si="1"/>
        <v>#DIV/0!</v>
      </c>
      <c r="AB8" s="112" t="e">
        <f>AA8</f>
        <v>#DIV/0!</v>
      </c>
      <c r="AD8" s="110" t="s">
        <v>655</v>
      </c>
    </row>
    <row r="9" spans="1:30" x14ac:dyDescent="0.25">
      <c r="A9" s="124"/>
      <c r="B9" s="124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T9" s="110" t="s">
        <v>656</v>
      </c>
      <c r="U9" s="110">
        <f>E16</f>
        <v>0</v>
      </c>
      <c r="V9" s="110">
        <v>1.19</v>
      </c>
      <c r="W9" s="110">
        <f t="shared" si="2"/>
        <v>0</v>
      </c>
      <c r="X9" s="111" t="e">
        <f t="shared" si="0"/>
        <v>#DIV/0!</v>
      </c>
      <c r="Y9" s="110">
        <f t="shared" si="3"/>
        <v>0</v>
      </c>
      <c r="Z9" s="112" t="e">
        <f t="shared" si="4"/>
        <v>#DIV/0!</v>
      </c>
      <c r="AA9" s="113" t="e">
        <f t="shared" si="1"/>
        <v>#DIV/0!</v>
      </c>
      <c r="AB9" s="114"/>
      <c r="AD9" s="110" t="s">
        <v>656</v>
      </c>
    </row>
    <row r="10" spans="1:30" x14ac:dyDescent="0.25">
      <c r="A10" s="124"/>
      <c r="B10" s="124"/>
      <c r="C10" s="124"/>
      <c r="D10" s="124"/>
      <c r="E10" s="136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T10" s="110" t="s">
        <v>657</v>
      </c>
      <c r="U10" s="110">
        <f>E18</f>
        <v>0</v>
      </c>
      <c r="V10" s="110">
        <v>1.19</v>
      </c>
      <c r="W10" s="110">
        <f t="shared" si="2"/>
        <v>0</v>
      </c>
      <c r="X10" s="111" t="e">
        <f t="shared" si="0"/>
        <v>#DIV/0!</v>
      </c>
      <c r="Y10" s="110">
        <f t="shared" si="3"/>
        <v>0</v>
      </c>
      <c r="Z10" s="112" t="e">
        <f t="shared" si="4"/>
        <v>#DIV/0!</v>
      </c>
      <c r="AA10" s="112" t="e">
        <f t="shared" si="1"/>
        <v>#DIV/0!</v>
      </c>
      <c r="AB10" s="112" t="e">
        <f>AA10</f>
        <v>#DIV/0!</v>
      </c>
      <c r="AD10" s="110" t="s">
        <v>657</v>
      </c>
    </row>
    <row r="11" spans="1:30" x14ac:dyDescent="0.25">
      <c r="A11" s="124"/>
      <c r="B11" s="124"/>
      <c r="C11" s="124"/>
      <c r="D11" s="124"/>
      <c r="E11" s="131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T11" s="110" t="s">
        <v>128</v>
      </c>
      <c r="U11" s="110">
        <f>E20</f>
        <v>0</v>
      </c>
      <c r="V11" s="110">
        <v>1.19</v>
      </c>
      <c r="W11" s="110">
        <f t="shared" si="2"/>
        <v>0</v>
      </c>
      <c r="X11" s="111" t="e">
        <f t="shared" si="0"/>
        <v>#DIV/0!</v>
      </c>
      <c r="Y11" s="110">
        <f t="shared" si="3"/>
        <v>0</v>
      </c>
      <c r="Z11" s="112" t="e">
        <f t="shared" si="4"/>
        <v>#DIV/0!</v>
      </c>
      <c r="AA11" s="112" t="e">
        <f t="shared" si="1"/>
        <v>#DIV/0!</v>
      </c>
      <c r="AB11" s="112" t="e">
        <f>AA11+AA12</f>
        <v>#DIV/0!</v>
      </c>
      <c r="AD11" s="110" t="s">
        <v>128</v>
      </c>
    </row>
    <row r="12" spans="1:30" x14ac:dyDescent="0.25">
      <c r="A12" s="124"/>
      <c r="B12" s="124"/>
      <c r="C12" s="124"/>
      <c r="D12" s="124"/>
      <c r="E12" s="136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T12" s="110" t="s">
        <v>658</v>
      </c>
      <c r="U12" s="110">
        <f>E22</f>
        <v>0</v>
      </c>
      <c r="V12" s="110">
        <v>1.19</v>
      </c>
      <c r="W12" s="110">
        <f t="shared" si="2"/>
        <v>0</v>
      </c>
      <c r="X12" s="111" t="e">
        <f t="shared" si="0"/>
        <v>#DIV/0!</v>
      </c>
      <c r="Y12" s="110">
        <f t="shared" si="3"/>
        <v>0</v>
      </c>
      <c r="Z12" s="112" t="e">
        <f t="shared" si="4"/>
        <v>#DIV/0!</v>
      </c>
      <c r="AA12" s="112" t="e">
        <f t="shared" si="1"/>
        <v>#DIV/0!</v>
      </c>
      <c r="AB12" s="110"/>
      <c r="AD12" s="110" t="s">
        <v>658</v>
      </c>
    </row>
    <row r="13" spans="1:30" x14ac:dyDescent="0.25">
      <c r="A13" s="124"/>
      <c r="B13" s="124"/>
      <c r="C13" s="124"/>
      <c r="D13" s="124"/>
      <c r="E13" s="131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W13" s="112">
        <f>SUM(W6:W12)</f>
        <v>0</v>
      </c>
    </row>
    <row r="14" spans="1:30" x14ac:dyDescent="0.25">
      <c r="A14" s="124"/>
      <c r="B14" s="124"/>
      <c r="C14" s="124"/>
      <c r="D14" s="124"/>
      <c r="E14" s="136"/>
      <c r="F14" s="124"/>
      <c r="G14" s="124"/>
      <c r="H14" s="124"/>
      <c r="I14" s="169" t="s">
        <v>659</v>
      </c>
      <c r="J14" s="169"/>
      <c r="K14" s="124"/>
      <c r="L14" s="124"/>
      <c r="M14" s="127"/>
      <c r="N14" s="127"/>
      <c r="O14" s="127"/>
      <c r="P14" s="124"/>
      <c r="T14" s="109" t="b">
        <v>1</v>
      </c>
    </row>
    <row r="15" spans="1:30" x14ac:dyDescent="0.25">
      <c r="A15" s="124"/>
      <c r="B15" s="124"/>
      <c r="C15" s="124"/>
      <c r="D15" s="124"/>
      <c r="E15" s="131"/>
      <c r="F15" s="124"/>
      <c r="G15" s="124"/>
      <c r="H15" s="124"/>
      <c r="I15" s="128" t="s">
        <v>653</v>
      </c>
      <c r="J15" s="129" t="str">
        <f t="shared" ref="J15:J21" si="5">IFERROR(AA6,"")</f>
        <v/>
      </c>
      <c r="K15" s="124"/>
      <c r="L15" s="124"/>
      <c r="M15" s="124"/>
      <c r="N15" s="169" t="s">
        <v>660</v>
      </c>
      <c r="O15" s="169"/>
      <c r="P15" s="124"/>
      <c r="T15" s="109" t="b">
        <v>1</v>
      </c>
    </row>
    <row r="16" spans="1:30" x14ac:dyDescent="0.25">
      <c r="A16" s="124"/>
      <c r="B16" s="124"/>
      <c r="C16" s="124"/>
      <c r="D16" s="124"/>
      <c r="E16" s="136"/>
      <c r="F16" s="124"/>
      <c r="G16" s="124"/>
      <c r="H16" s="124"/>
      <c r="I16" s="128" t="s">
        <v>654</v>
      </c>
      <c r="J16" s="129" t="str">
        <f t="shared" si="5"/>
        <v/>
      </c>
      <c r="K16" s="124"/>
      <c r="L16" s="124"/>
      <c r="M16" s="130"/>
      <c r="N16" s="129" t="str">
        <f>IFERROR(AB6,"")</f>
        <v/>
      </c>
      <c r="O16" s="128" t="str">
        <f>IF(N16&gt;0,IF(T5=1,"ECRS",IF(T5=2,"ECR",IF(T5=3,"EQRS",IF(T5=4,"EQSS","ECRQ")))),"-")</f>
        <v>EQRS</v>
      </c>
      <c r="P16" s="124"/>
      <c r="Q16" s="115"/>
      <c r="T16" s="109" t="b">
        <v>1</v>
      </c>
    </row>
    <row r="17" spans="1:20" x14ac:dyDescent="0.25">
      <c r="A17" s="124"/>
      <c r="B17" s="124"/>
      <c r="C17" s="124"/>
      <c r="D17" s="124"/>
      <c r="E17" s="131"/>
      <c r="F17" s="124"/>
      <c r="G17" s="124"/>
      <c r="H17" s="124"/>
      <c r="I17" s="128" t="s">
        <v>655</v>
      </c>
      <c r="J17" s="129" t="str">
        <f t="shared" si="5"/>
        <v/>
      </c>
      <c r="K17" s="124"/>
      <c r="L17" s="124"/>
      <c r="M17" s="130"/>
      <c r="N17" s="129" t="str">
        <f>IFERROR(AB7,"")</f>
        <v/>
      </c>
      <c r="O17" s="128" t="str">
        <f>IF(N17&gt;0,IF(T5=1,"FTR",IF(T5=2,"FTR","FTRQ")),"-")</f>
        <v>FTRQ</v>
      </c>
      <c r="P17" s="124"/>
      <c r="T17" s="109" t="b">
        <v>1</v>
      </c>
    </row>
    <row r="18" spans="1:20" x14ac:dyDescent="0.25">
      <c r="A18" s="124"/>
      <c r="B18" s="124"/>
      <c r="C18" s="124"/>
      <c r="D18" s="124"/>
      <c r="E18" s="136"/>
      <c r="F18" s="124"/>
      <c r="G18" s="124"/>
      <c r="H18" s="124"/>
      <c r="I18" s="128" t="s">
        <v>656</v>
      </c>
      <c r="J18" s="129" t="str">
        <f t="shared" si="5"/>
        <v/>
      </c>
      <c r="K18" s="124"/>
      <c r="L18" s="124"/>
      <c r="M18" s="130"/>
      <c r="N18" s="129" t="str">
        <f>IFERROR(AB8,"")</f>
        <v/>
      </c>
      <c r="O18" s="128" t="str">
        <f>IF(N18&gt;0,IF(T5,"ALDT"),"-")</f>
        <v>ALDT</v>
      </c>
      <c r="P18" s="124"/>
      <c r="T18" s="109" t="b">
        <v>1</v>
      </c>
    </row>
    <row r="19" spans="1:20" x14ac:dyDescent="0.25">
      <c r="A19" s="124"/>
      <c r="B19" s="124"/>
      <c r="C19" s="124"/>
      <c r="D19" s="124"/>
      <c r="E19" s="131"/>
      <c r="F19" s="124"/>
      <c r="G19" s="124"/>
      <c r="H19" s="124"/>
      <c r="I19" s="128" t="s">
        <v>657</v>
      </c>
      <c r="J19" s="129" t="str">
        <f t="shared" si="5"/>
        <v/>
      </c>
      <c r="K19" s="124"/>
      <c r="L19" s="124"/>
      <c r="M19" s="130"/>
      <c r="N19" s="129" t="str">
        <f>IFERROR(AB10,"")</f>
        <v/>
      </c>
      <c r="O19" s="128" t="str">
        <f>IF(N19&gt;0,IF(T5=1,"ETV",IF(T5=2,"ETV","ETVQ")),"-")</f>
        <v>ETVQ</v>
      </c>
      <c r="P19" s="124"/>
      <c r="T19" s="109" t="b">
        <v>1</v>
      </c>
    </row>
    <row r="20" spans="1:20" x14ac:dyDescent="0.25">
      <c r="A20" s="124"/>
      <c r="B20" s="124"/>
      <c r="C20" s="124"/>
      <c r="D20" s="124"/>
      <c r="E20" s="136"/>
      <c r="F20" s="124"/>
      <c r="G20" s="124"/>
      <c r="H20" s="124"/>
      <c r="I20" s="128" t="s">
        <v>128</v>
      </c>
      <c r="J20" s="129" t="str">
        <f t="shared" si="5"/>
        <v/>
      </c>
      <c r="K20" s="124"/>
      <c r="L20" s="124"/>
      <c r="M20" s="130"/>
      <c r="N20" s="129" t="str">
        <f>IFERROR(AB11,"")</f>
        <v/>
      </c>
      <c r="O20" s="128" t="str">
        <f>IF(N20&gt;0,IF(T5,"ARR"),"-")</f>
        <v>ARR</v>
      </c>
      <c r="P20" s="124"/>
      <c r="T20" s="109" t="b">
        <v>1</v>
      </c>
    </row>
    <row r="21" spans="1:20" x14ac:dyDescent="0.25">
      <c r="A21" s="124"/>
      <c r="B21" s="124"/>
      <c r="C21" s="124"/>
      <c r="D21" s="124"/>
      <c r="E21" s="131"/>
      <c r="F21" s="124"/>
      <c r="G21" s="124"/>
      <c r="H21" s="124"/>
      <c r="I21" s="128" t="s">
        <v>658</v>
      </c>
      <c r="J21" s="129" t="str">
        <f t="shared" si="5"/>
        <v/>
      </c>
      <c r="K21" s="124"/>
      <c r="L21" s="124"/>
      <c r="M21" s="124"/>
      <c r="N21" s="124"/>
      <c r="O21" s="124"/>
      <c r="P21" s="124"/>
    </row>
    <row r="22" spans="1:20" x14ac:dyDescent="0.25">
      <c r="A22" s="124"/>
      <c r="B22" s="124"/>
      <c r="C22" s="124"/>
      <c r="D22" s="124"/>
      <c r="E22" s="136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</row>
    <row r="23" spans="1:20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</row>
    <row r="24" spans="1:20" x14ac:dyDescent="0.25">
      <c r="A24" s="124"/>
      <c r="B24" s="124"/>
      <c r="C24" s="124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</row>
    <row r="25" spans="1:20" x14ac:dyDescent="0.25">
      <c r="A25" s="124"/>
      <c r="B25" s="124"/>
      <c r="C25" s="124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</row>
    <row r="26" spans="1:20" x14ac:dyDescent="0.25">
      <c r="A26" s="124"/>
      <c r="B26" s="124"/>
      <c r="C26" s="124"/>
      <c r="D26" s="124"/>
      <c r="E26" s="124"/>
      <c r="F26" s="124"/>
      <c r="G26" s="131"/>
      <c r="H26" s="124"/>
      <c r="I26" s="124"/>
      <c r="J26" s="124"/>
      <c r="K26" s="124"/>
      <c r="L26" s="124"/>
      <c r="M26" s="124"/>
      <c r="N26" s="124"/>
      <c r="O26" s="124"/>
      <c r="P26" s="124"/>
    </row>
    <row r="27" spans="1:20" x14ac:dyDescent="0.25">
      <c r="A27" s="124"/>
      <c r="B27" s="124"/>
      <c r="C27" s="124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</row>
    <row r="28" spans="1:20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</row>
    <row r="29" spans="1:20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</row>
    <row r="30" spans="1:20" x14ac:dyDescent="0.25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</row>
  </sheetData>
  <mergeCells count="3">
    <mergeCell ref="I14:J14"/>
    <mergeCell ref="N15:O15"/>
    <mergeCell ref="D8:F8"/>
  </mergeCells>
  <conditionalFormatting sqref="E10">
    <cfRule type="expression" dxfId="6" priority="8" stopIfTrue="1">
      <formula>$T$14</formula>
    </cfRule>
  </conditionalFormatting>
  <conditionalFormatting sqref="E12">
    <cfRule type="expression" dxfId="5" priority="7" stopIfTrue="1">
      <formula>$T$15</formula>
    </cfRule>
  </conditionalFormatting>
  <conditionalFormatting sqref="E14">
    <cfRule type="expression" dxfId="4" priority="6" stopIfTrue="1">
      <formula>$T$16</formula>
    </cfRule>
  </conditionalFormatting>
  <conditionalFormatting sqref="E16">
    <cfRule type="expression" dxfId="3" priority="5" stopIfTrue="1">
      <formula>$T$17</formula>
    </cfRule>
  </conditionalFormatting>
  <conditionalFormatting sqref="E18">
    <cfRule type="expression" dxfId="2" priority="4" stopIfTrue="1">
      <formula>$T$18</formula>
    </cfRule>
  </conditionalFormatting>
  <conditionalFormatting sqref="E20">
    <cfRule type="expression" dxfId="1" priority="3" stopIfTrue="1">
      <formula>$T$19</formula>
    </cfRule>
  </conditionalFormatting>
  <conditionalFormatting sqref="E22">
    <cfRule type="expression" dxfId="0" priority="1" stopIfTrue="1">
      <formula>$T$19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57150</xdr:colOff>
                    <xdr:row>7</xdr:row>
                    <xdr:rowOff>180975</xdr:rowOff>
                  </from>
                  <to>
                    <xdr:col>3</xdr:col>
                    <xdr:colOff>9525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Group Box 2">
              <controlPr defaultSize="0" autoFill="0" autoPict="0">
                <anchor moveWithCells="1">
                  <from>
                    <xdr:col>10</xdr:col>
                    <xdr:colOff>28575</xdr:colOff>
                    <xdr:row>5</xdr:row>
                    <xdr:rowOff>19050</xdr:rowOff>
                  </from>
                  <to>
                    <xdr:col>12</xdr:col>
                    <xdr:colOff>733425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Group Box 3">
              <controlPr defaultSize="0" autoFill="0" autoPict="0">
                <anchor moveWithCells="1">
                  <from>
                    <xdr:col>7</xdr:col>
                    <xdr:colOff>57150</xdr:colOff>
                    <xdr:row>8</xdr:row>
                    <xdr:rowOff>9525</xdr:rowOff>
                  </from>
                  <to>
                    <xdr:col>14</xdr:col>
                    <xdr:colOff>9525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10</xdr:col>
                    <xdr:colOff>352425</xdr:colOff>
                    <xdr:row>5</xdr:row>
                    <xdr:rowOff>104775</xdr:rowOff>
                  </from>
                  <to>
                    <xdr:col>11</xdr:col>
                    <xdr:colOff>228600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Option Button 5">
              <controlPr defaultSize="0" autoFill="0" autoLine="0" autoPict="0">
                <anchor moveWithCells="1">
                  <from>
                    <xdr:col>11</xdr:col>
                    <xdr:colOff>647700</xdr:colOff>
                    <xdr:row>5</xdr:row>
                    <xdr:rowOff>114300</xdr:rowOff>
                  </from>
                  <to>
                    <xdr:col>12</xdr:col>
                    <xdr:colOff>581025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Option Button 11">
              <controlPr defaultSize="0" autoFill="0" autoLine="0" autoPict="0">
                <anchor moveWithCells="1">
                  <from>
                    <xdr:col>7</xdr:col>
                    <xdr:colOff>200025</xdr:colOff>
                    <xdr:row>9</xdr:row>
                    <xdr:rowOff>0</xdr:rowOff>
                  </from>
                  <to>
                    <xdr:col>8</xdr:col>
                    <xdr:colOff>171450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Option Button 12">
              <controlPr defaultSize="0" autoFill="0" autoLine="0" autoPict="0">
                <anchor moveWithCells="1">
                  <from>
                    <xdr:col>8</xdr:col>
                    <xdr:colOff>533400</xdr:colOff>
                    <xdr:row>9</xdr:row>
                    <xdr:rowOff>19050</xdr:rowOff>
                  </from>
                  <to>
                    <xdr:col>9</xdr:col>
                    <xdr:colOff>571500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Option Button 13">
              <controlPr defaultSize="0" autoFill="0" autoLine="0" autoPict="0">
                <anchor moveWithCells="1">
                  <from>
                    <xdr:col>10</xdr:col>
                    <xdr:colOff>228600</xdr:colOff>
                    <xdr:row>9</xdr:row>
                    <xdr:rowOff>0</xdr:rowOff>
                  </from>
                  <to>
                    <xdr:col>11</xdr:col>
                    <xdr:colOff>123825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Option Button 14">
              <controlPr defaultSize="0" autoFill="0" autoLine="0" autoPict="0">
                <anchor moveWithCells="1">
                  <from>
                    <xdr:col>11</xdr:col>
                    <xdr:colOff>581025</xdr:colOff>
                    <xdr:row>9</xdr:row>
                    <xdr:rowOff>19050</xdr:rowOff>
                  </from>
                  <to>
                    <xdr:col>12</xdr:col>
                    <xdr:colOff>600075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Option Button 15">
              <controlPr defaultSize="0" autoFill="0" autoLine="0" autoPict="0">
                <anchor moveWithCells="1">
                  <from>
                    <xdr:col>13</xdr:col>
                    <xdr:colOff>19050</xdr:colOff>
                    <xdr:row>9</xdr:row>
                    <xdr:rowOff>28575</xdr:rowOff>
                  </from>
                  <to>
                    <xdr:col>13</xdr:col>
                    <xdr:colOff>714375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Check Box 16">
              <controlPr defaultSize="0" autoFill="0" autoLine="0" autoPict="0">
                <anchor moveWithCells="1">
                  <from>
                    <xdr:col>1</xdr:col>
                    <xdr:colOff>104775</xdr:colOff>
                    <xdr:row>9</xdr:row>
                    <xdr:rowOff>9525</xdr:rowOff>
                  </from>
                  <to>
                    <xdr:col>2</xdr:col>
                    <xdr:colOff>676275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Check Box 17">
              <controlPr defaultSize="0" autoFill="0" autoLine="0" autoPict="0">
                <anchor moveWithCells="1">
                  <from>
                    <xdr:col>1</xdr:col>
                    <xdr:colOff>104775</xdr:colOff>
                    <xdr:row>11</xdr:row>
                    <xdr:rowOff>9525</xdr:rowOff>
                  </from>
                  <to>
                    <xdr:col>2</xdr:col>
                    <xdr:colOff>495300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Check Box 18">
              <controlPr defaultSize="0" autoFill="0" autoLine="0" autoPict="0">
                <anchor moveWithCells="1">
                  <from>
                    <xdr:col>1</xdr:col>
                    <xdr:colOff>104775</xdr:colOff>
                    <xdr:row>13</xdr:row>
                    <xdr:rowOff>19050</xdr:rowOff>
                  </from>
                  <to>
                    <xdr:col>2</xdr:col>
                    <xdr:colOff>514350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7" name="Check Box 19">
              <controlPr defaultSize="0" autoFill="0" autoLine="0" autoPict="0">
                <anchor moveWithCells="1">
                  <from>
                    <xdr:col>1</xdr:col>
                    <xdr:colOff>104775</xdr:colOff>
                    <xdr:row>15</xdr:row>
                    <xdr:rowOff>0</xdr:rowOff>
                  </from>
                  <to>
                    <xdr:col>2</xdr:col>
                    <xdr:colOff>457200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8" name="Check Box 20">
              <controlPr defaultSize="0" autoFill="0" autoLine="0" autoPict="0">
                <anchor moveWithCells="1">
                  <from>
                    <xdr:col>1</xdr:col>
                    <xdr:colOff>104775</xdr:colOff>
                    <xdr:row>17</xdr:row>
                    <xdr:rowOff>28575</xdr:rowOff>
                  </from>
                  <to>
                    <xdr:col>2</xdr:col>
                    <xdr:colOff>447675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9" name="Check Box 21">
              <controlPr defaultSize="0" autoFill="0" autoLine="0" autoPict="0">
                <anchor moveWithCells="1">
                  <from>
                    <xdr:col>1</xdr:col>
                    <xdr:colOff>104775</xdr:colOff>
                    <xdr:row>19</xdr:row>
                    <xdr:rowOff>0</xdr:rowOff>
                  </from>
                  <to>
                    <xdr:col>2</xdr:col>
                    <xdr:colOff>304800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0" name="Check Box 22">
              <controlPr defaultSize="0" autoFill="0" autoLine="0" autoPict="0">
                <anchor moveWithCells="1">
                  <from>
                    <xdr:col>1</xdr:col>
                    <xdr:colOff>104775</xdr:colOff>
                    <xdr:row>21</xdr:row>
                    <xdr:rowOff>38100</xdr:rowOff>
                  </from>
                  <to>
                    <xdr:col>2</xdr:col>
                    <xdr:colOff>333375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1" name="Button 24">
              <controlPr defaultSize="0" print="0" autoFill="0" autoPict="0" macro="[0]!BORRPROP">
                <anchor moveWithCells="1" sizeWithCells="1">
                  <from>
                    <xdr:col>13</xdr:col>
                    <xdr:colOff>733425</xdr:colOff>
                    <xdr:row>4</xdr:row>
                    <xdr:rowOff>209550</xdr:rowOff>
                  </from>
                  <to>
                    <xdr:col>15</xdr:col>
                    <xdr:colOff>352425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0000"/>
    <pageSetUpPr fitToPage="1"/>
  </sheetPr>
  <dimension ref="A1:AV128"/>
  <sheetViews>
    <sheetView showGridLines="0" zoomScale="69" zoomScaleNormal="69" zoomScaleSheetLayoutView="70" workbookViewId="0">
      <selection activeCell="G17" sqref="G17"/>
    </sheetView>
  </sheetViews>
  <sheetFormatPr baseColWidth="10" defaultColWidth="0" defaultRowHeight="21" zeroHeight="1" x14ac:dyDescent="0.35"/>
  <cols>
    <col min="1" max="1" width="6.140625" style="3" customWidth="1"/>
    <col min="2" max="2" width="6.85546875" style="3" customWidth="1"/>
    <col min="3" max="3" width="11.140625" style="4" customWidth="1"/>
    <col min="4" max="4" width="1.42578125" style="3" customWidth="1"/>
    <col min="5" max="5" width="15.85546875" style="3" customWidth="1"/>
    <col min="6" max="6" width="11.85546875" style="3" customWidth="1"/>
    <col min="7" max="7" width="57.28515625" style="3" customWidth="1"/>
    <col min="8" max="8" width="6.5703125" style="3" bestFit="1" customWidth="1"/>
    <col min="9" max="9" width="8.42578125" style="3" bestFit="1" customWidth="1"/>
    <col min="10" max="10" width="16.7109375" style="3" customWidth="1"/>
    <col min="11" max="11" width="49.85546875" style="3" bestFit="1" customWidth="1"/>
    <col min="12" max="12" width="50.42578125" style="3" bestFit="1" customWidth="1"/>
    <col min="13" max="13" width="6.5703125" style="3" customWidth="1"/>
    <col min="14" max="14" width="8" style="3" bestFit="1" customWidth="1"/>
    <col min="15" max="15" width="7.5703125" style="3" customWidth="1"/>
    <col min="16" max="16" width="13" style="3" customWidth="1"/>
    <col min="17" max="17" width="17.28515625" style="3" customWidth="1"/>
    <col min="18" max="18" width="74" style="3" bestFit="1" customWidth="1"/>
    <col min="19" max="19" width="14.140625" style="3" bestFit="1" customWidth="1"/>
    <col min="20" max="20" width="12.5703125" style="3" customWidth="1"/>
    <col min="21" max="21" width="8.85546875" style="3" customWidth="1"/>
    <col min="22" max="22" width="20.42578125" style="3" bestFit="1" customWidth="1"/>
    <col min="23" max="23" width="9.28515625" style="3" customWidth="1"/>
    <col min="24" max="25" width="7.140625" style="3" customWidth="1"/>
    <col min="26" max="26" width="11.28515625" style="3" customWidth="1"/>
    <col min="27" max="27" width="61.5703125" style="3" bestFit="1" customWidth="1"/>
    <col min="28" max="28" width="13.42578125" style="3" bestFit="1" customWidth="1"/>
    <col min="29" max="29" width="11" style="3" customWidth="1"/>
    <col min="30" max="30" width="58.140625" style="3" bestFit="1" customWidth="1"/>
    <col min="31" max="31" width="13.42578125" style="3" bestFit="1" customWidth="1"/>
    <col min="32" max="37" width="11" style="3" customWidth="1"/>
    <col min="38" max="38" width="11.42578125" style="3" customWidth="1"/>
    <col min="39" max="16384" width="0" style="3" hidden="1"/>
  </cols>
  <sheetData>
    <row r="1" spans="1:37" x14ac:dyDescent="0.35">
      <c r="A1" s="139"/>
      <c r="B1" s="139"/>
      <c r="C1" s="140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139"/>
      <c r="AC1" s="139"/>
      <c r="AD1" s="139"/>
      <c r="AE1" s="139"/>
      <c r="AF1" s="139"/>
      <c r="AG1" s="139"/>
    </row>
    <row r="2" spans="1:37" x14ac:dyDescent="0.35">
      <c r="A2" s="139"/>
      <c r="B2" s="139"/>
      <c r="C2" s="140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B2" s="139"/>
      <c r="AC2" s="139"/>
      <c r="AD2" s="139"/>
      <c r="AE2" s="139"/>
      <c r="AF2" s="139"/>
      <c r="AG2" s="139"/>
    </row>
    <row r="3" spans="1:37" x14ac:dyDescent="0.35">
      <c r="A3" s="139"/>
      <c r="B3" s="139"/>
      <c r="C3" s="140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</row>
    <row r="4" spans="1:37" x14ac:dyDescent="0.35">
      <c r="A4" s="139"/>
      <c r="B4" s="139"/>
      <c r="C4" s="140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39"/>
      <c r="AB4" s="139"/>
      <c r="AC4" s="139"/>
      <c r="AD4" s="139"/>
      <c r="AE4" s="139"/>
      <c r="AF4" s="139"/>
      <c r="AG4" s="139"/>
    </row>
    <row r="5" spans="1:37" ht="21.75" thickBot="1" x14ac:dyDescent="0.4"/>
    <row r="6" spans="1:37" ht="22.5" thickTop="1" thickBot="1" x14ac:dyDescent="0.4">
      <c r="B6" s="5"/>
      <c r="C6" s="6"/>
      <c r="D6" s="7"/>
      <c r="E6" s="7"/>
      <c r="F6" s="7"/>
      <c r="G6" s="7"/>
      <c r="H6" s="7"/>
      <c r="I6" s="7"/>
      <c r="J6" s="7"/>
      <c r="K6" s="7"/>
      <c r="L6" s="7"/>
      <c r="M6" s="7"/>
      <c r="N6" s="8"/>
      <c r="O6" s="9"/>
      <c r="P6" s="5"/>
      <c r="Q6" s="7"/>
      <c r="R6" s="7"/>
      <c r="S6" s="7"/>
      <c r="T6" s="7"/>
      <c r="U6" s="7"/>
      <c r="V6" s="7"/>
      <c r="W6" s="7"/>
      <c r="X6" s="8"/>
      <c r="Y6" s="9"/>
      <c r="Z6" s="5"/>
      <c r="AA6" s="7" t="s">
        <v>540</v>
      </c>
      <c r="AB6" s="7"/>
      <c r="AC6" s="7"/>
      <c r="AD6" s="7"/>
      <c r="AE6" s="7"/>
      <c r="AF6" s="8"/>
    </row>
    <row r="7" spans="1:37" ht="22.5" thickTop="1" thickBot="1" x14ac:dyDescent="0.4">
      <c r="B7" s="10"/>
      <c r="C7" s="11"/>
      <c r="D7" s="9"/>
      <c r="E7" s="181" t="s">
        <v>94</v>
      </c>
      <c r="F7" s="182"/>
      <c r="G7" s="182"/>
      <c r="H7" s="182"/>
      <c r="I7" s="182"/>
      <c r="J7" s="182"/>
      <c r="K7" s="182"/>
      <c r="L7" s="183"/>
      <c r="M7" s="9"/>
      <c r="N7" s="12"/>
      <c r="O7" s="9"/>
      <c r="P7" s="10"/>
      <c r="R7" s="181" t="s">
        <v>93</v>
      </c>
      <c r="S7" s="182"/>
      <c r="T7" s="182"/>
      <c r="U7" s="182"/>
      <c r="X7" s="12"/>
      <c r="Y7" s="9"/>
      <c r="Z7" s="10"/>
      <c r="AA7" s="181" t="s">
        <v>487</v>
      </c>
      <c r="AB7" s="182"/>
      <c r="AC7" s="9"/>
      <c r="AD7" s="181" t="s">
        <v>488</v>
      </c>
      <c r="AE7" s="182"/>
      <c r="AF7" s="12"/>
    </row>
    <row r="8" spans="1:37" ht="22.5" thickTop="1" thickBot="1" x14ac:dyDescent="0.4">
      <c r="B8" s="10"/>
      <c r="C8" s="11"/>
      <c r="D8" s="9"/>
      <c r="E8" s="13"/>
      <c r="F8" s="14"/>
      <c r="G8" s="14"/>
      <c r="H8" s="184"/>
      <c r="I8" s="184"/>
      <c r="J8" s="184"/>
      <c r="K8" s="184"/>
      <c r="L8" s="184"/>
      <c r="M8" s="9"/>
      <c r="N8" s="12"/>
      <c r="O8" s="9"/>
      <c r="P8" s="10"/>
      <c r="Q8" s="9"/>
      <c r="R8" s="9"/>
      <c r="S8" s="9"/>
      <c r="T8" s="9"/>
      <c r="U8" s="9"/>
      <c r="V8" s="9"/>
      <c r="X8" s="12"/>
      <c r="Y8" s="9"/>
      <c r="Z8" s="10"/>
      <c r="AA8" s="79" t="s">
        <v>486</v>
      </c>
      <c r="AB8" s="79" t="s">
        <v>485</v>
      </c>
      <c r="AC8" s="9"/>
      <c r="AD8" s="79" t="s">
        <v>486</v>
      </c>
      <c r="AE8" s="79" t="s">
        <v>485</v>
      </c>
      <c r="AF8" s="12"/>
      <c r="AG8" s="9"/>
      <c r="AH8" s="9"/>
      <c r="AI8" s="9"/>
      <c r="AJ8" s="9"/>
      <c r="AK8" s="9"/>
    </row>
    <row r="9" spans="1:37" ht="19.5" customHeight="1" thickTop="1" thickBot="1" x14ac:dyDescent="0.4">
      <c r="B9" s="10"/>
      <c r="C9" s="11"/>
      <c r="D9" s="9"/>
      <c r="E9" s="178" t="s">
        <v>95</v>
      </c>
      <c r="F9" s="179"/>
      <c r="G9" s="179"/>
      <c r="H9" s="9"/>
      <c r="I9" s="9"/>
      <c r="J9" s="178" t="s">
        <v>403</v>
      </c>
      <c r="K9" s="179"/>
      <c r="L9" s="180"/>
      <c r="M9" s="9"/>
      <c r="N9" s="12"/>
      <c r="O9" s="9"/>
      <c r="P9" s="10"/>
      <c r="Q9" s="9"/>
      <c r="R9" s="79" t="s">
        <v>194</v>
      </c>
      <c r="S9" s="9"/>
      <c r="T9" s="9"/>
      <c r="V9" s="80" t="s">
        <v>208</v>
      </c>
      <c r="X9" s="12"/>
      <c r="Y9" s="9"/>
      <c r="Z9" s="10"/>
      <c r="AA9" s="91" t="s">
        <v>484</v>
      </c>
      <c r="AB9" s="93" t="s">
        <v>483</v>
      </c>
      <c r="AC9" s="9"/>
      <c r="AD9" s="91" t="s">
        <v>489</v>
      </c>
      <c r="AE9" s="93" t="s">
        <v>490</v>
      </c>
      <c r="AF9" s="12"/>
      <c r="AG9" s="9"/>
      <c r="AH9" s="9"/>
      <c r="AI9" s="9"/>
      <c r="AJ9" s="9"/>
      <c r="AK9" s="9"/>
    </row>
    <row r="10" spans="1:37" ht="22.5" thickTop="1" thickBot="1" x14ac:dyDescent="0.4">
      <c r="B10" s="10"/>
      <c r="C10" s="11"/>
      <c r="D10" s="9"/>
      <c r="E10" s="9"/>
      <c r="F10" s="9"/>
      <c r="G10" s="9"/>
      <c r="H10" s="9"/>
      <c r="I10" s="9"/>
      <c r="J10" s="9"/>
      <c r="K10" s="9"/>
      <c r="L10" s="9"/>
      <c r="M10" s="9"/>
      <c r="N10" s="12"/>
      <c r="O10" s="9"/>
      <c r="P10" s="10"/>
      <c r="Q10" s="9"/>
      <c r="R10" s="9"/>
      <c r="S10" s="9"/>
      <c r="T10" s="9"/>
      <c r="V10" s="9"/>
      <c r="X10" s="12"/>
      <c r="Y10" s="9"/>
      <c r="Z10" s="10"/>
      <c r="AA10" s="92" t="s">
        <v>482</v>
      </c>
      <c r="AB10" s="94" t="s">
        <v>481</v>
      </c>
      <c r="AC10" s="9"/>
      <c r="AD10" s="91" t="s">
        <v>491</v>
      </c>
      <c r="AE10" s="93" t="s">
        <v>492</v>
      </c>
      <c r="AF10" s="12"/>
      <c r="AG10" s="9"/>
      <c r="AH10" s="9"/>
      <c r="AI10" s="9"/>
      <c r="AJ10" s="9"/>
      <c r="AK10" s="9"/>
    </row>
    <row r="11" spans="1:37" ht="40.5" customHeight="1" thickBot="1" x14ac:dyDescent="0.4">
      <c r="B11" s="10"/>
      <c r="C11" s="72" t="s">
        <v>214</v>
      </c>
      <c r="D11" s="9"/>
      <c r="E11" s="72" t="s">
        <v>197</v>
      </c>
      <c r="F11" s="73" t="s">
        <v>196</v>
      </c>
      <c r="G11" s="73" t="s">
        <v>281</v>
      </c>
      <c r="H11" s="9"/>
      <c r="I11" s="9"/>
      <c r="J11" s="73" t="s">
        <v>197</v>
      </c>
      <c r="K11" s="73" t="s">
        <v>196</v>
      </c>
      <c r="L11" s="73" t="s">
        <v>281</v>
      </c>
      <c r="M11" s="9"/>
      <c r="N11" s="12"/>
      <c r="O11" s="9"/>
      <c r="P11" s="10"/>
      <c r="Q11" s="9"/>
      <c r="R11" s="49" t="s">
        <v>102</v>
      </c>
      <c r="S11" s="50" t="s">
        <v>196</v>
      </c>
      <c r="T11" s="51" t="s">
        <v>377</v>
      </c>
      <c r="V11" s="9"/>
      <c r="X11" s="12"/>
      <c r="Y11" s="9"/>
      <c r="Z11" s="10"/>
      <c r="AA11" s="92" t="s">
        <v>480</v>
      </c>
      <c r="AB11" s="94" t="s">
        <v>479</v>
      </c>
      <c r="AC11" s="9"/>
      <c r="AD11" s="91" t="s">
        <v>493</v>
      </c>
      <c r="AE11" s="93" t="s">
        <v>494</v>
      </c>
      <c r="AF11" s="12"/>
      <c r="AG11" s="9"/>
      <c r="AH11" s="9"/>
      <c r="AI11" s="9"/>
      <c r="AJ11" s="9"/>
      <c r="AK11" s="9"/>
    </row>
    <row r="12" spans="1:37" ht="27.75" customHeight="1" thickBot="1" x14ac:dyDescent="0.4">
      <c r="B12" s="10"/>
      <c r="C12" s="171" t="s">
        <v>219</v>
      </c>
      <c r="D12" s="9"/>
      <c r="E12" s="175" t="s">
        <v>18</v>
      </c>
      <c r="F12" s="15" t="s">
        <v>0</v>
      </c>
      <c r="G12" s="37" t="s">
        <v>236</v>
      </c>
      <c r="H12" s="44">
        <v>0.2</v>
      </c>
      <c r="I12" s="9"/>
      <c r="J12" s="15" t="s">
        <v>18</v>
      </c>
      <c r="K12" s="15" t="s">
        <v>56</v>
      </c>
      <c r="L12" s="1" t="s">
        <v>282</v>
      </c>
      <c r="M12" s="44">
        <v>0.2</v>
      </c>
      <c r="N12" s="12"/>
      <c r="O12" s="9"/>
      <c r="P12" s="10"/>
      <c r="Q12" s="188" t="s">
        <v>103</v>
      </c>
      <c r="R12" s="16" t="s">
        <v>333</v>
      </c>
      <c r="S12" s="39" t="s">
        <v>117</v>
      </c>
      <c r="T12" s="9"/>
      <c r="V12" s="18" t="s">
        <v>209</v>
      </c>
      <c r="W12" s="44"/>
      <c r="X12" s="12"/>
      <c r="Y12" s="9"/>
      <c r="Z12" s="10"/>
      <c r="AA12" s="92" t="s">
        <v>478</v>
      </c>
      <c r="AB12" s="94" t="s">
        <v>477</v>
      </c>
      <c r="AC12" s="9"/>
      <c r="AD12" s="91" t="s">
        <v>495</v>
      </c>
      <c r="AE12" s="93" t="s">
        <v>496</v>
      </c>
      <c r="AF12" s="12"/>
      <c r="AG12" s="9"/>
      <c r="AH12" s="9"/>
      <c r="AI12" s="9"/>
      <c r="AJ12" s="9"/>
      <c r="AK12" s="9"/>
    </row>
    <row r="13" spans="1:37" ht="27.75" customHeight="1" thickBot="1" x14ac:dyDescent="0.4">
      <c r="B13" s="10"/>
      <c r="C13" s="172"/>
      <c r="D13" s="9"/>
      <c r="E13" s="176"/>
      <c r="F13" s="77" t="s">
        <v>73</v>
      </c>
      <c r="G13" s="78" t="s">
        <v>237</v>
      </c>
      <c r="H13" s="44">
        <v>0.2</v>
      </c>
      <c r="I13" s="9"/>
      <c r="J13" s="174" t="s">
        <v>19</v>
      </c>
      <c r="K13" s="19" t="s">
        <v>57</v>
      </c>
      <c r="L13" s="1" t="s">
        <v>283</v>
      </c>
      <c r="M13" s="44">
        <v>0.16</v>
      </c>
      <c r="N13" s="12"/>
      <c r="O13" s="9"/>
      <c r="P13" s="10"/>
      <c r="Q13" s="188"/>
      <c r="R13" s="16" t="s">
        <v>334</v>
      </c>
      <c r="S13" s="39" t="s">
        <v>118</v>
      </c>
      <c r="T13" s="41" t="s">
        <v>370</v>
      </c>
      <c r="V13" s="18" t="s">
        <v>209</v>
      </c>
      <c r="W13" s="44"/>
      <c r="X13" s="12"/>
      <c r="Y13" s="9"/>
      <c r="Z13" s="10"/>
      <c r="AA13" s="92" t="s">
        <v>476</v>
      </c>
      <c r="AB13" s="94" t="s">
        <v>510</v>
      </c>
      <c r="AC13" s="9"/>
      <c r="AD13" s="91" t="s">
        <v>497</v>
      </c>
      <c r="AE13" s="93" t="s">
        <v>498</v>
      </c>
      <c r="AF13" s="12"/>
      <c r="AG13" s="9"/>
      <c r="AH13" s="9"/>
      <c r="AI13" s="9"/>
      <c r="AJ13" s="9"/>
      <c r="AK13" s="9"/>
    </row>
    <row r="14" spans="1:37" ht="27.75" customHeight="1" thickBot="1" x14ac:dyDescent="0.4">
      <c r="B14" s="10"/>
      <c r="C14" s="173" t="s">
        <v>220</v>
      </c>
      <c r="D14" s="20"/>
      <c r="E14" s="174" t="s">
        <v>19</v>
      </c>
      <c r="F14" s="77" t="s">
        <v>1</v>
      </c>
      <c r="G14" s="78" t="s">
        <v>238</v>
      </c>
      <c r="H14" s="44">
        <v>0.16</v>
      </c>
      <c r="I14" s="9"/>
      <c r="J14" s="175"/>
      <c r="K14" s="19" t="s">
        <v>58</v>
      </c>
      <c r="L14" s="1" t="s">
        <v>284</v>
      </c>
      <c r="M14" s="44">
        <v>0.16</v>
      </c>
      <c r="N14" s="12"/>
      <c r="O14" s="9"/>
      <c r="P14" s="10"/>
      <c r="Q14" s="188"/>
      <c r="R14" s="16" t="s">
        <v>335</v>
      </c>
      <c r="S14" s="39" t="s">
        <v>119</v>
      </c>
      <c r="T14" s="9"/>
      <c r="V14" s="18" t="s">
        <v>209</v>
      </c>
      <c r="W14" s="44"/>
      <c r="X14" s="12"/>
      <c r="Y14" s="9"/>
      <c r="Z14" s="10"/>
      <c r="AA14" s="92" t="s">
        <v>475</v>
      </c>
      <c r="AB14" s="94" t="s">
        <v>474</v>
      </c>
      <c r="AC14" s="9"/>
      <c r="AD14" s="91" t="s">
        <v>499</v>
      </c>
      <c r="AE14" s="93" t="s">
        <v>500</v>
      </c>
      <c r="AF14" s="12"/>
      <c r="AG14" s="9"/>
      <c r="AH14" s="9"/>
      <c r="AI14" s="9"/>
      <c r="AJ14" s="9"/>
      <c r="AK14" s="9"/>
    </row>
    <row r="15" spans="1:37" ht="29.25" customHeight="1" thickBot="1" x14ac:dyDescent="0.4">
      <c r="B15" s="10"/>
      <c r="C15" s="171"/>
      <c r="D15" s="20"/>
      <c r="E15" s="175"/>
      <c r="F15" s="77" t="s">
        <v>2</v>
      </c>
      <c r="G15" s="78" t="s">
        <v>239</v>
      </c>
      <c r="H15" s="44">
        <v>0.16</v>
      </c>
      <c r="I15" s="9"/>
      <c r="J15" s="176"/>
      <c r="K15" s="19" t="s">
        <v>59</v>
      </c>
      <c r="L15" s="1" t="s">
        <v>285</v>
      </c>
      <c r="M15" s="44">
        <v>0.16</v>
      </c>
      <c r="N15" s="12"/>
      <c r="O15" s="9"/>
      <c r="P15" s="10"/>
      <c r="Q15" s="188" t="s">
        <v>104</v>
      </c>
      <c r="R15" s="16" t="s">
        <v>336</v>
      </c>
      <c r="S15" s="39" t="s">
        <v>120</v>
      </c>
      <c r="T15" s="9"/>
      <c r="V15" s="18" t="s">
        <v>209</v>
      </c>
      <c r="W15" s="44"/>
      <c r="X15" s="12"/>
      <c r="Y15" s="9"/>
      <c r="Z15" s="10"/>
      <c r="AA15" s="92" t="s">
        <v>473</v>
      </c>
      <c r="AB15" s="95" t="s">
        <v>472</v>
      </c>
      <c r="AC15" s="9"/>
      <c r="AD15" s="91" t="s">
        <v>501</v>
      </c>
      <c r="AE15" s="93" t="s">
        <v>502</v>
      </c>
      <c r="AF15" s="12"/>
      <c r="AG15" s="9"/>
      <c r="AH15" s="9"/>
      <c r="AI15" s="9"/>
      <c r="AJ15" s="9"/>
      <c r="AK15" s="9"/>
    </row>
    <row r="16" spans="1:37" ht="29.25" customHeight="1" thickBot="1" x14ac:dyDescent="0.4">
      <c r="B16" s="10"/>
      <c r="C16" s="171"/>
      <c r="D16" s="20"/>
      <c r="E16" s="175"/>
      <c r="F16" s="77" t="s">
        <v>3</v>
      </c>
      <c r="G16" s="78" t="s">
        <v>240</v>
      </c>
      <c r="H16" s="44">
        <v>0.16</v>
      </c>
      <c r="I16" s="9"/>
      <c r="J16" s="174" t="s">
        <v>20</v>
      </c>
      <c r="K16" s="19" t="s">
        <v>60</v>
      </c>
      <c r="L16" s="1" t="s">
        <v>286</v>
      </c>
      <c r="M16" s="44">
        <v>0.16</v>
      </c>
      <c r="N16" s="12"/>
      <c r="O16" s="9"/>
      <c r="P16" s="10"/>
      <c r="Q16" s="188"/>
      <c r="R16" s="16" t="s">
        <v>337</v>
      </c>
      <c r="S16" s="39" t="s">
        <v>121</v>
      </c>
      <c r="T16" s="41" t="s">
        <v>371</v>
      </c>
      <c r="V16" s="18" t="s">
        <v>209</v>
      </c>
      <c r="W16" s="44"/>
      <c r="X16" s="12"/>
      <c r="Y16" s="9"/>
      <c r="Z16" s="10"/>
      <c r="AA16" s="92" t="s">
        <v>471</v>
      </c>
      <c r="AB16" s="94" t="s">
        <v>470</v>
      </c>
      <c r="AC16" s="9"/>
      <c r="AD16" s="91" t="s">
        <v>503</v>
      </c>
      <c r="AE16" s="93" t="s">
        <v>504</v>
      </c>
      <c r="AF16" s="12" t="s">
        <v>541</v>
      </c>
      <c r="AG16" s="9"/>
      <c r="AH16" s="9"/>
      <c r="AI16" s="9"/>
      <c r="AJ16" s="9"/>
      <c r="AK16" s="9"/>
    </row>
    <row r="17" spans="2:37" ht="29.25" customHeight="1" thickBot="1" x14ac:dyDescent="0.4">
      <c r="B17" s="10"/>
      <c r="C17" s="171"/>
      <c r="D17" s="20"/>
      <c r="E17" s="175"/>
      <c r="F17" s="77" t="s">
        <v>4</v>
      </c>
      <c r="G17" s="78" t="s">
        <v>241</v>
      </c>
      <c r="H17" s="44">
        <v>0.16</v>
      </c>
      <c r="I17" s="9"/>
      <c r="J17" s="175"/>
      <c r="K17" s="19" t="s">
        <v>61</v>
      </c>
      <c r="L17" s="1" t="s">
        <v>287</v>
      </c>
      <c r="M17" s="44">
        <v>0.16</v>
      </c>
      <c r="N17" s="12"/>
      <c r="O17" s="9"/>
      <c r="P17" s="10"/>
      <c r="Q17" s="188"/>
      <c r="R17" s="16" t="s">
        <v>338</v>
      </c>
      <c r="S17" s="39" t="s">
        <v>122</v>
      </c>
      <c r="T17" s="9"/>
      <c r="V17" s="18" t="s">
        <v>209</v>
      </c>
      <c r="W17" s="44"/>
      <c r="X17" s="12"/>
      <c r="Y17" s="9"/>
      <c r="Z17" s="10"/>
      <c r="AA17" s="9"/>
      <c r="AB17" s="9"/>
      <c r="AC17" s="9"/>
      <c r="AD17" s="91" t="s">
        <v>505</v>
      </c>
      <c r="AE17" s="93" t="s">
        <v>506</v>
      </c>
      <c r="AF17" s="12"/>
      <c r="AG17" s="9"/>
      <c r="AH17" s="9"/>
      <c r="AI17" s="9"/>
      <c r="AJ17" s="9"/>
      <c r="AK17" s="9"/>
    </row>
    <row r="18" spans="2:37" ht="22.5" thickTop="1" thickBot="1" x14ac:dyDescent="0.4">
      <c r="B18" s="10"/>
      <c r="C18" s="171"/>
      <c r="D18" s="20"/>
      <c r="E18" s="175"/>
      <c r="F18" s="77" t="s">
        <v>5</v>
      </c>
      <c r="G18" s="78" t="s">
        <v>242</v>
      </c>
      <c r="H18" s="44">
        <v>0.16</v>
      </c>
      <c r="I18" s="9"/>
      <c r="J18" s="176"/>
      <c r="K18" s="19" t="s">
        <v>72</v>
      </c>
      <c r="L18" s="1" t="s">
        <v>288</v>
      </c>
      <c r="M18" s="44">
        <v>0.16</v>
      </c>
      <c r="N18" s="12"/>
      <c r="O18" s="9"/>
      <c r="P18" s="10"/>
      <c r="Q18" s="9"/>
      <c r="R18" s="9"/>
      <c r="S18" s="40"/>
      <c r="T18" s="9"/>
      <c r="U18" s="9"/>
      <c r="V18" s="9"/>
      <c r="X18" s="12"/>
      <c r="Y18" s="9"/>
      <c r="Z18" s="10"/>
      <c r="AA18" s="181" t="s">
        <v>523</v>
      </c>
      <c r="AB18" s="182"/>
      <c r="AC18" s="9"/>
      <c r="AD18" s="91" t="s">
        <v>507</v>
      </c>
      <c r="AE18" s="93" t="s">
        <v>508</v>
      </c>
      <c r="AF18" s="12"/>
      <c r="AG18" s="9"/>
      <c r="AH18" s="9"/>
      <c r="AI18" s="9"/>
      <c r="AJ18" s="9"/>
      <c r="AK18" s="9"/>
    </row>
    <row r="19" spans="2:37" ht="22.5" thickTop="1" thickBot="1" x14ac:dyDescent="0.4">
      <c r="B19" s="10"/>
      <c r="C19" s="172"/>
      <c r="D19" s="20"/>
      <c r="E19" s="176"/>
      <c r="F19" s="77" t="s">
        <v>6</v>
      </c>
      <c r="G19" s="78" t="s">
        <v>243</v>
      </c>
      <c r="H19" s="44">
        <v>0.16</v>
      </c>
      <c r="I19" s="9"/>
      <c r="J19" s="19" t="s">
        <v>53</v>
      </c>
      <c r="K19" s="19" t="s">
        <v>62</v>
      </c>
      <c r="L19" s="1" t="s">
        <v>289</v>
      </c>
      <c r="M19" s="44">
        <v>0.16</v>
      </c>
      <c r="N19" s="12"/>
      <c r="O19" s="9"/>
      <c r="P19" s="10"/>
      <c r="Q19" s="9"/>
      <c r="R19" s="9"/>
      <c r="S19" s="40"/>
      <c r="T19" s="9"/>
      <c r="U19" s="9"/>
      <c r="V19" s="9"/>
      <c r="X19" s="12"/>
      <c r="Y19" s="9"/>
      <c r="Z19" s="10"/>
      <c r="AA19" s="79" t="s">
        <v>486</v>
      </c>
      <c r="AB19" s="79" t="s">
        <v>485</v>
      </c>
      <c r="AC19" s="9"/>
      <c r="AD19" s="91" t="s">
        <v>509</v>
      </c>
      <c r="AE19" s="93" t="s">
        <v>510</v>
      </c>
      <c r="AF19" s="12"/>
      <c r="AG19" s="9"/>
      <c r="AH19" s="9"/>
      <c r="AI19" s="9"/>
      <c r="AJ19" s="9"/>
      <c r="AK19" s="9"/>
    </row>
    <row r="20" spans="2:37" ht="33" customHeight="1" thickBot="1" x14ac:dyDescent="0.4">
      <c r="B20" s="10"/>
      <c r="C20" s="173" t="s">
        <v>219</v>
      </c>
      <c r="D20" s="20"/>
      <c r="E20" s="174" t="s">
        <v>20</v>
      </c>
      <c r="F20" s="77" t="s">
        <v>7</v>
      </c>
      <c r="G20" s="78" t="s">
        <v>244</v>
      </c>
      <c r="H20" s="44">
        <v>0.16</v>
      </c>
      <c r="I20" s="9"/>
      <c r="J20" s="19" t="s">
        <v>17</v>
      </c>
      <c r="K20" s="19" t="s">
        <v>63</v>
      </c>
      <c r="L20" s="1" t="s">
        <v>290</v>
      </c>
      <c r="M20" s="44">
        <v>0.16</v>
      </c>
      <c r="N20" s="12"/>
      <c r="O20" s="9"/>
      <c r="P20" s="10"/>
      <c r="Q20" s="9"/>
      <c r="R20" s="49" t="s">
        <v>105</v>
      </c>
      <c r="S20" s="40"/>
      <c r="T20" s="9"/>
      <c r="U20" s="9"/>
      <c r="V20" s="9"/>
      <c r="X20" s="12"/>
      <c r="Y20" s="9"/>
      <c r="Z20" s="10"/>
      <c r="AA20" s="91" t="s">
        <v>524</v>
      </c>
      <c r="AB20" s="93" t="s">
        <v>525</v>
      </c>
      <c r="AC20" s="9"/>
      <c r="AD20" s="91" t="s">
        <v>511</v>
      </c>
      <c r="AE20" s="93" t="s">
        <v>512</v>
      </c>
      <c r="AF20" s="12"/>
      <c r="AG20" s="9"/>
      <c r="AH20" s="9"/>
      <c r="AI20" s="9"/>
      <c r="AJ20" s="9"/>
      <c r="AK20" s="9"/>
    </row>
    <row r="21" spans="2:37" ht="21.75" thickBot="1" x14ac:dyDescent="0.4">
      <c r="B21" s="10"/>
      <c r="C21" s="171"/>
      <c r="D21" s="20"/>
      <c r="E21" s="175"/>
      <c r="F21" s="77" t="s">
        <v>8</v>
      </c>
      <c r="G21" s="78" t="s">
        <v>245</v>
      </c>
      <c r="H21" s="44">
        <v>0.16</v>
      </c>
      <c r="I21" s="9"/>
      <c r="J21" s="19" t="s">
        <v>21</v>
      </c>
      <c r="K21" s="19" t="s">
        <v>64</v>
      </c>
      <c r="L21" s="1" t="s">
        <v>291</v>
      </c>
      <c r="M21" s="44">
        <v>0.16</v>
      </c>
      <c r="N21" s="12"/>
      <c r="O21" s="9"/>
      <c r="P21" s="10"/>
      <c r="Q21" s="188" t="s">
        <v>106</v>
      </c>
      <c r="R21" s="16" t="s">
        <v>322</v>
      </c>
      <c r="S21" s="39" t="s">
        <v>108</v>
      </c>
      <c r="V21" s="18" t="s">
        <v>209</v>
      </c>
      <c r="W21" s="44"/>
      <c r="X21" s="12"/>
      <c r="Y21" s="9"/>
      <c r="Z21" s="10"/>
      <c r="AA21" s="91" t="s">
        <v>526</v>
      </c>
      <c r="AB21" s="93" t="s">
        <v>527</v>
      </c>
      <c r="AC21" s="9"/>
      <c r="AD21" s="91" t="s">
        <v>513</v>
      </c>
      <c r="AE21" s="93" t="s">
        <v>514</v>
      </c>
      <c r="AF21" s="12"/>
      <c r="AG21" s="9"/>
      <c r="AH21" s="9"/>
      <c r="AI21" s="9"/>
      <c r="AJ21" s="9"/>
      <c r="AK21" s="9"/>
    </row>
    <row r="22" spans="2:37" ht="21.75" thickBot="1" x14ac:dyDescent="0.4">
      <c r="B22" s="10"/>
      <c r="C22" s="171"/>
      <c r="D22" s="20"/>
      <c r="E22" s="175"/>
      <c r="F22" s="77" t="s">
        <v>9</v>
      </c>
      <c r="G22" s="78" t="s">
        <v>246</v>
      </c>
      <c r="H22" s="44">
        <v>0.16</v>
      </c>
      <c r="I22" s="9"/>
      <c r="J22" s="19" t="s">
        <v>27</v>
      </c>
      <c r="K22" s="19" t="s">
        <v>66</v>
      </c>
      <c r="L22" s="1" t="s">
        <v>292</v>
      </c>
      <c r="M22" s="44">
        <v>0.2</v>
      </c>
      <c r="N22" s="12"/>
      <c r="O22" s="9"/>
      <c r="P22" s="10"/>
      <c r="Q22" s="188"/>
      <c r="R22" s="16" t="s">
        <v>323</v>
      </c>
      <c r="S22" s="39" t="s">
        <v>109</v>
      </c>
      <c r="T22" s="39" t="s">
        <v>372</v>
      </c>
      <c r="V22" s="18" t="s">
        <v>382</v>
      </c>
      <c r="W22" s="44"/>
      <c r="X22" s="12"/>
      <c r="Y22" s="9"/>
      <c r="Z22" s="10"/>
      <c r="AA22" s="91" t="s">
        <v>528</v>
      </c>
      <c r="AB22" s="93" t="s">
        <v>529</v>
      </c>
      <c r="AC22" s="9"/>
      <c r="AD22" s="91" t="s">
        <v>515</v>
      </c>
      <c r="AE22" s="93" t="s">
        <v>516</v>
      </c>
      <c r="AF22" s="12"/>
      <c r="AG22" s="9"/>
      <c r="AH22" s="9"/>
      <c r="AI22" s="9"/>
      <c r="AJ22" s="9"/>
      <c r="AK22" s="9"/>
    </row>
    <row r="23" spans="2:37" ht="21.75" thickBot="1" x14ac:dyDescent="0.4">
      <c r="B23" s="10"/>
      <c r="C23" s="171"/>
      <c r="D23" s="20"/>
      <c r="E23" s="175"/>
      <c r="F23" s="77" t="s">
        <v>10</v>
      </c>
      <c r="G23" s="78" t="s">
        <v>247</v>
      </c>
      <c r="H23" s="44">
        <v>0.16</v>
      </c>
      <c r="I23" s="9"/>
      <c r="J23" s="19" t="s">
        <v>30</v>
      </c>
      <c r="K23" s="19" t="s">
        <v>67</v>
      </c>
      <c r="L23" s="1" t="s">
        <v>293</v>
      </c>
      <c r="M23" s="44">
        <v>0.2</v>
      </c>
      <c r="N23" s="12"/>
      <c r="O23" s="9"/>
      <c r="P23" s="10"/>
      <c r="Q23" s="188"/>
      <c r="R23" s="16" t="s">
        <v>324</v>
      </c>
      <c r="S23" s="39" t="s">
        <v>110</v>
      </c>
      <c r="V23" s="18" t="s">
        <v>209</v>
      </c>
      <c r="W23" s="44"/>
      <c r="X23" s="12"/>
      <c r="Y23" s="9"/>
      <c r="Z23" s="10"/>
      <c r="AA23" s="91" t="s">
        <v>530</v>
      </c>
      <c r="AB23" s="93" t="s">
        <v>531</v>
      </c>
      <c r="AC23" s="9"/>
      <c r="AD23" s="91" t="s">
        <v>517</v>
      </c>
      <c r="AE23" s="93" t="s">
        <v>518</v>
      </c>
      <c r="AF23" s="12"/>
      <c r="AG23" s="9"/>
      <c r="AH23" s="9"/>
      <c r="AI23" s="9"/>
      <c r="AJ23" s="9"/>
      <c r="AK23" s="9"/>
    </row>
    <row r="24" spans="2:37" ht="30.75" customHeight="1" thickBot="1" x14ac:dyDescent="0.4">
      <c r="B24" s="10"/>
      <c r="C24" s="171"/>
      <c r="D24" s="20"/>
      <c r="E24" s="175"/>
      <c r="F24" s="77" t="s">
        <v>11</v>
      </c>
      <c r="G24" s="78" t="s">
        <v>248</v>
      </c>
      <c r="H24" s="44">
        <v>0.16</v>
      </c>
      <c r="I24" s="9"/>
      <c r="J24" s="19" t="s">
        <v>33</v>
      </c>
      <c r="K24" s="19" t="s">
        <v>68</v>
      </c>
      <c r="L24" s="1" t="s">
        <v>294</v>
      </c>
      <c r="M24" s="44">
        <v>0.2</v>
      </c>
      <c r="N24" s="12"/>
      <c r="O24" s="9"/>
      <c r="P24" s="10"/>
      <c r="Q24" s="188" t="s">
        <v>465</v>
      </c>
      <c r="R24" s="16" t="s">
        <v>325</v>
      </c>
      <c r="S24" s="39" t="s">
        <v>111</v>
      </c>
      <c r="V24" s="18" t="s">
        <v>209</v>
      </c>
      <c r="W24" s="44"/>
      <c r="X24" s="12"/>
      <c r="Y24" s="9"/>
      <c r="Z24" s="10"/>
      <c r="AA24" s="91" t="s">
        <v>532</v>
      </c>
      <c r="AB24" s="93" t="s">
        <v>533</v>
      </c>
      <c r="AC24" s="9"/>
      <c r="AD24" s="91" t="s">
        <v>519</v>
      </c>
      <c r="AE24" s="93" t="s">
        <v>520</v>
      </c>
      <c r="AF24" s="12"/>
      <c r="AG24" s="9"/>
      <c r="AH24" s="9"/>
      <c r="AI24" s="9"/>
      <c r="AJ24" s="9"/>
      <c r="AK24" s="9"/>
    </row>
    <row r="25" spans="2:37" ht="30.75" customHeight="1" thickBot="1" x14ac:dyDescent="0.4">
      <c r="B25" s="10"/>
      <c r="C25" s="172"/>
      <c r="D25" s="20"/>
      <c r="E25" s="176"/>
      <c r="F25" s="77" t="s">
        <v>12</v>
      </c>
      <c r="G25" s="78" t="s">
        <v>249</v>
      </c>
      <c r="H25" s="44">
        <v>0.16</v>
      </c>
      <c r="I25" s="9"/>
      <c r="J25" s="174" t="s">
        <v>36</v>
      </c>
      <c r="K25" s="19" t="s">
        <v>184</v>
      </c>
      <c r="L25" s="1" t="s">
        <v>295</v>
      </c>
      <c r="M25" s="44">
        <v>0.16</v>
      </c>
      <c r="N25" s="12"/>
      <c r="O25" s="9"/>
      <c r="P25" s="10"/>
      <c r="Q25" s="188"/>
      <c r="R25" s="16" t="s">
        <v>326</v>
      </c>
      <c r="S25" s="39" t="s">
        <v>112</v>
      </c>
      <c r="T25" s="39" t="s">
        <v>373</v>
      </c>
      <c r="V25" s="18" t="s">
        <v>382</v>
      </c>
      <c r="W25" s="44"/>
      <c r="X25" s="12"/>
      <c r="Y25" s="9"/>
      <c r="Z25" s="10"/>
      <c r="AA25" s="91" t="s">
        <v>534</v>
      </c>
      <c r="AB25" s="93" t="s">
        <v>535</v>
      </c>
      <c r="AC25" s="9"/>
      <c r="AD25" s="91" t="s">
        <v>521</v>
      </c>
      <c r="AE25" s="93" t="s">
        <v>522</v>
      </c>
      <c r="AF25" s="12"/>
      <c r="AG25" s="9"/>
      <c r="AH25" s="9"/>
      <c r="AI25" s="9"/>
      <c r="AJ25" s="9"/>
      <c r="AK25" s="9"/>
    </row>
    <row r="26" spans="2:37" ht="30.75" customHeight="1" thickBot="1" x14ac:dyDescent="0.4">
      <c r="B26" s="10"/>
      <c r="C26" s="173" t="s">
        <v>219</v>
      </c>
      <c r="D26" s="20"/>
      <c r="E26" s="174" t="s">
        <v>53</v>
      </c>
      <c r="F26" s="77" t="s">
        <v>13</v>
      </c>
      <c r="G26" s="78" t="s">
        <v>250</v>
      </c>
      <c r="H26" s="44">
        <v>0.16</v>
      </c>
      <c r="I26" s="9"/>
      <c r="J26" s="175"/>
      <c r="K26" s="19" t="s">
        <v>185</v>
      </c>
      <c r="L26" s="1" t="s">
        <v>296</v>
      </c>
      <c r="M26" s="44">
        <v>0.16</v>
      </c>
      <c r="N26" s="12"/>
      <c r="O26" s="9"/>
      <c r="P26" s="10"/>
      <c r="Q26" s="188"/>
      <c r="R26" s="16" t="s">
        <v>327</v>
      </c>
      <c r="S26" s="39" t="s">
        <v>113</v>
      </c>
      <c r="V26" s="18" t="s">
        <v>209</v>
      </c>
      <c r="W26" s="44"/>
      <c r="X26" s="12"/>
      <c r="Y26" s="9"/>
      <c r="Z26" s="10"/>
      <c r="AA26" s="91" t="s">
        <v>536</v>
      </c>
      <c r="AB26" s="93" t="s">
        <v>537</v>
      </c>
      <c r="AC26" s="9"/>
      <c r="AD26" s="9"/>
      <c r="AE26" s="9"/>
      <c r="AF26" s="12"/>
      <c r="AG26" s="9"/>
      <c r="AH26" s="9"/>
      <c r="AI26" s="9"/>
      <c r="AJ26" s="9"/>
      <c r="AK26" s="9"/>
    </row>
    <row r="27" spans="2:37" ht="21.75" thickBot="1" x14ac:dyDescent="0.4">
      <c r="B27" s="10"/>
      <c r="C27" s="172"/>
      <c r="D27" s="20"/>
      <c r="E27" s="176"/>
      <c r="F27" s="77" t="s">
        <v>14</v>
      </c>
      <c r="G27" s="78" t="s">
        <v>251</v>
      </c>
      <c r="H27" s="44">
        <v>0.16</v>
      </c>
      <c r="I27" s="9"/>
      <c r="J27" s="176"/>
      <c r="K27" s="19" t="s">
        <v>186</v>
      </c>
      <c r="L27" s="1" t="s">
        <v>297</v>
      </c>
      <c r="M27" s="44">
        <v>0.16</v>
      </c>
      <c r="N27" s="12"/>
      <c r="O27" s="9"/>
      <c r="P27" s="10"/>
      <c r="Q27" s="185" t="s">
        <v>107</v>
      </c>
      <c r="R27" s="16" t="s">
        <v>328</v>
      </c>
      <c r="S27" s="39" t="s">
        <v>114</v>
      </c>
      <c r="V27" s="18" t="s">
        <v>209</v>
      </c>
      <c r="W27" s="44"/>
      <c r="X27" s="12"/>
      <c r="Y27" s="9"/>
      <c r="Z27" s="10"/>
      <c r="AA27" s="91" t="s">
        <v>538</v>
      </c>
      <c r="AB27" s="93" t="s">
        <v>539</v>
      </c>
      <c r="AC27" s="9"/>
      <c r="AD27" s="9"/>
      <c r="AE27" s="9"/>
      <c r="AF27" s="12"/>
      <c r="AG27" s="9"/>
      <c r="AH27" s="9"/>
      <c r="AI27" s="9"/>
      <c r="AJ27" s="9"/>
      <c r="AK27" s="9"/>
    </row>
    <row r="28" spans="2:37" ht="21.75" thickBot="1" x14ac:dyDescent="0.4">
      <c r="B28" s="10"/>
      <c r="C28" s="173" t="s">
        <v>219</v>
      </c>
      <c r="D28" s="20"/>
      <c r="E28" s="174" t="s">
        <v>17</v>
      </c>
      <c r="F28" s="77" t="s">
        <v>15</v>
      </c>
      <c r="G28" s="78" t="s">
        <v>252</v>
      </c>
      <c r="H28" s="44">
        <v>0.16</v>
      </c>
      <c r="I28" s="9"/>
      <c r="J28" s="19" t="s">
        <v>91</v>
      </c>
      <c r="K28" s="19" t="s">
        <v>69</v>
      </c>
      <c r="L28" s="1" t="s">
        <v>298</v>
      </c>
      <c r="M28" s="44">
        <v>0.16</v>
      </c>
      <c r="N28" s="12"/>
      <c r="O28" s="9"/>
      <c r="P28" s="10"/>
      <c r="Q28" s="185"/>
      <c r="R28" s="16" t="s">
        <v>329</v>
      </c>
      <c r="S28" s="39" t="s">
        <v>115</v>
      </c>
      <c r="T28" s="39" t="s">
        <v>374</v>
      </c>
      <c r="V28" s="18" t="s">
        <v>382</v>
      </c>
      <c r="W28" s="44"/>
      <c r="X28" s="12"/>
      <c r="Y28" s="9"/>
      <c r="Z28" s="88"/>
      <c r="AA28" s="89"/>
      <c r="AB28" s="89"/>
      <c r="AC28" s="89"/>
      <c r="AD28" s="89"/>
      <c r="AE28" s="89"/>
      <c r="AF28" s="90"/>
      <c r="AG28" s="9"/>
      <c r="AH28" s="9"/>
      <c r="AI28" s="9"/>
      <c r="AJ28" s="9"/>
      <c r="AK28" s="9"/>
    </row>
    <row r="29" spans="2:37" ht="21.75" thickTop="1" x14ac:dyDescent="0.35">
      <c r="B29" s="10"/>
      <c r="C29" s="172"/>
      <c r="D29" s="20"/>
      <c r="E29" s="176"/>
      <c r="F29" s="77" t="s">
        <v>16</v>
      </c>
      <c r="G29" s="78" t="s">
        <v>253</v>
      </c>
      <c r="H29" s="44">
        <v>0.16</v>
      </c>
      <c r="I29" s="9"/>
      <c r="J29" s="174" t="s">
        <v>46</v>
      </c>
      <c r="K29" s="19" t="s">
        <v>70</v>
      </c>
      <c r="L29" s="1" t="s">
        <v>299</v>
      </c>
      <c r="M29" s="44">
        <v>0.16</v>
      </c>
      <c r="N29" s="12"/>
      <c r="O29" s="9"/>
      <c r="P29" s="10"/>
      <c r="Q29" s="185"/>
      <c r="R29" s="16" t="s">
        <v>330</v>
      </c>
      <c r="S29" s="39" t="s">
        <v>116</v>
      </c>
      <c r="V29" s="18" t="s">
        <v>209</v>
      </c>
      <c r="W29" s="44"/>
      <c r="X29" s="12"/>
      <c r="Y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</row>
    <row r="30" spans="2:37" ht="24" customHeight="1" x14ac:dyDescent="0.35">
      <c r="B30" s="10"/>
      <c r="C30" s="173" t="s">
        <v>219</v>
      </c>
      <c r="D30" s="20"/>
      <c r="E30" s="174" t="s">
        <v>21</v>
      </c>
      <c r="F30" s="77" t="s">
        <v>22</v>
      </c>
      <c r="G30" s="78" t="s">
        <v>254</v>
      </c>
      <c r="H30" s="44">
        <v>0.16</v>
      </c>
      <c r="I30" s="9"/>
      <c r="J30" s="175"/>
      <c r="K30" s="19" t="s">
        <v>71</v>
      </c>
      <c r="L30" s="1" t="s">
        <v>300</v>
      </c>
      <c r="M30" s="44">
        <v>0.16</v>
      </c>
      <c r="N30" s="12"/>
      <c r="O30" s="9"/>
      <c r="P30" s="10"/>
      <c r="Q30" s="185" t="s">
        <v>217</v>
      </c>
      <c r="R30" s="16" t="s">
        <v>378</v>
      </c>
      <c r="S30" s="39" t="s">
        <v>204</v>
      </c>
      <c r="V30" s="18" t="s">
        <v>209</v>
      </c>
      <c r="W30" s="44"/>
      <c r="X30" s="12"/>
      <c r="Y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</row>
    <row r="31" spans="2:37" ht="24" customHeight="1" x14ac:dyDescent="0.35">
      <c r="B31" s="10"/>
      <c r="C31" s="172"/>
      <c r="D31" s="20"/>
      <c r="E31" s="176"/>
      <c r="F31" s="77" t="s">
        <v>23</v>
      </c>
      <c r="G31" s="78" t="s">
        <v>255</v>
      </c>
      <c r="H31" s="44">
        <v>0.16</v>
      </c>
      <c r="I31" s="9"/>
      <c r="J31" s="176"/>
      <c r="K31" s="19" t="s">
        <v>90</v>
      </c>
      <c r="L31" s="1" t="s">
        <v>301</v>
      </c>
      <c r="M31" s="44">
        <v>0.16</v>
      </c>
      <c r="N31" s="12"/>
      <c r="O31" s="9"/>
      <c r="P31" s="10"/>
      <c r="Q31" s="185"/>
      <c r="R31" s="16" t="s">
        <v>379</v>
      </c>
      <c r="S31" s="39" t="s">
        <v>203</v>
      </c>
      <c r="T31" s="39" t="s">
        <v>381</v>
      </c>
      <c r="V31" s="18" t="s">
        <v>382</v>
      </c>
      <c r="W31" s="44"/>
      <c r="X31" s="12"/>
      <c r="Y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</row>
    <row r="32" spans="2:37" ht="24" customHeight="1" x14ac:dyDescent="0.35">
      <c r="B32" s="10"/>
      <c r="C32" s="173" t="s">
        <v>219</v>
      </c>
      <c r="D32" s="20"/>
      <c r="E32" s="174" t="s">
        <v>24</v>
      </c>
      <c r="F32" s="77" t="s">
        <v>25</v>
      </c>
      <c r="G32" s="78" t="s">
        <v>256</v>
      </c>
      <c r="H32" s="44">
        <v>0.16</v>
      </c>
      <c r="I32" s="9"/>
      <c r="J32" s="19" t="s">
        <v>43</v>
      </c>
      <c r="K32" s="19" t="s">
        <v>92</v>
      </c>
      <c r="L32" s="1" t="s">
        <v>302</v>
      </c>
      <c r="M32" s="44">
        <v>0.16</v>
      </c>
      <c r="N32" s="12"/>
      <c r="O32" s="9"/>
      <c r="P32" s="10"/>
      <c r="Q32" s="185"/>
      <c r="R32" s="16" t="s">
        <v>380</v>
      </c>
      <c r="S32" s="39" t="s">
        <v>205</v>
      </c>
      <c r="V32" s="18" t="s">
        <v>209</v>
      </c>
      <c r="W32" s="44"/>
      <c r="X32" s="12"/>
      <c r="Y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</row>
    <row r="33" spans="2:48" x14ac:dyDescent="0.35">
      <c r="B33" s="10"/>
      <c r="C33" s="172"/>
      <c r="D33" s="20"/>
      <c r="E33" s="176"/>
      <c r="F33" s="77" t="s">
        <v>26</v>
      </c>
      <c r="G33" s="78" t="s">
        <v>257</v>
      </c>
      <c r="H33" s="44">
        <v>0.16</v>
      </c>
      <c r="I33" s="9"/>
      <c r="J33" s="19" t="s">
        <v>55</v>
      </c>
      <c r="K33" s="19" t="s">
        <v>65</v>
      </c>
      <c r="L33" s="2" t="s">
        <v>54</v>
      </c>
      <c r="M33" s="44">
        <v>0.16</v>
      </c>
      <c r="N33" s="12"/>
      <c r="O33" s="9"/>
      <c r="P33" s="10"/>
      <c r="Q33" s="186" t="s">
        <v>321</v>
      </c>
      <c r="R33" s="16" t="s">
        <v>331</v>
      </c>
      <c r="S33" s="41" t="s">
        <v>207</v>
      </c>
      <c r="V33" s="18" t="s">
        <v>209</v>
      </c>
      <c r="W33" s="44"/>
      <c r="X33" s="12"/>
      <c r="Y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2:48" x14ac:dyDescent="0.35">
      <c r="B34" s="10"/>
      <c r="C34" s="173" t="s">
        <v>220</v>
      </c>
      <c r="D34" s="20"/>
      <c r="E34" s="174" t="s">
        <v>27</v>
      </c>
      <c r="F34" s="77" t="s">
        <v>28</v>
      </c>
      <c r="G34" s="78" t="s">
        <v>258</v>
      </c>
      <c r="H34" s="44">
        <v>0.2</v>
      </c>
      <c r="I34" s="9"/>
      <c r="J34" s="19" t="s">
        <v>24</v>
      </c>
      <c r="K34" s="19" t="s">
        <v>65</v>
      </c>
      <c r="L34" s="2" t="s">
        <v>54</v>
      </c>
      <c r="M34" s="44">
        <v>0.16</v>
      </c>
      <c r="N34" s="12"/>
      <c r="O34" s="9"/>
      <c r="P34" s="10"/>
      <c r="Q34" s="187"/>
      <c r="R34" s="16" t="s">
        <v>332</v>
      </c>
      <c r="S34" s="39" t="s">
        <v>206</v>
      </c>
      <c r="T34" s="39" t="s">
        <v>375</v>
      </c>
      <c r="V34" s="18" t="s">
        <v>382</v>
      </c>
      <c r="W34" s="44"/>
      <c r="X34" s="12"/>
      <c r="Y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P34" s="9"/>
    </row>
    <row r="35" spans="2:48" x14ac:dyDescent="0.35">
      <c r="B35" s="10"/>
      <c r="C35" s="172"/>
      <c r="D35" s="20"/>
      <c r="E35" s="176"/>
      <c r="F35" s="77" t="s">
        <v>29</v>
      </c>
      <c r="G35" s="78" t="s">
        <v>259</v>
      </c>
      <c r="H35" s="44">
        <v>0.2</v>
      </c>
      <c r="I35" s="9"/>
      <c r="J35" s="19">
        <v>113</v>
      </c>
      <c r="K35" s="19" t="s">
        <v>225</v>
      </c>
      <c r="L35" s="1" t="s">
        <v>303</v>
      </c>
      <c r="M35" s="44">
        <v>0.16</v>
      </c>
      <c r="N35" s="12"/>
      <c r="O35" s="9"/>
      <c r="P35" s="10"/>
      <c r="Q35" s="9"/>
      <c r="R35" s="16" t="s">
        <v>350</v>
      </c>
      <c r="S35" s="39" t="s">
        <v>123</v>
      </c>
      <c r="T35" s="9"/>
      <c r="V35" s="18" t="s">
        <v>210</v>
      </c>
      <c r="X35" s="12"/>
      <c r="Y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P35" s="9"/>
    </row>
    <row r="36" spans="2:48" x14ac:dyDescent="0.35">
      <c r="B36" s="10"/>
      <c r="C36" s="173" t="s">
        <v>219</v>
      </c>
      <c r="D36" s="20"/>
      <c r="E36" s="174" t="s">
        <v>30</v>
      </c>
      <c r="F36" s="77" t="s">
        <v>31</v>
      </c>
      <c r="G36" s="78" t="s">
        <v>260</v>
      </c>
      <c r="H36" s="44">
        <v>0.2</v>
      </c>
      <c r="I36" s="9"/>
      <c r="J36" s="177" t="s">
        <v>226</v>
      </c>
      <c r="K36" s="177"/>
      <c r="L36" s="177"/>
      <c r="M36" s="9"/>
      <c r="N36" s="12"/>
      <c r="O36" s="9"/>
      <c r="P36" s="10"/>
      <c r="Q36" s="9"/>
      <c r="R36" s="16" t="s">
        <v>351</v>
      </c>
      <c r="S36" s="39" t="s">
        <v>124</v>
      </c>
      <c r="T36" s="9"/>
      <c r="V36" s="18" t="s">
        <v>209</v>
      </c>
      <c r="W36" s="44"/>
      <c r="X36" s="12"/>
      <c r="Y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P36" s="9"/>
    </row>
    <row r="37" spans="2:48" x14ac:dyDescent="0.35">
      <c r="B37" s="10"/>
      <c r="C37" s="172"/>
      <c r="D37" s="20"/>
      <c r="E37" s="176"/>
      <c r="F37" s="77" t="s">
        <v>32</v>
      </c>
      <c r="G37" s="78" t="s">
        <v>261</v>
      </c>
      <c r="H37" s="44">
        <v>0.2</v>
      </c>
      <c r="I37" s="9"/>
      <c r="J37" s="9"/>
      <c r="K37" s="9" t="s">
        <v>467</v>
      </c>
      <c r="L37" s="9" t="s">
        <v>468</v>
      </c>
      <c r="M37" s="9"/>
      <c r="N37" s="12"/>
      <c r="O37" s="9"/>
      <c r="P37" s="10"/>
      <c r="Q37" s="193" t="s">
        <v>390</v>
      </c>
      <c r="R37" s="16" t="s">
        <v>352</v>
      </c>
      <c r="S37" s="39" t="s">
        <v>125</v>
      </c>
      <c r="T37" s="9"/>
      <c r="V37" s="18" t="s">
        <v>209</v>
      </c>
      <c r="W37" s="44"/>
      <c r="X37" s="12"/>
      <c r="Y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P37" s="9"/>
      <c r="AQ37" s="9"/>
      <c r="AR37" s="9"/>
      <c r="AS37" s="9"/>
      <c r="AT37" s="9"/>
    </row>
    <row r="38" spans="2:48" ht="21.75" thickBot="1" x14ac:dyDescent="0.4">
      <c r="B38" s="10"/>
      <c r="C38" s="173" t="s">
        <v>220</v>
      </c>
      <c r="D38" s="20"/>
      <c r="E38" s="174" t="s">
        <v>33</v>
      </c>
      <c r="F38" s="77" t="s">
        <v>34</v>
      </c>
      <c r="G38" s="78" t="s">
        <v>262</v>
      </c>
      <c r="H38" s="44">
        <v>0.2</v>
      </c>
      <c r="I38" s="9"/>
      <c r="J38" s="9"/>
      <c r="K38" s="9"/>
      <c r="L38" s="9"/>
      <c r="M38" s="9"/>
      <c r="N38" s="22"/>
      <c r="O38" s="13"/>
      <c r="P38" s="10"/>
      <c r="Q38" s="194"/>
      <c r="R38" s="83" t="s">
        <v>383</v>
      </c>
      <c r="S38" s="39" t="s">
        <v>463</v>
      </c>
      <c r="T38" s="9"/>
      <c r="V38" s="18" t="s">
        <v>210</v>
      </c>
      <c r="W38" s="44"/>
      <c r="X38" s="12"/>
      <c r="Y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P38" s="9"/>
      <c r="AR38" s="9"/>
      <c r="AS38" s="9"/>
      <c r="AT38" s="9"/>
    </row>
    <row r="39" spans="2:48" ht="22.5" thickTop="1" thickBot="1" x14ac:dyDescent="0.4">
      <c r="B39" s="10"/>
      <c r="C39" s="172"/>
      <c r="D39" s="20"/>
      <c r="E39" s="176"/>
      <c r="F39" s="77" t="s">
        <v>35</v>
      </c>
      <c r="G39" s="78" t="s">
        <v>263</v>
      </c>
      <c r="H39" s="44">
        <v>0.2</v>
      </c>
      <c r="I39" s="9"/>
      <c r="J39" s="178" t="s">
        <v>183</v>
      </c>
      <c r="K39" s="179"/>
      <c r="L39" s="180"/>
      <c r="M39" s="9"/>
      <c r="N39" s="12"/>
      <c r="O39" s="9"/>
      <c r="P39" s="10"/>
      <c r="Q39" s="194"/>
      <c r="R39" s="16" t="s">
        <v>384</v>
      </c>
      <c r="S39" s="39" t="s">
        <v>397</v>
      </c>
      <c r="T39" s="9"/>
      <c r="V39" s="18" t="s">
        <v>209</v>
      </c>
      <c r="W39" s="44"/>
      <c r="X39" s="12"/>
      <c r="Y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P39" s="9"/>
    </row>
    <row r="40" spans="2:48" ht="21" customHeight="1" thickTop="1" thickBot="1" x14ac:dyDescent="0.4">
      <c r="B40" s="10"/>
      <c r="C40" s="173" t="s">
        <v>219</v>
      </c>
      <c r="D40" s="9"/>
      <c r="E40" s="174" t="s">
        <v>36</v>
      </c>
      <c r="F40" s="77" t="s">
        <v>37</v>
      </c>
      <c r="G40" s="78" t="s">
        <v>264</v>
      </c>
      <c r="H40" s="44">
        <v>0.16</v>
      </c>
      <c r="I40" s="9"/>
      <c r="J40" s="9"/>
      <c r="K40" s="9"/>
      <c r="L40" s="9"/>
      <c r="M40" s="9"/>
      <c r="N40" s="22"/>
      <c r="O40" s="13"/>
      <c r="P40" s="10"/>
      <c r="Q40" s="194"/>
      <c r="R40" s="16" t="s">
        <v>385</v>
      </c>
      <c r="S40" s="39" t="s">
        <v>398</v>
      </c>
      <c r="T40" s="9"/>
      <c r="V40" s="18" t="s">
        <v>209</v>
      </c>
      <c r="W40" s="44"/>
      <c r="X40" s="12"/>
      <c r="Y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P40" s="36"/>
    </row>
    <row r="41" spans="2:48" ht="21.75" thickBot="1" x14ac:dyDescent="0.4">
      <c r="B41" s="10"/>
      <c r="C41" s="171"/>
      <c r="D41" s="9"/>
      <c r="E41" s="175"/>
      <c r="F41" s="77" t="s">
        <v>38</v>
      </c>
      <c r="G41" s="78" t="s">
        <v>265</v>
      </c>
      <c r="H41" s="44">
        <v>0.16</v>
      </c>
      <c r="I41" s="9"/>
      <c r="J41" s="72" t="s">
        <v>197</v>
      </c>
      <c r="K41" s="72" t="s">
        <v>196</v>
      </c>
      <c r="L41" s="73" t="s">
        <v>281</v>
      </c>
      <c r="M41" s="9"/>
      <c r="N41" s="12"/>
      <c r="O41" s="9"/>
      <c r="P41" s="10"/>
      <c r="Q41" s="195"/>
      <c r="R41" s="83" t="s">
        <v>386</v>
      </c>
      <c r="S41" s="41" t="s">
        <v>399</v>
      </c>
      <c r="T41" s="9"/>
      <c r="V41" s="18" t="s">
        <v>209</v>
      </c>
      <c r="W41" s="44"/>
      <c r="X41" s="12"/>
      <c r="Y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P41" s="9"/>
    </row>
    <row r="42" spans="2:48" ht="20.25" customHeight="1" x14ac:dyDescent="0.35">
      <c r="B42" s="10"/>
      <c r="C42" s="171"/>
      <c r="D42" s="9"/>
      <c r="E42" s="175"/>
      <c r="F42" s="77" t="s">
        <v>39</v>
      </c>
      <c r="G42" s="78" t="s">
        <v>266</v>
      </c>
      <c r="H42" s="44">
        <v>0.16</v>
      </c>
      <c r="I42" s="9"/>
      <c r="J42" s="24" t="s">
        <v>19</v>
      </c>
      <c r="K42" s="15" t="s">
        <v>74</v>
      </c>
      <c r="L42" s="37" t="s">
        <v>304</v>
      </c>
      <c r="M42" s="44">
        <v>0.16</v>
      </c>
      <c r="N42" s="12"/>
      <c r="O42" s="9"/>
      <c r="P42" s="10"/>
      <c r="Q42" s="190" t="s">
        <v>395</v>
      </c>
      <c r="R42" s="47" t="s">
        <v>391</v>
      </c>
      <c r="S42" s="48" t="s">
        <v>466</v>
      </c>
      <c r="T42" s="9"/>
      <c r="V42" s="18" t="s">
        <v>209</v>
      </c>
      <c r="W42" s="44"/>
      <c r="X42" s="12"/>
      <c r="Y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P42" s="9"/>
      <c r="AR42" s="9"/>
      <c r="AS42" s="9"/>
      <c r="AT42" s="9"/>
    </row>
    <row r="43" spans="2:48" ht="20.25" customHeight="1" x14ac:dyDescent="0.35">
      <c r="B43" s="10"/>
      <c r="C43" s="171"/>
      <c r="D43" s="9"/>
      <c r="E43" s="175"/>
      <c r="F43" s="77" t="s">
        <v>41</v>
      </c>
      <c r="G43" s="78" t="s">
        <v>267</v>
      </c>
      <c r="H43" s="44">
        <v>0.16</v>
      </c>
      <c r="I43" s="9"/>
      <c r="J43" s="24" t="s">
        <v>19</v>
      </c>
      <c r="K43" s="19" t="s">
        <v>75</v>
      </c>
      <c r="L43" s="37" t="s">
        <v>305</v>
      </c>
      <c r="M43" s="44">
        <v>0.16</v>
      </c>
      <c r="N43" s="12"/>
      <c r="O43" s="9"/>
      <c r="P43" s="10"/>
      <c r="Q43" s="191"/>
      <c r="R43" s="47" t="s">
        <v>392</v>
      </c>
      <c r="S43" s="48" t="s">
        <v>400</v>
      </c>
      <c r="T43" s="9"/>
      <c r="V43" s="18" t="s">
        <v>210</v>
      </c>
      <c r="W43" s="44"/>
      <c r="X43" s="12"/>
      <c r="Y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P43" s="9"/>
      <c r="AR43" s="9"/>
      <c r="AS43" s="9"/>
      <c r="AT43" s="9"/>
    </row>
    <row r="44" spans="2:48" ht="22.5" customHeight="1" x14ac:dyDescent="0.35">
      <c r="B44" s="10"/>
      <c r="C44" s="171"/>
      <c r="D44" s="9"/>
      <c r="E44" s="175"/>
      <c r="F44" s="77" t="s">
        <v>40</v>
      </c>
      <c r="G44" s="78" t="s">
        <v>268</v>
      </c>
      <c r="H44" s="44">
        <v>0.16</v>
      </c>
      <c r="I44" s="9"/>
      <c r="J44" s="24" t="s">
        <v>19</v>
      </c>
      <c r="K44" s="19" t="s">
        <v>76</v>
      </c>
      <c r="L44" s="37" t="s">
        <v>306</v>
      </c>
      <c r="M44" s="44">
        <v>0.16</v>
      </c>
      <c r="N44" s="12"/>
      <c r="O44" s="9"/>
      <c r="P44" s="10"/>
      <c r="Q44" s="191"/>
      <c r="R44" s="47" t="s">
        <v>393</v>
      </c>
      <c r="S44" s="48" t="s">
        <v>402</v>
      </c>
      <c r="T44" s="9"/>
      <c r="V44" s="18" t="s">
        <v>209</v>
      </c>
      <c r="W44" s="44"/>
      <c r="X44" s="12"/>
      <c r="Y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P44" s="9"/>
      <c r="AQ44" s="9"/>
      <c r="AR44" s="9"/>
      <c r="AS44" s="9"/>
      <c r="AT44" s="9"/>
    </row>
    <row r="45" spans="2:48" ht="22.5" customHeight="1" x14ac:dyDescent="0.35">
      <c r="B45" s="10"/>
      <c r="C45" s="172"/>
      <c r="D45" s="9"/>
      <c r="E45" s="176"/>
      <c r="F45" s="77" t="s">
        <v>42</v>
      </c>
      <c r="G45" s="78" t="s">
        <v>269</v>
      </c>
      <c r="H45" s="44">
        <v>0.16</v>
      </c>
      <c r="I45" s="9"/>
      <c r="J45" s="24" t="s">
        <v>20</v>
      </c>
      <c r="K45" s="19" t="s">
        <v>77</v>
      </c>
      <c r="L45" s="37" t="s">
        <v>307</v>
      </c>
      <c r="M45" s="44">
        <v>0.16</v>
      </c>
      <c r="N45" s="12"/>
      <c r="O45" s="9"/>
      <c r="P45" s="10"/>
      <c r="Q45" s="192"/>
      <c r="R45" s="47" t="s">
        <v>394</v>
      </c>
      <c r="S45" s="48" t="s">
        <v>401</v>
      </c>
      <c r="T45" s="9"/>
      <c r="V45" s="18" t="s">
        <v>209</v>
      </c>
      <c r="W45" s="44"/>
      <c r="X45" s="12"/>
      <c r="Y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P45" s="9"/>
      <c r="AQ45" s="9"/>
      <c r="AR45" s="9"/>
      <c r="AS45" s="9"/>
      <c r="AT45" s="9"/>
    </row>
    <row r="46" spans="2:48" ht="30" customHeight="1" x14ac:dyDescent="0.35">
      <c r="B46" s="10"/>
      <c r="C46" s="173" t="s">
        <v>219</v>
      </c>
      <c r="D46" s="9"/>
      <c r="E46" s="174" t="s">
        <v>43</v>
      </c>
      <c r="F46" s="77" t="s">
        <v>44</v>
      </c>
      <c r="G46" s="78" t="s">
        <v>270</v>
      </c>
      <c r="H46" s="44">
        <v>0.16</v>
      </c>
      <c r="I46" s="9"/>
      <c r="J46" s="24" t="s">
        <v>20</v>
      </c>
      <c r="K46" s="19" t="s">
        <v>78</v>
      </c>
      <c r="L46" s="37" t="s">
        <v>308</v>
      </c>
      <c r="M46" s="44">
        <v>0.16</v>
      </c>
      <c r="N46" s="12"/>
      <c r="O46" s="9"/>
      <c r="P46" s="10"/>
      <c r="R46" s="16" t="s">
        <v>353</v>
      </c>
      <c r="S46" s="39" t="s">
        <v>126</v>
      </c>
      <c r="T46" s="9"/>
      <c r="V46" s="18" t="s">
        <v>209</v>
      </c>
      <c r="W46" s="44"/>
      <c r="X46" s="12"/>
      <c r="Y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P46" s="9"/>
      <c r="AQ46" s="9"/>
      <c r="AR46" s="9"/>
      <c r="AS46" s="9"/>
      <c r="AT46" s="9"/>
    </row>
    <row r="47" spans="2:48" ht="30" customHeight="1" x14ac:dyDescent="0.35">
      <c r="B47" s="10"/>
      <c r="C47" s="172"/>
      <c r="D47" s="9"/>
      <c r="E47" s="176"/>
      <c r="F47" s="77" t="s">
        <v>45</v>
      </c>
      <c r="G47" s="78" t="s">
        <v>271</v>
      </c>
      <c r="H47" s="44">
        <v>0.16</v>
      </c>
      <c r="I47" s="9"/>
      <c r="J47" s="24" t="s">
        <v>20</v>
      </c>
      <c r="K47" s="19" t="s">
        <v>79</v>
      </c>
      <c r="L47" s="37" t="s">
        <v>309</v>
      </c>
      <c r="M47" s="44">
        <v>0.16</v>
      </c>
      <c r="N47" s="12"/>
      <c r="O47" s="9"/>
      <c r="P47" s="10"/>
      <c r="R47" s="16" t="s">
        <v>354</v>
      </c>
      <c r="S47" s="39" t="s">
        <v>127</v>
      </c>
      <c r="T47" s="9"/>
      <c r="V47" s="18" t="s">
        <v>209</v>
      </c>
      <c r="W47" s="44"/>
      <c r="X47" s="12"/>
      <c r="Y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P47" s="9"/>
      <c r="AQ47" s="9"/>
      <c r="AR47" s="9"/>
      <c r="AS47" s="9"/>
      <c r="AT47" s="9"/>
    </row>
    <row r="48" spans="2:48" x14ac:dyDescent="0.35">
      <c r="B48" s="10"/>
      <c r="C48" s="173" t="s">
        <v>219</v>
      </c>
      <c r="D48" s="9"/>
      <c r="E48" s="173" t="s">
        <v>46</v>
      </c>
      <c r="F48" s="77" t="s">
        <v>47</v>
      </c>
      <c r="G48" s="78" t="s">
        <v>272</v>
      </c>
      <c r="H48" s="44">
        <v>0.16</v>
      </c>
      <c r="I48" s="9"/>
      <c r="J48" s="24" t="s">
        <v>46</v>
      </c>
      <c r="K48" s="19" t="s">
        <v>80</v>
      </c>
      <c r="L48" s="37" t="s">
        <v>310</v>
      </c>
      <c r="M48" s="44">
        <v>0.16</v>
      </c>
      <c r="N48" s="12"/>
      <c r="O48" s="9"/>
      <c r="P48" s="10"/>
      <c r="R48" s="16" t="s">
        <v>355</v>
      </c>
      <c r="S48" s="39" t="s">
        <v>128</v>
      </c>
      <c r="T48" s="9"/>
      <c r="V48" s="18" t="s">
        <v>209</v>
      </c>
      <c r="W48" s="44"/>
      <c r="X48" s="12"/>
      <c r="Y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P48" s="9"/>
      <c r="AQ48" s="9"/>
      <c r="AR48" s="9"/>
      <c r="AS48" s="9"/>
      <c r="AT48" s="9"/>
      <c r="AU48" s="9"/>
      <c r="AV48" s="9"/>
    </row>
    <row r="49" spans="2:48" x14ac:dyDescent="0.35">
      <c r="B49" s="10"/>
      <c r="C49" s="171"/>
      <c r="D49" s="9"/>
      <c r="E49" s="171"/>
      <c r="F49" s="77" t="s">
        <v>48</v>
      </c>
      <c r="G49" s="78" t="s">
        <v>273</v>
      </c>
      <c r="H49" s="44">
        <v>0.16</v>
      </c>
      <c r="I49" s="9"/>
      <c r="J49" s="24" t="s">
        <v>46</v>
      </c>
      <c r="K49" s="19" t="s">
        <v>81</v>
      </c>
      <c r="L49" s="37" t="s">
        <v>311</v>
      </c>
      <c r="M49" s="44">
        <v>0.16</v>
      </c>
      <c r="N49" s="12"/>
      <c r="O49" s="9"/>
      <c r="P49" s="10"/>
      <c r="R49" s="16" t="s">
        <v>356</v>
      </c>
      <c r="S49" s="39" t="s">
        <v>349</v>
      </c>
      <c r="T49" s="9"/>
      <c r="V49" s="18" t="s">
        <v>209</v>
      </c>
      <c r="W49" s="44"/>
      <c r="X49" s="12"/>
      <c r="Y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P49" s="9"/>
      <c r="AQ49" s="9"/>
      <c r="AR49" s="9"/>
      <c r="AS49" s="9"/>
      <c r="AT49" s="9"/>
      <c r="AU49" s="9"/>
      <c r="AV49" s="9"/>
    </row>
    <row r="50" spans="2:48" x14ac:dyDescent="0.35">
      <c r="B50" s="10"/>
      <c r="C50" s="171"/>
      <c r="D50" s="9"/>
      <c r="E50" s="171"/>
      <c r="F50" s="77" t="s">
        <v>49</v>
      </c>
      <c r="G50" s="78" t="s">
        <v>274</v>
      </c>
      <c r="H50" s="44">
        <v>0.16</v>
      </c>
      <c r="I50" s="9"/>
      <c r="J50" s="24" t="s">
        <v>46</v>
      </c>
      <c r="K50" s="19" t="s">
        <v>405</v>
      </c>
      <c r="L50" s="37" t="s">
        <v>404</v>
      </c>
      <c r="M50" s="44">
        <v>0.16</v>
      </c>
      <c r="N50" s="12"/>
      <c r="O50" s="9"/>
      <c r="P50" s="10"/>
      <c r="R50" s="16" t="s">
        <v>357</v>
      </c>
      <c r="S50" s="39" t="s">
        <v>200</v>
      </c>
      <c r="T50" s="9"/>
      <c r="V50" s="18" t="s">
        <v>209</v>
      </c>
      <c r="W50" s="44"/>
      <c r="X50" s="12"/>
      <c r="Y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P50" s="9"/>
      <c r="AU50" s="9"/>
      <c r="AV50" s="9"/>
    </row>
    <row r="51" spans="2:48" x14ac:dyDescent="0.35">
      <c r="B51" s="10"/>
      <c r="C51" s="171"/>
      <c r="D51" s="9"/>
      <c r="E51" s="171"/>
      <c r="F51" s="77" t="s">
        <v>50</v>
      </c>
      <c r="G51" s="78" t="s">
        <v>275</v>
      </c>
      <c r="H51" s="44">
        <v>0.16</v>
      </c>
      <c r="I51" s="9"/>
      <c r="J51" s="24" t="s">
        <v>18</v>
      </c>
      <c r="K51" s="19" t="s">
        <v>82</v>
      </c>
      <c r="L51" s="37" t="s">
        <v>312</v>
      </c>
      <c r="M51" s="44">
        <v>0.2</v>
      </c>
      <c r="N51" s="12"/>
      <c r="O51" s="9"/>
      <c r="P51" s="23"/>
      <c r="R51" s="16" t="s">
        <v>358</v>
      </c>
      <c r="S51" s="39" t="s">
        <v>201</v>
      </c>
      <c r="T51" s="9"/>
      <c r="V51" s="18" t="s">
        <v>209</v>
      </c>
      <c r="W51" s="44"/>
      <c r="X51" s="12"/>
      <c r="Y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P51" s="9"/>
      <c r="AU51" s="9"/>
      <c r="AV51" s="9"/>
    </row>
    <row r="52" spans="2:48" x14ac:dyDescent="0.35">
      <c r="B52" s="10"/>
      <c r="C52" s="171"/>
      <c r="D52" s="9"/>
      <c r="E52" s="171"/>
      <c r="F52" s="77" t="s">
        <v>51</v>
      </c>
      <c r="G52" s="78" t="s">
        <v>276</v>
      </c>
      <c r="H52" s="44">
        <v>0.16</v>
      </c>
      <c r="I52" s="9"/>
      <c r="J52" s="24" t="s">
        <v>30</v>
      </c>
      <c r="K52" s="19" t="s">
        <v>83</v>
      </c>
      <c r="L52" s="37" t="s">
        <v>313</v>
      </c>
      <c r="M52" s="44">
        <v>0.2</v>
      </c>
      <c r="N52" s="12"/>
      <c r="O52" s="9"/>
      <c r="P52" s="10"/>
      <c r="R52" s="16" t="s">
        <v>359</v>
      </c>
      <c r="S52" s="39" t="s">
        <v>202</v>
      </c>
      <c r="T52" s="9"/>
      <c r="V52" s="18" t="s">
        <v>209</v>
      </c>
      <c r="W52" s="44"/>
      <c r="X52" s="12"/>
      <c r="Y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P52" s="9"/>
      <c r="AV52" s="9"/>
    </row>
    <row r="53" spans="2:48" x14ac:dyDescent="0.35">
      <c r="B53" s="10"/>
      <c r="C53" s="172"/>
      <c r="D53" s="9"/>
      <c r="E53" s="172"/>
      <c r="F53" s="77" t="s">
        <v>52</v>
      </c>
      <c r="G53" s="78" t="s">
        <v>277</v>
      </c>
      <c r="H53" s="44">
        <v>0.16</v>
      </c>
      <c r="I53" s="9"/>
      <c r="J53" s="24" t="s">
        <v>33</v>
      </c>
      <c r="K53" s="19" t="s">
        <v>84</v>
      </c>
      <c r="L53" s="37" t="s">
        <v>314</v>
      </c>
      <c r="M53" s="44">
        <v>0.2</v>
      </c>
      <c r="N53" s="12"/>
      <c r="O53" s="9"/>
      <c r="P53" s="10"/>
      <c r="R53" s="16" t="s">
        <v>360</v>
      </c>
      <c r="S53" s="39" t="s">
        <v>347</v>
      </c>
      <c r="T53" s="9"/>
      <c r="V53" s="18" t="s">
        <v>210</v>
      </c>
      <c r="X53" s="12"/>
      <c r="Y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P53" s="9"/>
      <c r="AV53" s="9"/>
    </row>
    <row r="54" spans="2:48" ht="21.75" thickBot="1" x14ac:dyDescent="0.4">
      <c r="B54" s="10"/>
      <c r="C54" s="173" t="s">
        <v>219</v>
      </c>
      <c r="D54" s="9"/>
      <c r="E54" s="174" t="s">
        <v>55</v>
      </c>
      <c r="F54" s="77" t="s">
        <v>188</v>
      </c>
      <c r="G54" s="78" t="s">
        <v>278</v>
      </c>
      <c r="H54" s="44">
        <v>0.16</v>
      </c>
      <c r="I54" s="9"/>
      <c r="J54" s="24" t="s">
        <v>53</v>
      </c>
      <c r="K54" s="19" t="s">
        <v>85</v>
      </c>
      <c r="L54" s="37" t="s">
        <v>315</v>
      </c>
      <c r="M54" s="44">
        <v>0.16</v>
      </c>
      <c r="N54" s="12"/>
      <c r="O54" s="9"/>
      <c r="P54" s="10"/>
      <c r="R54" s="52" t="s">
        <v>361</v>
      </c>
      <c r="S54" s="53" t="s">
        <v>348</v>
      </c>
      <c r="T54" s="9"/>
      <c r="V54" s="54" t="s">
        <v>210</v>
      </c>
      <c r="X54" s="12"/>
      <c r="Y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</row>
    <row r="55" spans="2:48" ht="22.5" thickTop="1" thickBot="1" x14ac:dyDescent="0.4">
      <c r="B55" s="10"/>
      <c r="C55" s="172"/>
      <c r="D55" s="9"/>
      <c r="E55" s="176"/>
      <c r="F55" s="77" t="s">
        <v>189</v>
      </c>
      <c r="G55" s="78" t="s">
        <v>279</v>
      </c>
      <c r="H55" s="44">
        <v>0.16</v>
      </c>
      <c r="I55" s="9"/>
      <c r="J55" s="24" t="s">
        <v>27</v>
      </c>
      <c r="K55" s="19" t="s">
        <v>86</v>
      </c>
      <c r="L55" s="37" t="s">
        <v>316</v>
      </c>
      <c r="M55" s="44">
        <v>0.2</v>
      </c>
      <c r="N55" s="12"/>
      <c r="O55" s="9"/>
      <c r="P55" s="10"/>
      <c r="Q55" s="55"/>
      <c r="R55" s="56"/>
      <c r="S55" s="57"/>
      <c r="T55" s="58"/>
      <c r="U55" s="58"/>
      <c r="V55" s="59"/>
      <c r="X55" s="12"/>
      <c r="Y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</row>
    <row r="56" spans="2:48" ht="38.25" thickBot="1" x14ac:dyDescent="0.4">
      <c r="B56" s="10"/>
      <c r="C56" s="25" t="s">
        <v>219</v>
      </c>
      <c r="D56" s="9"/>
      <c r="E56" s="17" t="s">
        <v>198</v>
      </c>
      <c r="F56" s="19" t="s">
        <v>199</v>
      </c>
      <c r="G56" s="38" t="s">
        <v>280</v>
      </c>
      <c r="H56" s="44">
        <v>0.16</v>
      </c>
      <c r="I56" s="9"/>
      <c r="J56" s="24" t="s">
        <v>91</v>
      </c>
      <c r="K56" s="19" t="s">
        <v>87</v>
      </c>
      <c r="L56" s="37" t="s">
        <v>317</v>
      </c>
      <c r="M56" s="44">
        <v>0.16</v>
      </c>
      <c r="N56" s="12"/>
      <c r="O56" s="9"/>
      <c r="P56" s="10"/>
      <c r="Q56" s="60"/>
      <c r="R56" s="49" t="s">
        <v>406</v>
      </c>
      <c r="S56" s="50" t="s">
        <v>196</v>
      </c>
      <c r="T56" s="51" t="s">
        <v>377</v>
      </c>
      <c r="U56" s="61"/>
      <c r="V56" s="62"/>
      <c r="X56" s="12"/>
      <c r="Y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</row>
    <row r="57" spans="2:48" x14ac:dyDescent="0.35">
      <c r="B57" s="10"/>
      <c r="C57" s="11"/>
      <c r="D57" s="9"/>
      <c r="E57" s="177" t="s">
        <v>216</v>
      </c>
      <c r="F57" s="177"/>
      <c r="G57" s="177"/>
      <c r="H57" s="14"/>
      <c r="I57" s="14"/>
      <c r="J57" s="24" t="s">
        <v>21</v>
      </c>
      <c r="K57" s="19" t="s">
        <v>88</v>
      </c>
      <c r="L57" s="37" t="s">
        <v>318</v>
      </c>
      <c r="M57" s="44">
        <v>0.16</v>
      </c>
      <c r="N57" s="12"/>
      <c r="O57" s="9"/>
      <c r="P57" s="10"/>
      <c r="Q57" s="60"/>
      <c r="R57" s="63" t="s">
        <v>407</v>
      </c>
      <c r="S57" s="64" t="s">
        <v>416</v>
      </c>
      <c r="T57" s="64" t="s">
        <v>425</v>
      </c>
      <c r="U57" s="61"/>
      <c r="V57" s="62"/>
      <c r="X57" s="12"/>
      <c r="Y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</row>
    <row r="58" spans="2:48" ht="25.5" customHeight="1" x14ac:dyDescent="0.35">
      <c r="B58" s="10"/>
      <c r="C58" s="11"/>
      <c r="D58" s="9"/>
      <c r="E58" s="9"/>
      <c r="F58" s="9"/>
      <c r="G58" s="9"/>
      <c r="H58" s="14"/>
      <c r="I58" s="14"/>
      <c r="J58" s="24" t="s">
        <v>17</v>
      </c>
      <c r="K58" s="19" t="s">
        <v>89</v>
      </c>
      <c r="L58" s="37" t="s">
        <v>319</v>
      </c>
      <c r="M58" s="44">
        <v>0.16</v>
      </c>
      <c r="N58" s="12"/>
      <c r="O58" s="9"/>
      <c r="P58" s="10"/>
      <c r="Q58" s="60"/>
      <c r="R58" s="63" t="s">
        <v>408</v>
      </c>
      <c r="S58" s="64" t="s">
        <v>417</v>
      </c>
      <c r="T58" s="61"/>
      <c r="U58" s="61"/>
      <c r="V58" s="62"/>
      <c r="X58" s="12"/>
      <c r="Y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</row>
    <row r="59" spans="2:48" ht="25.5" customHeight="1" x14ac:dyDescent="0.35">
      <c r="B59" s="10"/>
      <c r="C59" s="11"/>
      <c r="D59" s="9"/>
      <c r="E59" s="9"/>
      <c r="F59" s="9"/>
      <c r="G59" s="9"/>
      <c r="H59" s="14"/>
      <c r="I59" s="14"/>
      <c r="J59" s="24" t="s">
        <v>55</v>
      </c>
      <c r="K59" s="19" t="s">
        <v>187</v>
      </c>
      <c r="L59" s="37" t="s">
        <v>320</v>
      </c>
      <c r="M59" s="44">
        <v>0.16</v>
      </c>
      <c r="N59" s="12"/>
      <c r="O59" s="9"/>
      <c r="P59" s="10"/>
      <c r="Q59" s="60"/>
      <c r="R59" s="63" t="s">
        <v>409</v>
      </c>
      <c r="S59" s="64" t="s">
        <v>418</v>
      </c>
      <c r="T59" s="61"/>
      <c r="U59" s="61"/>
      <c r="V59" s="62"/>
      <c r="X59" s="12"/>
      <c r="Y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</row>
    <row r="60" spans="2:48" ht="25.5" customHeight="1" x14ac:dyDescent="0.35">
      <c r="B60" s="10"/>
      <c r="J60" s="81" t="s">
        <v>226</v>
      </c>
      <c r="K60" s="81"/>
      <c r="L60" s="81"/>
      <c r="M60" s="9"/>
      <c r="O60" s="10"/>
      <c r="P60" s="10"/>
      <c r="Q60" s="60"/>
      <c r="R60" s="63" t="s">
        <v>410</v>
      </c>
      <c r="S60" s="64" t="s">
        <v>419</v>
      </c>
      <c r="T60" s="64" t="s">
        <v>424</v>
      </c>
      <c r="U60" s="61"/>
      <c r="V60" s="62"/>
      <c r="X60" s="12"/>
      <c r="Y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</row>
    <row r="61" spans="2:48" ht="21.75" thickBot="1" x14ac:dyDescent="0.4">
      <c r="B61" s="26"/>
      <c r="C61" s="29"/>
      <c r="D61" s="27"/>
      <c r="E61" s="27"/>
      <c r="F61" s="27"/>
      <c r="G61" s="27"/>
      <c r="H61" s="30"/>
      <c r="I61" s="30"/>
      <c r="J61" s="27"/>
      <c r="K61" s="27"/>
      <c r="L61" s="27"/>
      <c r="M61" s="27"/>
      <c r="N61" s="28"/>
      <c r="O61" s="10"/>
      <c r="P61" s="10"/>
      <c r="Q61" s="60"/>
      <c r="R61" s="63" t="s">
        <v>411</v>
      </c>
      <c r="S61" s="64" t="s">
        <v>469</v>
      </c>
      <c r="T61" s="61"/>
      <c r="U61" s="61"/>
      <c r="V61" s="62"/>
      <c r="X61" s="12"/>
      <c r="Y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</row>
    <row r="62" spans="2:48" ht="21.75" thickTop="1" x14ac:dyDescent="0.35">
      <c r="H62" s="31"/>
      <c r="I62" s="31"/>
      <c r="P62" s="10"/>
      <c r="Q62" s="60"/>
      <c r="R62" s="63" t="s">
        <v>412</v>
      </c>
      <c r="S62" s="64" t="s">
        <v>420</v>
      </c>
      <c r="T62" s="61"/>
      <c r="U62" s="61"/>
      <c r="V62" s="62"/>
      <c r="X62" s="12"/>
      <c r="Y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</row>
    <row r="63" spans="2:48" ht="23.25" customHeight="1" x14ac:dyDescent="0.35">
      <c r="P63" s="10"/>
      <c r="Q63" s="60"/>
      <c r="R63" s="63" t="s">
        <v>413</v>
      </c>
      <c r="S63" s="64" t="s">
        <v>421</v>
      </c>
      <c r="T63" s="64" t="s">
        <v>423</v>
      </c>
      <c r="U63" s="61"/>
      <c r="V63" s="62"/>
      <c r="X63" s="12"/>
      <c r="Y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</row>
    <row r="64" spans="2:48" ht="23.25" customHeight="1" thickBot="1" x14ac:dyDescent="0.4">
      <c r="P64" s="10"/>
      <c r="Q64" s="60"/>
      <c r="R64" s="63" t="s">
        <v>414</v>
      </c>
      <c r="S64" s="64" t="s">
        <v>422</v>
      </c>
      <c r="T64" s="61"/>
      <c r="U64" s="61"/>
      <c r="V64" s="62"/>
      <c r="X64" s="12"/>
      <c r="Y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</row>
    <row r="65" spans="5:37" ht="23.25" customHeight="1" thickBot="1" x14ac:dyDescent="0.4">
      <c r="E65" s="196" t="s">
        <v>213</v>
      </c>
      <c r="F65" s="197"/>
      <c r="G65" s="197"/>
      <c r="H65" s="198"/>
      <c r="K65" s="96" t="s">
        <v>542</v>
      </c>
      <c r="L65" s="96" t="s">
        <v>543</v>
      </c>
      <c r="M65" s="96"/>
      <c r="P65" s="10"/>
      <c r="Q65" s="60"/>
      <c r="R65" s="63" t="s">
        <v>415</v>
      </c>
      <c r="S65" s="64" t="s">
        <v>464</v>
      </c>
      <c r="T65" s="61"/>
      <c r="U65" s="61"/>
      <c r="V65" s="62"/>
      <c r="X65" s="12"/>
      <c r="Y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</row>
    <row r="66" spans="5:37" ht="24" customHeight="1" thickBot="1" x14ac:dyDescent="0.4">
      <c r="E66" s="32"/>
      <c r="F66" s="199" t="s">
        <v>218</v>
      </c>
      <c r="G66" s="199"/>
      <c r="H66" s="199"/>
      <c r="I66" s="9"/>
      <c r="K66" s="96" t="s">
        <v>544</v>
      </c>
      <c r="L66" s="96" t="s">
        <v>545</v>
      </c>
      <c r="M66" s="96"/>
      <c r="P66" s="10"/>
      <c r="Q66" s="60"/>
      <c r="R66" s="65"/>
      <c r="S66" s="66"/>
      <c r="T66" s="61"/>
      <c r="U66" s="61"/>
      <c r="V66" s="62"/>
      <c r="X66" s="12"/>
      <c r="Y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</row>
    <row r="67" spans="5:37" ht="24" customHeight="1" thickBot="1" x14ac:dyDescent="0.4">
      <c r="E67" s="16" t="s">
        <v>219</v>
      </c>
      <c r="F67" s="189" t="s">
        <v>222</v>
      </c>
      <c r="G67" s="189"/>
      <c r="H67" s="189"/>
      <c r="I67" s="9"/>
      <c r="K67" s="96" t="s">
        <v>546</v>
      </c>
      <c r="L67" s="96" t="s">
        <v>547</v>
      </c>
      <c r="M67" s="96"/>
      <c r="P67" s="10"/>
      <c r="Q67" s="60"/>
      <c r="R67" s="49" t="s">
        <v>426</v>
      </c>
      <c r="S67" s="49" t="s">
        <v>196</v>
      </c>
      <c r="T67" s="61"/>
      <c r="U67" s="61"/>
      <c r="V67" s="62"/>
      <c r="X67" s="12"/>
      <c r="Y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</row>
    <row r="68" spans="5:37" ht="24" customHeight="1" x14ac:dyDescent="0.35">
      <c r="E68" s="16" t="s">
        <v>220</v>
      </c>
      <c r="F68" s="189" t="s">
        <v>221</v>
      </c>
      <c r="G68" s="189"/>
      <c r="H68" s="189"/>
      <c r="I68" s="9"/>
      <c r="K68" s="96" t="s">
        <v>124</v>
      </c>
      <c r="L68" s="96" t="s">
        <v>548</v>
      </c>
      <c r="M68" s="96"/>
      <c r="P68" s="10"/>
      <c r="Q68" s="60"/>
      <c r="R68" s="63" t="s">
        <v>427</v>
      </c>
      <c r="S68" s="64" t="s">
        <v>439</v>
      </c>
      <c r="T68" s="61"/>
      <c r="U68" s="61"/>
      <c r="V68" s="62"/>
      <c r="X68" s="12"/>
      <c r="Y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</row>
    <row r="69" spans="5:37" x14ac:dyDescent="0.35">
      <c r="E69" s="16" t="s">
        <v>215</v>
      </c>
      <c r="F69" s="189" t="s">
        <v>223</v>
      </c>
      <c r="G69" s="189"/>
      <c r="H69" s="189"/>
      <c r="I69" s="9"/>
      <c r="K69" s="96" t="s">
        <v>549</v>
      </c>
      <c r="L69" s="96" t="s">
        <v>550</v>
      </c>
      <c r="M69" s="96"/>
      <c r="P69" s="10"/>
      <c r="Q69" s="60"/>
      <c r="R69" s="63" t="s">
        <v>428</v>
      </c>
      <c r="S69" s="64" t="s">
        <v>440</v>
      </c>
      <c r="T69" s="61"/>
      <c r="U69" s="61"/>
      <c r="V69" s="62"/>
      <c r="X69" s="12"/>
      <c r="Y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</row>
    <row r="70" spans="5:37" ht="21.75" customHeight="1" x14ac:dyDescent="0.35">
      <c r="K70" s="96" t="s">
        <v>551</v>
      </c>
      <c r="L70" s="96" t="s">
        <v>552</v>
      </c>
      <c r="M70" s="96"/>
      <c r="P70" s="10"/>
      <c r="Q70" s="60"/>
      <c r="R70" s="63" t="s">
        <v>429</v>
      </c>
      <c r="S70" s="64" t="s">
        <v>441</v>
      </c>
      <c r="T70" s="61"/>
      <c r="U70" s="61"/>
      <c r="V70" s="62"/>
      <c r="X70" s="12"/>
      <c r="Y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</row>
    <row r="71" spans="5:37" ht="21.75" customHeight="1" x14ac:dyDescent="0.35">
      <c r="G71" s="34" t="s">
        <v>598</v>
      </c>
      <c r="K71" s="96" t="s">
        <v>553</v>
      </c>
      <c r="L71" s="96" t="s">
        <v>554</v>
      </c>
      <c r="M71" s="96"/>
      <c r="P71" s="10"/>
      <c r="Q71" s="60"/>
      <c r="R71" s="63" t="s">
        <v>427</v>
      </c>
      <c r="S71" s="64" t="s">
        <v>442</v>
      </c>
      <c r="T71" s="61"/>
      <c r="U71" s="61"/>
      <c r="V71" s="62"/>
      <c r="X71" s="12"/>
      <c r="Y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</row>
    <row r="72" spans="5:37" ht="21.75" customHeight="1" x14ac:dyDescent="0.35">
      <c r="F72" s="98" t="s">
        <v>588</v>
      </c>
      <c r="G72" s="97" t="s">
        <v>589</v>
      </c>
      <c r="K72" s="96" t="s">
        <v>555</v>
      </c>
      <c r="L72" s="96" t="s">
        <v>556</v>
      </c>
      <c r="M72" s="96"/>
      <c r="P72" s="10"/>
      <c r="Q72" s="60"/>
      <c r="R72" s="63" t="s">
        <v>430</v>
      </c>
      <c r="S72" s="64" t="s">
        <v>443</v>
      </c>
      <c r="T72" s="61"/>
      <c r="U72" s="61"/>
      <c r="V72" s="62"/>
      <c r="X72" s="12"/>
      <c r="Y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</row>
    <row r="73" spans="5:37" ht="21.75" customHeight="1" x14ac:dyDescent="0.35">
      <c r="F73" s="98" t="s">
        <v>590</v>
      </c>
      <c r="G73" s="97" t="s">
        <v>591</v>
      </c>
      <c r="K73" s="96" t="s">
        <v>467</v>
      </c>
      <c r="L73" s="96" t="s">
        <v>557</v>
      </c>
      <c r="M73" s="96"/>
      <c r="P73" s="10"/>
      <c r="Q73" s="60"/>
      <c r="R73" s="63" t="s">
        <v>430</v>
      </c>
      <c r="S73" s="64" t="s">
        <v>444</v>
      </c>
      <c r="T73" s="61"/>
      <c r="U73" s="61"/>
      <c r="V73" s="62"/>
      <c r="X73" s="12"/>
      <c r="Y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</row>
    <row r="74" spans="5:37" ht="21.75" customHeight="1" x14ac:dyDescent="0.35">
      <c r="F74" s="98" t="s">
        <v>592</v>
      </c>
      <c r="G74" s="97" t="s">
        <v>593</v>
      </c>
      <c r="K74" s="96" t="s">
        <v>558</v>
      </c>
      <c r="L74" s="96" t="s">
        <v>559</v>
      </c>
      <c r="M74" s="96"/>
      <c r="P74" s="10"/>
      <c r="Q74" s="60"/>
      <c r="R74" s="63" t="s">
        <v>431</v>
      </c>
      <c r="S74" s="64" t="s">
        <v>445</v>
      </c>
      <c r="T74" s="61"/>
      <c r="U74" s="61"/>
      <c r="V74" s="62"/>
      <c r="X74" s="12"/>
      <c r="Y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</row>
    <row r="75" spans="5:37" ht="21.75" customHeight="1" x14ac:dyDescent="0.35">
      <c r="F75" s="98" t="s">
        <v>594</v>
      </c>
      <c r="G75" s="97" t="s">
        <v>595</v>
      </c>
      <c r="K75" s="96" t="s">
        <v>560</v>
      </c>
      <c r="L75" s="96" t="s">
        <v>561</v>
      </c>
      <c r="M75" s="96"/>
      <c r="P75" s="10"/>
      <c r="Q75" s="60"/>
      <c r="R75" s="63" t="s">
        <v>432</v>
      </c>
      <c r="S75" s="64" t="s">
        <v>446</v>
      </c>
      <c r="T75" s="61"/>
      <c r="U75" s="61"/>
      <c r="V75" s="62"/>
      <c r="X75" s="12"/>
      <c r="Y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</row>
    <row r="76" spans="5:37" ht="21.75" customHeight="1" x14ac:dyDescent="0.35">
      <c r="F76" s="98" t="s">
        <v>596</v>
      </c>
      <c r="G76" s="97" t="s">
        <v>597</v>
      </c>
      <c r="K76" s="96" t="s">
        <v>562</v>
      </c>
      <c r="L76" s="96" t="s">
        <v>563</v>
      </c>
      <c r="M76" s="96"/>
      <c r="P76" s="10"/>
      <c r="Q76" s="60"/>
      <c r="R76" s="63" t="s">
        <v>433</v>
      </c>
      <c r="S76" s="64" t="s">
        <v>447</v>
      </c>
      <c r="T76" s="61"/>
      <c r="U76" s="61"/>
      <c r="V76" s="62"/>
      <c r="X76" s="12"/>
      <c r="Y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</row>
    <row r="77" spans="5:37" ht="21.75" customHeight="1" x14ac:dyDescent="0.35">
      <c r="K77" s="96" t="s">
        <v>564</v>
      </c>
      <c r="L77" s="96" t="s">
        <v>565</v>
      </c>
      <c r="M77" s="96"/>
      <c r="P77" s="10"/>
      <c r="Q77" s="60"/>
      <c r="R77" s="63" t="s">
        <v>434</v>
      </c>
      <c r="S77" s="64" t="s">
        <v>448</v>
      </c>
      <c r="T77" s="61"/>
      <c r="U77" s="61"/>
      <c r="V77" s="62"/>
      <c r="X77" s="12"/>
      <c r="Y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</row>
    <row r="78" spans="5:37" ht="21.75" customHeight="1" x14ac:dyDescent="0.35">
      <c r="H78" s="31"/>
      <c r="I78" s="31"/>
      <c r="K78" s="96" t="s">
        <v>566</v>
      </c>
      <c r="L78" s="96" t="s">
        <v>567</v>
      </c>
      <c r="M78" s="96"/>
      <c r="P78" s="10"/>
      <c r="Q78" s="60"/>
      <c r="R78" s="63" t="s">
        <v>435</v>
      </c>
      <c r="S78" s="64" t="s">
        <v>449</v>
      </c>
      <c r="T78" s="61"/>
      <c r="U78" s="61"/>
      <c r="V78" s="62"/>
      <c r="X78" s="12"/>
      <c r="Y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</row>
    <row r="79" spans="5:37" ht="21.75" customHeight="1" x14ac:dyDescent="0.35">
      <c r="H79" s="31"/>
      <c r="I79" s="31"/>
      <c r="K79" s="96" t="s">
        <v>568</v>
      </c>
      <c r="L79" s="96" t="s">
        <v>569</v>
      </c>
      <c r="M79" s="96"/>
      <c r="P79" s="10"/>
      <c r="Q79" s="60"/>
      <c r="R79" s="63" t="s">
        <v>436</v>
      </c>
      <c r="S79" s="64" t="s">
        <v>450</v>
      </c>
      <c r="T79" s="61"/>
      <c r="U79" s="61"/>
      <c r="V79" s="62"/>
      <c r="X79" s="12"/>
      <c r="Y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</row>
    <row r="80" spans="5:37" ht="21.75" customHeight="1" x14ac:dyDescent="0.35">
      <c r="H80" s="31"/>
      <c r="I80" s="31"/>
      <c r="K80" s="96" t="s">
        <v>126</v>
      </c>
      <c r="L80" s="96" t="s">
        <v>570</v>
      </c>
      <c r="M80" s="96"/>
      <c r="P80" s="10"/>
      <c r="Q80" s="60"/>
      <c r="R80" s="63" t="s">
        <v>437</v>
      </c>
      <c r="S80" s="64" t="s">
        <v>451</v>
      </c>
      <c r="T80" s="61"/>
      <c r="U80" s="61"/>
      <c r="V80" s="62"/>
      <c r="X80" s="12"/>
      <c r="Y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</row>
    <row r="81" spans="8:37" ht="21.75" customHeight="1" x14ac:dyDescent="0.35">
      <c r="H81" s="31"/>
      <c r="I81" s="31"/>
      <c r="K81" s="96" t="s">
        <v>603</v>
      </c>
      <c r="L81" s="96" t="s">
        <v>571</v>
      </c>
      <c r="M81" s="96"/>
      <c r="P81" s="10"/>
      <c r="Q81" s="60"/>
      <c r="R81" s="63" t="s">
        <v>438</v>
      </c>
      <c r="S81" s="64" t="s">
        <v>452</v>
      </c>
      <c r="T81" s="61"/>
      <c r="U81" s="61"/>
      <c r="V81" s="62"/>
      <c r="X81" s="12"/>
      <c r="Y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</row>
    <row r="82" spans="8:37" ht="21.75" thickBot="1" x14ac:dyDescent="0.4">
      <c r="H82" s="31"/>
      <c r="I82" s="31"/>
      <c r="K82" s="96" t="s">
        <v>572</v>
      </c>
      <c r="L82" s="96" t="s">
        <v>573</v>
      </c>
      <c r="M82" s="96"/>
      <c r="P82" s="10"/>
      <c r="Q82" s="60"/>
      <c r="R82" s="65"/>
      <c r="S82" s="66"/>
      <c r="T82" s="61"/>
      <c r="U82" s="61"/>
      <c r="V82" s="62"/>
      <c r="X82" s="12"/>
      <c r="Y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</row>
    <row r="83" spans="8:37" ht="21.75" thickBot="1" x14ac:dyDescent="0.4">
      <c r="H83" s="31"/>
      <c r="I83" s="31"/>
      <c r="K83" s="96" t="s">
        <v>574</v>
      </c>
      <c r="L83" s="96" t="s">
        <v>575</v>
      </c>
      <c r="M83" s="96"/>
      <c r="P83" s="10"/>
      <c r="Q83" s="60"/>
      <c r="R83" s="49" t="s">
        <v>453</v>
      </c>
      <c r="S83" s="49" t="s">
        <v>196</v>
      </c>
      <c r="T83" s="61"/>
      <c r="U83" s="61"/>
      <c r="V83" s="62"/>
      <c r="X83" s="12"/>
      <c r="Y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</row>
    <row r="84" spans="8:37" x14ac:dyDescent="0.35">
      <c r="H84" s="31"/>
      <c r="I84" s="31"/>
      <c r="K84" s="96" t="s">
        <v>576</v>
      </c>
      <c r="L84" s="96" t="s">
        <v>577</v>
      </c>
      <c r="M84" s="96"/>
      <c r="P84" s="10"/>
      <c r="Q84" s="60"/>
      <c r="R84" s="63" t="s">
        <v>454</v>
      </c>
      <c r="S84" s="64" t="s">
        <v>459</v>
      </c>
      <c r="T84" s="61"/>
      <c r="U84" s="61"/>
      <c r="V84" s="62"/>
      <c r="X84" s="12"/>
      <c r="Y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</row>
    <row r="85" spans="8:37" x14ac:dyDescent="0.35">
      <c r="H85" s="31"/>
      <c r="I85" s="31"/>
      <c r="K85" s="96" t="s">
        <v>578</v>
      </c>
      <c r="L85" s="96" t="s">
        <v>579</v>
      </c>
      <c r="M85" s="96"/>
      <c r="P85" s="10"/>
      <c r="Q85" s="60"/>
      <c r="R85" s="63" t="s">
        <v>455</v>
      </c>
      <c r="S85" s="64" t="s">
        <v>396</v>
      </c>
      <c r="T85" s="61"/>
      <c r="U85" s="61"/>
      <c r="V85" s="62"/>
      <c r="X85" s="12"/>
      <c r="Y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</row>
    <row r="86" spans="8:37" x14ac:dyDescent="0.35">
      <c r="H86" s="31"/>
      <c r="I86" s="31"/>
      <c r="K86" s="96" t="s">
        <v>580</v>
      </c>
      <c r="L86" s="96" t="s">
        <v>581</v>
      </c>
      <c r="M86" s="96"/>
      <c r="P86" s="10"/>
      <c r="Q86" s="60"/>
      <c r="R86" s="63" t="s">
        <v>456</v>
      </c>
      <c r="S86" s="64" t="s">
        <v>460</v>
      </c>
      <c r="T86" s="61"/>
      <c r="U86" s="61"/>
      <c r="V86" s="62"/>
      <c r="X86" s="12"/>
      <c r="Y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</row>
    <row r="87" spans="8:37" x14ac:dyDescent="0.35">
      <c r="H87" s="31"/>
      <c r="I87" s="31"/>
      <c r="J87" s="31"/>
      <c r="K87" s="96" t="s">
        <v>582</v>
      </c>
      <c r="L87" s="96" t="s">
        <v>583</v>
      </c>
      <c r="M87" s="96"/>
      <c r="P87" s="10"/>
      <c r="Q87" s="60"/>
      <c r="R87" s="63" t="s">
        <v>457</v>
      </c>
      <c r="S87" s="64" t="s">
        <v>461</v>
      </c>
      <c r="T87" s="61"/>
      <c r="U87" s="61"/>
      <c r="V87" s="62"/>
      <c r="X87" s="12"/>
      <c r="Y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</row>
    <row r="88" spans="8:37" x14ac:dyDescent="0.35">
      <c r="H88" s="31"/>
      <c r="I88" s="31"/>
      <c r="J88" s="31"/>
      <c r="K88" s="96" t="s">
        <v>584</v>
      </c>
      <c r="L88" s="96" t="s">
        <v>585</v>
      </c>
      <c r="M88" s="96"/>
      <c r="P88" s="10"/>
      <c r="Q88" s="60"/>
      <c r="R88" s="63" t="s">
        <v>458</v>
      </c>
      <c r="S88" s="64" t="s">
        <v>462</v>
      </c>
      <c r="T88" s="61"/>
      <c r="U88" s="61"/>
      <c r="V88" s="62"/>
      <c r="X88" s="12"/>
      <c r="Y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</row>
    <row r="89" spans="8:37" ht="21.75" thickBot="1" x14ac:dyDescent="0.4">
      <c r="J89" s="31"/>
      <c r="K89" s="96" t="s">
        <v>586</v>
      </c>
      <c r="L89" s="96" t="s">
        <v>587</v>
      </c>
      <c r="M89" s="96"/>
      <c r="P89" s="10"/>
      <c r="Q89" s="67"/>
      <c r="R89" s="68"/>
      <c r="S89" s="69"/>
      <c r="T89" s="70"/>
      <c r="U89" s="70"/>
      <c r="V89" s="71"/>
      <c r="X89" s="12"/>
      <c r="Y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</row>
    <row r="90" spans="8:37" ht="33" customHeight="1" thickTop="1" thickBot="1" x14ac:dyDescent="0.4">
      <c r="K90" s="3" t="s">
        <v>599</v>
      </c>
      <c r="L90" s="3" t="s">
        <v>600</v>
      </c>
      <c r="P90" s="10"/>
      <c r="S90" s="42"/>
      <c r="X90" s="12"/>
      <c r="Y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</row>
    <row r="91" spans="8:37" ht="33" customHeight="1" thickBot="1" x14ac:dyDescent="0.4">
      <c r="K91" s="3" t="s">
        <v>601</v>
      </c>
      <c r="L91" s="3" t="s">
        <v>602</v>
      </c>
      <c r="P91" s="10"/>
      <c r="R91" s="74" t="s">
        <v>129</v>
      </c>
      <c r="S91" s="40"/>
      <c r="T91" s="9"/>
      <c r="V91" s="9"/>
      <c r="X91" s="12"/>
      <c r="Y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</row>
    <row r="92" spans="8:37" ht="33" customHeight="1" x14ac:dyDescent="0.35">
      <c r="K92" s="3" t="s">
        <v>605</v>
      </c>
      <c r="L92" s="3" t="s">
        <v>604</v>
      </c>
      <c r="P92" s="10"/>
      <c r="R92" s="16" t="s">
        <v>362</v>
      </c>
      <c r="S92" s="39" t="s">
        <v>130</v>
      </c>
      <c r="T92" s="9"/>
      <c r="V92" s="18" t="s">
        <v>210</v>
      </c>
      <c r="W92" s="3" t="s">
        <v>132</v>
      </c>
      <c r="X92" s="12"/>
      <c r="Y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</row>
    <row r="93" spans="8:37" ht="33" customHeight="1" x14ac:dyDescent="0.35">
      <c r="K93" s="3" t="s">
        <v>609</v>
      </c>
      <c r="L93" s="3" t="s">
        <v>610</v>
      </c>
      <c r="P93" s="10"/>
      <c r="R93" s="16" t="s">
        <v>363</v>
      </c>
      <c r="S93" s="39" t="s">
        <v>131</v>
      </c>
      <c r="T93" s="9"/>
      <c r="V93" s="18" t="s">
        <v>210</v>
      </c>
      <c r="W93" s="3" t="s">
        <v>132</v>
      </c>
      <c r="X93" s="12"/>
      <c r="Y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</row>
    <row r="94" spans="8:37" ht="33" customHeight="1" thickBot="1" x14ac:dyDescent="0.4">
      <c r="K94" s="3" t="s">
        <v>607</v>
      </c>
      <c r="L94" s="3" t="s">
        <v>606</v>
      </c>
      <c r="P94" s="10"/>
      <c r="S94" s="42"/>
      <c r="X94" s="12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</row>
    <row r="95" spans="8:37" ht="33" customHeight="1" thickBot="1" x14ac:dyDescent="0.4">
      <c r="K95" s="3" t="s">
        <v>608</v>
      </c>
      <c r="L95" s="3" t="s">
        <v>601</v>
      </c>
      <c r="P95" s="10"/>
      <c r="R95" s="49" t="s">
        <v>133</v>
      </c>
      <c r="S95" s="42"/>
      <c r="X95" s="12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</row>
    <row r="96" spans="8:37" x14ac:dyDescent="0.35">
      <c r="K96" s="3" t="s">
        <v>650</v>
      </c>
      <c r="L96" s="3" t="s">
        <v>651</v>
      </c>
      <c r="P96" s="10"/>
      <c r="R96" s="16" t="s">
        <v>364</v>
      </c>
      <c r="S96" s="39" t="s">
        <v>134</v>
      </c>
      <c r="T96" s="9"/>
      <c r="V96" s="18" t="s">
        <v>210</v>
      </c>
      <c r="W96" s="3" t="s">
        <v>132</v>
      </c>
      <c r="X96" s="12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</row>
    <row r="97" spans="7:37" ht="27.75" customHeight="1" x14ac:dyDescent="0.35">
      <c r="K97" s="3" t="s">
        <v>699</v>
      </c>
      <c r="L97" s="3" t="s">
        <v>698</v>
      </c>
      <c r="P97" s="10"/>
      <c r="R97" s="16" t="s">
        <v>365</v>
      </c>
      <c r="S97" s="39" t="s">
        <v>135</v>
      </c>
      <c r="T97" s="9"/>
      <c r="V97" s="18" t="s">
        <v>210</v>
      </c>
      <c r="W97" s="3" t="s">
        <v>132</v>
      </c>
      <c r="X97" s="12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</row>
    <row r="98" spans="7:37" ht="27.75" customHeight="1" x14ac:dyDescent="0.35">
      <c r="G98" s="42" t="s">
        <v>720</v>
      </c>
      <c r="K98" s="3" t="s">
        <v>725</v>
      </c>
      <c r="L98" s="3" t="s">
        <v>724</v>
      </c>
      <c r="P98" s="10"/>
      <c r="R98" s="16" t="s">
        <v>366</v>
      </c>
      <c r="S98" s="39" t="s">
        <v>136</v>
      </c>
      <c r="T98" s="9"/>
      <c r="V98" s="18" t="s">
        <v>209</v>
      </c>
      <c r="W98" s="44">
        <v>0.16</v>
      </c>
      <c r="X98" s="12"/>
      <c r="Y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</row>
    <row r="99" spans="7:37" ht="27.75" customHeight="1" thickBot="1" x14ac:dyDescent="0.4">
      <c r="P99" s="10"/>
      <c r="R99" s="9"/>
      <c r="S99" s="42"/>
      <c r="X99" s="12"/>
      <c r="Y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</row>
    <row r="100" spans="7:37" ht="21.75" thickBot="1" x14ac:dyDescent="0.4">
      <c r="P100" s="10"/>
      <c r="Q100" s="9"/>
      <c r="R100" s="75" t="s">
        <v>195</v>
      </c>
      <c r="S100" s="40"/>
      <c r="T100" s="9"/>
      <c r="V100" s="9"/>
      <c r="W100" s="9"/>
      <c r="X100" s="12"/>
      <c r="Y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</row>
    <row r="101" spans="7:37" x14ac:dyDescent="0.35">
      <c r="P101" s="10"/>
      <c r="Q101" s="185" t="s">
        <v>345</v>
      </c>
      <c r="R101" s="16" t="s">
        <v>339</v>
      </c>
      <c r="S101" s="43" t="s">
        <v>97</v>
      </c>
      <c r="T101" s="9"/>
      <c r="V101" s="18" t="s">
        <v>209</v>
      </c>
      <c r="W101" s="44">
        <v>0.16</v>
      </c>
      <c r="Z101" s="10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</row>
    <row r="102" spans="7:37" x14ac:dyDescent="0.35">
      <c r="P102" s="10"/>
      <c r="Q102" s="185"/>
      <c r="R102" s="16" t="s">
        <v>340</v>
      </c>
      <c r="S102" s="39" t="s">
        <v>99</v>
      </c>
      <c r="T102" s="39" t="s">
        <v>376</v>
      </c>
      <c r="V102" s="18" t="s">
        <v>382</v>
      </c>
      <c r="W102" s="44">
        <v>0.16</v>
      </c>
      <c r="Z102" s="10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</row>
    <row r="103" spans="7:37" x14ac:dyDescent="0.35">
      <c r="P103" s="10"/>
      <c r="Q103" s="185"/>
      <c r="R103" s="16" t="s">
        <v>341</v>
      </c>
      <c r="S103" s="39" t="s">
        <v>96</v>
      </c>
      <c r="T103" s="9"/>
      <c r="V103" s="18" t="s">
        <v>209</v>
      </c>
      <c r="W103" s="44">
        <v>0.16</v>
      </c>
      <c r="Z103" s="10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</row>
    <row r="104" spans="7:37" x14ac:dyDescent="0.35">
      <c r="P104" s="10"/>
      <c r="Q104" s="185" t="s">
        <v>346</v>
      </c>
      <c r="R104" s="16" t="s">
        <v>342</v>
      </c>
      <c r="S104" s="39" t="s">
        <v>98</v>
      </c>
      <c r="T104" s="9"/>
      <c r="V104" s="18" t="s">
        <v>209</v>
      </c>
      <c r="W104" s="44">
        <v>0.16</v>
      </c>
      <c r="Z104" s="10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</row>
    <row r="105" spans="7:37" x14ac:dyDescent="0.35">
      <c r="P105" s="10"/>
      <c r="Q105" s="185"/>
      <c r="R105" s="16" t="s">
        <v>343</v>
      </c>
      <c r="S105" s="39" t="s">
        <v>100</v>
      </c>
      <c r="T105" s="9"/>
      <c r="V105" s="18" t="s">
        <v>209</v>
      </c>
      <c r="W105" s="44">
        <v>0.16</v>
      </c>
      <c r="Z105" s="10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</row>
    <row r="106" spans="7:37" x14ac:dyDescent="0.35">
      <c r="P106" s="10"/>
      <c r="Q106" s="185"/>
      <c r="R106" s="16" t="s">
        <v>344</v>
      </c>
      <c r="S106" s="39" t="s">
        <v>101</v>
      </c>
      <c r="T106" s="9"/>
      <c r="V106" s="18" t="s">
        <v>209</v>
      </c>
      <c r="W106" s="44">
        <v>0.16</v>
      </c>
      <c r="Z106" s="10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</row>
    <row r="107" spans="7:37" ht="21.75" thickBot="1" x14ac:dyDescent="0.4">
      <c r="P107" s="10"/>
      <c r="Q107" s="9"/>
      <c r="R107" s="9"/>
      <c r="S107" s="40"/>
      <c r="T107" s="9"/>
      <c r="V107" s="9"/>
      <c r="W107" s="9"/>
      <c r="Z107" s="10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</row>
    <row r="108" spans="7:37" ht="21.75" thickBot="1" x14ac:dyDescent="0.4">
      <c r="P108" s="10"/>
      <c r="Q108" s="9"/>
      <c r="R108" s="75" t="s">
        <v>212</v>
      </c>
      <c r="S108" s="40"/>
      <c r="T108" s="9"/>
      <c r="V108" s="9"/>
      <c r="W108" s="9"/>
      <c r="Z108" s="10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</row>
    <row r="109" spans="7:37" x14ac:dyDescent="0.35">
      <c r="P109" s="10"/>
      <c r="R109" s="16" t="s">
        <v>367</v>
      </c>
      <c r="S109" s="39" t="s">
        <v>193</v>
      </c>
      <c r="T109" s="9"/>
      <c r="V109" s="18" t="s">
        <v>210</v>
      </c>
      <c r="W109" s="3" t="s">
        <v>132</v>
      </c>
      <c r="Z109" s="10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</row>
    <row r="110" spans="7:37" x14ac:dyDescent="0.35">
      <c r="P110" s="10"/>
      <c r="R110" s="16" t="s">
        <v>368</v>
      </c>
      <c r="S110" s="39" t="s">
        <v>192</v>
      </c>
      <c r="T110" s="9"/>
      <c r="V110" s="18" t="s">
        <v>210</v>
      </c>
      <c r="W110" s="3" t="s">
        <v>132</v>
      </c>
      <c r="Z110" s="10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</row>
    <row r="111" spans="7:37" x14ac:dyDescent="0.35">
      <c r="P111" s="10"/>
      <c r="R111" s="16" t="s">
        <v>369</v>
      </c>
      <c r="S111" s="39" t="s">
        <v>211</v>
      </c>
      <c r="T111" s="9"/>
      <c r="V111" s="18" t="s">
        <v>210</v>
      </c>
      <c r="W111" s="3" t="s">
        <v>132</v>
      </c>
      <c r="Z111" s="10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</row>
    <row r="112" spans="7:37" x14ac:dyDescent="0.35">
      <c r="P112" s="10"/>
      <c r="R112" s="45"/>
      <c r="S112" s="40"/>
      <c r="T112" s="9"/>
      <c r="V112" s="46"/>
      <c r="Z112" s="10"/>
    </row>
    <row r="113" spans="16:37" ht="21.75" thickBot="1" x14ac:dyDescent="0.4">
      <c r="P113" s="26"/>
      <c r="Q113" s="29"/>
      <c r="R113" s="29"/>
      <c r="S113" s="29"/>
      <c r="T113" s="29"/>
      <c r="U113" s="29"/>
      <c r="V113" s="29"/>
      <c r="W113" s="29"/>
      <c r="X113" s="29"/>
      <c r="Y113" s="11"/>
      <c r="Z113" s="10"/>
    </row>
    <row r="114" spans="16:37" ht="21.75" thickTop="1" x14ac:dyDescent="0.35"/>
    <row r="115" spans="16:37" ht="21.75" thickBot="1" x14ac:dyDescent="0.4"/>
    <row r="116" spans="16:37" ht="21.75" thickBot="1" x14ac:dyDescent="0.4">
      <c r="R116" s="75" t="s">
        <v>137</v>
      </c>
      <c r="S116" s="75" t="s">
        <v>174</v>
      </c>
      <c r="T116" s="75" t="s">
        <v>175</v>
      </c>
      <c r="U116" s="75" t="s">
        <v>176</v>
      </c>
      <c r="V116" s="75" t="s">
        <v>177</v>
      </c>
      <c r="W116" s="75" t="s">
        <v>178</v>
      </c>
      <c r="X116" s="75" t="s">
        <v>179</v>
      </c>
      <c r="Y116" s="75"/>
      <c r="Z116" s="76" t="s">
        <v>388</v>
      </c>
      <c r="AA116" s="76" t="s">
        <v>389</v>
      </c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</row>
    <row r="117" spans="16:37" x14ac:dyDescent="0.35">
      <c r="R117" s="21" t="s">
        <v>227</v>
      </c>
      <c r="S117" s="25" t="s">
        <v>138</v>
      </c>
      <c r="T117" s="25" t="s">
        <v>139</v>
      </c>
      <c r="U117" s="25" t="s">
        <v>140</v>
      </c>
      <c r="V117" s="25" t="s">
        <v>141</v>
      </c>
      <c r="W117" s="25" t="s">
        <v>142</v>
      </c>
      <c r="X117" s="25" t="s">
        <v>143</v>
      </c>
      <c r="Y117" s="25"/>
      <c r="Z117" s="25" t="s">
        <v>132</v>
      </c>
      <c r="AA117" s="25" t="s">
        <v>132</v>
      </c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</row>
    <row r="118" spans="16:37" x14ac:dyDescent="0.35">
      <c r="R118" s="21" t="s">
        <v>228</v>
      </c>
      <c r="S118" s="25" t="s">
        <v>144</v>
      </c>
      <c r="T118" s="25" t="s">
        <v>145</v>
      </c>
      <c r="U118" s="25" t="s">
        <v>146</v>
      </c>
      <c r="V118" s="25" t="s">
        <v>147</v>
      </c>
      <c r="W118" s="25" t="s">
        <v>148</v>
      </c>
      <c r="X118" s="25" t="s">
        <v>149</v>
      </c>
      <c r="Y118" s="25"/>
      <c r="Z118" s="25" t="s">
        <v>132</v>
      </c>
      <c r="AA118" s="25" t="s">
        <v>132</v>
      </c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</row>
    <row r="119" spans="16:37" x14ac:dyDescent="0.35">
      <c r="R119" s="21" t="s">
        <v>229</v>
      </c>
      <c r="S119" s="25" t="s">
        <v>150</v>
      </c>
      <c r="T119" s="25" t="s">
        <v>151</v>
      </c>
      <c r="U119" s="25" t="s">
        <v>152</v>
      </c>
      <c r="V119" s="25" t="s">
        <v>153</v>
      </c>
      <c r="W119" s="25" t="s">
        <v>154</v>
      </c>
      <c r="X119" s="25" t="s">
        <v>155</v>
      </c>
      <c r="Y119" s="25"/>
      <c r="Z119" s="25" t="s">
        <v>132</v>
      </c>
      <c r="AA119" s="25" t="s">
        <v>132</v>
      </c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</row>
    <row r="120" spans="16:37" x14ac:dyDescent="0.35">
      <c r="R120" s="21" t="s">
        <v>230</v>
      </c>
      <c r="S120" s="25" t="s">
        <v>156</v>
      </c>
      <c r="T120" s="25" t="s">
        <v>157</v>
      </c>
      <c r="U120" s="25" t="s">
        <v>158</v>
      </c>
      <c r="V120" s="25" t="s">
        <v>159</v>
      </c>
      <c r="W120" s="25" t="s">
        <v>160</v>
      </c>
      <c r="X120" s="25" t="s">
        <v>161</v>
      </c>
      <c r="Y120" s="25"/>
      <c r="Z120" s="25" t="s">
        <v>132</v>
      </c>
      <c r="AA120" s="25" t="s">
        <v>132</v>
      </c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</row>
    <row r="121" spans="16:37" x14ac:dyDescent="0.35">
      <c r="R121" s="21" t="s">
        <v>231</v>
      </c>
      <c r="S121" s="25" t="s">
        <v>162</v>
      </c>
      <c r="T121" s="25" t="s">
        <v>163</v>
      </c>
      <c r="U121" s="25" t="s">
        <v>164</v>
      </c>
      <c r="V121" s="25" t="s">
        <v>165</v>
      </c>
      <c r="W121" s="25" t="s">
        <v>166</v>
      </c>
      <c r="X121" s="25" t="s">
        <v>167</v>
      </c>
      <c r="Y121" s="25"/>
      <c r="Z121" s="25" t="s">
        <v>132</v>
      </c>
      <c r="AA121" s="25" t="s">
        <v>132</v>
      </c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</row>
    <row r="122" spans="16:37" x14ac:dyDescent="0.35">
      <c r="R122" s="21" t="s">
        <v>232</v>
      </c>
      <c r="S122" s="25" t="s">
        <v>168</v>
      </c>
      <c r="T122" s="25" t="s">
        <v>169</v>
      </c>
      <c r="U122" s="25" t="s">
        <v>170</v>
      </c>
      <c r="V122" s="25" t="s">
        <v>171</v>
      </c>
      <c r="W122" s="25" t="s">
        <v>172</v>
      </c>
      <c r="X122" s="25" t="s">
        <v>173</v>
      </c>
      <c r="Y122" s="25"/>
      <c r="Z122" s="25" t="s">
        <v>132</v>
      </c>
      <c r="AA122" s="25" t="s">
        <v>132</v>
      </c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</row>
    <row r="123" spans="16:37" x14ac:dyDescent="0.35">
      <c r="R123" s="33" t="s">
        <v>180</v>
      </c>
      <c r="S123" s="17" t="s">
        <v>181</v>
      </c>
      <c r="T123" s="17" t="s">
        <v>182</v>
      </c>
      <c r="U123" s="17" t="s">
        <v>132</v>
      </c>
      <c r="V123" s="17" t="s">
        <v>132</v>
      </c>
      <c r="W123" s="17" t="s">
        <v>132</v>
      </c>
      <c r="X123" s="17" t="s">
        <v>132</v>
      </c>
      <c r="Y123" s="84"/>
      <c r="Z123" s="25" t="s">
        <v>132</v>
      </c>
      <c r="AA123" s="25" t="s">
        <v>132</v>
      </c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</row>
    <row r="124" spans="16:37" x14ac:dyDescent="0.35">
      <c r="R124" s="33" t="s">
        <v>233</v>
      </c>
      <c r="S124" s="35" t="s">
        <v>132</v>
      </c>
      <c r="T124" s="35" t="s">
        <v>132</v>
      </c>
      <c r="U124" s="35" t="s">
        <v>132</v>
      </c>
      <c r="V124" s="35" t="s">
        <v>132</v>
      </c>
      <c r="W124" s="35" t="s">
        <v>235</v>
      </c>
      <c r="X124" s="35" t="s">
        <v>234</v>
      </c>
      <c r="Y124" s="84"/>
      <c r="Z124" s="25" t="s">
        <v>132</v>
      </c>
      <c r="AA124" s="25" t="s">
        <v>132</v>
      </c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</row>
    <row r="125" spans="16:37" x14ac:dyDescent="0.35">
      <c r="R125" s="34"/>
    </row>
    <row r="126" spans="16:37" x14ac:dyDescent="0.35">
      <c r="R126" s="33" t="s">
        <v>191</v>
      </c>
      <c r="S126" s="25" t="s">
        <v>132</v>
      </c>
      <c r="T126" s="25" t="s">
        <v>132</v>
      </c>
      <c r="U126" s="25" t="s">
        <v>132</v>
      </c>
      <c r="V126" s="25" t="s">
        <v>132</v>
      </c>
      <c r="W126" s="25" t="s">
        <v>132</v>
      </c>
      <c r="X126" s="25" t="s">
        <v>132</v>
      </c>
      <c r="Y126" s="25"/>
      <c r="Z126" s="33" t="s">
        <v>190</v>
      </c>
      <c r="AA126" s="21" t="s">
        <v>387</v>
      </c>
      <c r="AB126" s="87"/>
      <c r="AC126" s="87"/>
      <c r="AD126" s="87"/>
      <c r="AE126" s="87"/>
      <c r="AF126" s="87"/>
      <c r="AG126" s="87"/>
      <c r="AH126" s="87"/>
      <c r="AI126" s="87"/>
      <c r="AJ126" s="87"/>
      <c r="AK126" s="87"/>
    </row>
    <row r="127" spans="16:37" x14ac:dyDescent="0.35">
      <c r="R127" s="82" t="s">
        <v>224</v>
      </c>
      <c r="S127" s="82"/>
      <c r="T127" s="82"/>
      <c r="U127" s="82"/>
      <c r="V127" s="82"/>
      <c r="W127" s="82"/>
      <c r="X127" s="82"/>
      <c r="Y127" s="82"/>
      <c r="Z127" s="82"/>
    </row>
    <row r="128" spans="16:37" x14ac:dyDescent="0.35"/>
  </sheetData>
  <mergeCells count="59">
    <mergeCell ref="F69:H69"/>
    <mergeCell ref="AA7:AB7"/>
    <mergeCell ref="AD7:AE7"/>
    <mergeCell ref="AA18:AB18"/>
    <mergeCell ref="Q12:Q14"/>
    <mergeCell ref="Q42:Q45"/>
    <mergeCell ref="Q37:Q41"/>
    <mergeCell ref="R7:U7"/>
    <mergeCell ref="Q30:Q32"/>
    <mergeCell ref="Q15:Q17"/>
    <mergeCell ref="E65:H65"/>
    <mergeCell ref="F66:H66"/>
    <mergeCell ref="F67:H67"/>
    <mergeCell ref="F68:H68"/>
    <mergeCell ref="E57:G57"/>
    <mergeCell ref="Q104:Q106"/>
    <mergeCell ref="Q33:Q34"/>
    <mergeCell ref="Q21:Q23"/>
    <mergeCell ref="Q24:Q26"/>
    <mergeCell ref="Q27:Q29"/>
    <mergeCell ref="Q101:Q103"/>
    <mergeCell ref="C46:C47"/>
    <mergeCell ref="C48:C53"/>
    <mergeCell ref="J36:L36"/>
    <mergeCell ref="J39:L39"/>
    <mergeCell ref="E7:L7"/>
    <mergeCell ref="E36:E37"/>
    <mergeCell ref="E38:E39"/>
    <mergeCell ref="E32:E33"/>
    <mergeCell ref="E9:G9"/>
    <mergeCell ref="H8:L8"/>
    <mergeCell ref="J9:L9"/>
    <mergeCell ref="J16:J18"/>
    <mergeCell ref="J25:J27"/>
    <mergeCell ref="J29:J31"/>
    <mergeCell ref="J13:J15"/>
    <mergeCell ref="E12:E13"/>
    <mergeCell ref="C34:C35"/>
    <mergeCell ref="C36:C37"/>
    <mergeCell ref="E34:E35"/>
    <mergeCell ref="E40:E45"/>
    <mergeCell ref="C38:C39"/>
    <mergeCell ref="C40:C45"/>
    <mergeCell ref="C12:C13"/>
    <mergeCell ref="C14:C19"/>
    <mergeCell ref="C20:C25"/>
    <mergeCell ref="C54:C55"/>
    <mergeCell ref="E48:E53"/>
    <mergeCell ref="E14:E19"/>
    <mergeCell ref="E20:E25"/>
    <mergeCell ref="E26:E27"/>
    <mergeCell ref="E28:E29"/>
    <mergeCell ref="E30:E31"/>
    <mergeCell ref="C26:C27"/>
    <mergeCell ref="C28:C29"/>
    <mergeCell ref="C30:C31"/>
    <mergeCell ref="E54:E55"/>
    <mergeCell ref="E46:E47"/>
    <mergeCell ref="C32:C33"/>
  </mergeCells>
  <printOptions horizontalCentered="1" verticalCentered="1"/>
  <pageMargins left="0.19685039370078741" right="0.19685039370078741" top="0.19685039370078741" bottom="0.19685039370078741" header="0.19685039370078741" footer="0.19685039370078741"/>
  <pageSetup paperSize="9" scale="30" fitToWidth="6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6" tint="-0.249977111117893"/>
  </sheetPr>
  <dimension ref="A1:T35"/>
  <sheetViews>
    <sheetView showRowColHeaders="0" workbookViewId="0">
      <selection activeCell="I21" sqref="I21:L21"/>
    </sheetView>
  </sheetViews>
  <sheetFormatPr baseColWidth="10" defaultColWidth="0" defaultRowHeight="15" zeroHeight="1" x14ac:dyDescent="0.25"/>
  <cols>
    <col min="1" max="15" width="11.42578125" style="150" customWidth="1"/>
    <col min="16" max="16" width="54.5703125" style="116" hidden="1"/>
    <col min="17" max="17" width="17.140625" style="116" hidden="1"/>
    <col min="18" max="18" width="16.140625" style="116" hidden="1"/>
    <col min="19" max="16384" width="11.42578125" style="116" hidden="1"/>
  </cols>
  <sheetData>
    <row r="1" spans="1:20" x14ac:dyDescent="0.25">
      <c r="A1" s="141"/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20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1:20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</row>
    <row r="4" spans="1:20" x14ac:dyDescent="0.25">
      <c r="A4" s="124"/>
      <c r="B4" s="124"/>
      <c r="C4" s="124"/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</row>
    <row r="5" spans="1:20" x14ac:dyDescent="0.25">
      <c r="A5" s="124"/>
      <c r="B5" s="124"/>
      <c r="C5" s="124"/>
      <c r="D5" s="124"/>
      <c r="E5" s="200" t="s">
        <v>696</v>
      </c>
      <c r="F5" s="200"/>
      <c r="G5" s="200"/>
      <c r="H5" s="200"/>
      <c r="I5" s="200"/>
      <c r="J5" s="200"/>
      <c r="K5" s="124"/>
      <c r="L5" s="124"/>
      <c r="M5" s="124"/>
      <c r="N5" s="124"/>
      <c r="O5" s="124"/>
      <c r="Q5" s="117"/>
    </row>
    <row r="6" spans="1:20" x14ac:dyDescent="0.25">
      <c r="A6" s="124"/>
      <c r="B6" s="124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0" t="s">
        <v>661</v>
      </c>
      <c r="Q6" s="120" t="s">
        <v>662</v>
      </c>
      <c r="R6" s="120" t="s">
        <v>663</v>
      </c>
    </row>
    <row r="7" spans="1:20" x14ac:dyDescent="0.25">
      <c r="A7" s="124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18" t="s">
        <v>749</v>
      </c>
      <c r="Q7" s="118">
        <v>135700</v>
      </c>
      <c r="R7" s="119">
        <v>114033.61344537816</v>
      </c>
      <c r="T7" s="117">
        <f>I10*M9</f>
        <v>8403.361344537816</v>
      </c>
    </row>
    <row r="8" spans="1:20" x14ac:dyDescent="0.25">
      <c r="A8" s="124"/>
      <c r="B8" s="124"/>
      <c r="C8" s="124"/>
      <c r="D8" s="124"/>
      <c r="E8" s="124"/>
      <c r="F8" s="124"/>
      <c r="G8" s="124"/>
      <c r="H8" s="125">
        <v>5</v>
      </c>
      <c r="I8" s="124"/>
      <c r="J8" s="124"/>
      <c r="K8" s="124"/>
      <c r="L8" s="124"/>
      <c r="M8" s="124" t="s">
        <v>688</v>
      </c>
      <c r="N8" s="124"/>
      <c r="O8" s="124"/>
      <c r="P8" s="118" t="s">
        <v>750</v>
      </c>
      <c r="Q8" s="118">
        <v>22700</v>
      </c>
      <c r="R8" s="119">
        <v>19075.63025210084</v>
      </c>
    </row>
    <row r="9" spans="1:20" x14ac:dyDescent="0.25">
      <c r="A9" s="124"/>
      <c r="B9" s="124"/>
      <c r="C9" s="124"/>
      <c r="D9" s="124"/>
      <c r="E9" s="124"/>
      <c r="F9" s="124"/>
      <c r="G9" s="124"/>
      <c r="H9" s="124"/>
      <c r="I9" s="200" t="str">
        <f>IF(H8=28,"VALOR/MES","VALOR UNIDAD")</f>
        <v>VALOR UNIDAD</v>
      </c>
      <c r="J9" s="200"/>
      <c r="K9" s="124"/>
      <c r="L9" s="124"/>
      <c r="M9" s="200">
        <v>1</v>
      </c>
      <c r="N9" s="124"/>
      <c r="O9" s="124"/>
      <c r="P9" s="118" t="s">
        <v>664</v>
      </c>
      <c r="Q9" s="118">
        <v>65900</v>
      </c>
      <c r="R9" s="119">
        <v>55378.151260504201</v>
      </c>
    </row>
    <row r="10" spans="1:20" x14ac:dyDescent="0.25">
      <c r="A10" s="124"/>
      <c r="B10" s="124"/>
      <c r="C10" s="124"/>
      <c r="D10" s="124"/>
      <c r="E10" s="124"/>
      <c r="F10" s="124"/>
      <c r="G10" s="124"/>
      <c r="H10" s="124"/>
      <c r="I10" s="204">
        <f>INDEX(Q7:R34,H8,2)</f>
        <v>8403.361344537816</v>
      </c>
      <c r="J10" s="204"/>
      <c r="K10" s="124"/>
      <c r="L10" s="124"/>
      <c r="M10" s="200"/>
      <c r="N10" s="124"/>
      <c r="O10" s="124"/>
      <c r="P10" s="118" t="s">
        <v>665</v>
      </c>
      <c r="Q10" s="118">
        <v>133400</v>
      </c>
      <c r="R10" s="119">
        <v>112100.84033613445</v>
      </c>
    </row>
    <row r="11" spans="1:20" x14ac:dyDescent="0.25">
      <c r="A11" s="124"/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18" t="s">
        <v>666</v>
      </c>
      <c r="Q11" s="118">
        <v>10000</v>
      </c>
      <c r="R11" s="119">
        <v>8403.361344537816</v>
      </c>
    </row>
    <row r="12" spans="1:20" x14ac:dyDescent="0.25">
      <c r="A12" s="124"/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18" t="s">
        <v>667</v>
      </c>
      <c r="Q12" s="118">
        <v>149400</v>
      </c>
      <c r="R12" s="119">
        <v>125546.21848739496</v>
      </c>
    </row>
    <row r="13" spans="1:20" x14ac:dyDescent="0.25">
      <c r="A13" s="124"/>
      <c r="B13" s="124"/>
      <c r="C13" s="124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18" t="s">
        <v>668</v>
      </c>
      <c r="Q13" s="118">
        <v>300200</v>
      </c>
      <c r="R13" s="119">
        <v>252268.90756302522</v>
      </c>
    </row>
    <row r="14" spans="1:20" x14ac:dyDescent="0.25">
      <c r="A14" s="124"/>
      <c r="B14" s="124"/>
      <c r="C14" s="124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18" t="s">
        <v>669</v>
      </c>
      <c r="Q14" s="118">
        <v>686100</v>
      </c>
      <c r="R14" s="119">
        <v>576554.62184873957</v>
      </c>
    </row>
    <row r="15" spans="1:20" x14ac:dyDescent="0.25">
      <c r="A15" s="124"/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18" t="s">
        <v>670</v>
      </c>
      <c r="Q15" s="118">
        <v>354000</v>
      </c>
      <c r="R15" s="119">
        <v>297478.99159663869</v>
      </c>
    </row>
    <row r="16" spans="1:20" x14ac:dyDescent="0.25">
      <c r="A16" s="124"/>
      <c r="B16" s="124"/>
      <c r="C16" s="124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18" t="s">
        <v>671</v>
      </c>
      <c r="Q16" s="118">
        <v>206200</v>
      </c>
      <c r="R16" s="119">
        <v>173277.31092436975</v>
      </c>
    </row>
    <row r="17" spans="1:18" x14ac:dyDescent="0.25">
      <c r="A17" s="124"/>
      <c r="B17" s="124"/>
      <c r="C17" s="124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18" t="s">
        <v>672</v>
      </c>
      <c r="Q17" s="118">
        <v>38000</v>
      </c>
      <c r="R17" s="119">
        <v>31932.773109243699</v>
      </c>
    </row>
    <row r="18" spans="1:18" x14ac:dyDescent="0.25">
      <c r="A18" s="124"/>
      <c r="B18" s="124"/>
      <c r="C18" s="124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18" t="s">
        <v>673</v>
      </c>
      <c r="Q18" s="118">
        <v>32900</v>
      </c>
      <c r="R18" s="119">
        <v>27647.058823529413</v>
      </c>
    </row>
    <row r="19" spans="1:18" x14ac:dyDescent="0.25">
      <c r="A19" s="124"/>
      <c r="B19" s="124"/>
      <c r="C19" s="124"/>
      <c r="D19" s="124"/>
      <c r="E19" s="124"/>
      <c r="F19" s="124"/>
      <c r="G19" s="124"/>
      <c r="H19" s="124"/>
      <c r="I19" s="200" t="s">
        <v>660</v>
      </c>
      <c r="J19" s="200"/>
      <c r="K19" s="200"/>
      <c r="L19" s="200"/>
      <c r="M19" s="124"/>
      <c r="N19" s="124"/>
      <c r="O19" s="124"/>
      <c r="P19" s="118" t="s">
        <v>674</v>
      </c>
      <c r="Q19" s="118">
        <v>148900</v>
      </c>
      <c r="R19" s="119">
        <v>125126.05042016807</v>
      </c>
    </row>
    <row r="20" spans="1:18" ht="15.75" thickBot="1" x14ac:dyDescent="0.3">
      <c r="A20" s="124"/>
      <c r="B20" s="124"/>
      <c r="C20" s="124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18" t="s">
        <v>682</v>
      </c>
      <c r="Q20" s="118">
        <v>259900</v>
      </c>
      <c r="R20" s="119">
        <v>218403.36134453781</v>
      </c>
    </row>
    <row r="21" spans="1:18" ht="15.75" thickBot="1" x14ac:dyDescent="0.3">
      <c r="A21" s="124"/>
      <c r="B21" s="124"/>
      <c r="C21" s="124"/>
      <c r="D21" s="124"/>
      <c r="E21" s="124"/>
      <c r="F21" s="124"/>
      <c r="G21" s="124"/>
      <c r="H21" s="124"/>
      <c r="I21" s="201">
        <f>SUM(Hoja5!C5:C9)</f>
        <v>0</v>
      </c>
      <c r="J21" s="202"/>
      <c r="K21" s="202"/>
      <c r="L21" s="203"/>
      <c r="M21" s="124" t="str">
        <f>IF(H8=28,"AMP","EQP")</f>
        <v>EQP</v>
      </c>
      <c r="N21" s="124"/>
      <c r="O21" s="124"/>
      <c r="P21" s="118" t="s">
        <v>675</v>
      </c>
      <c r="Q21" s="118">
        <v>141600</v>
      </c>
      <c r="R21" s="119">
        <v>118991.59663865546</v>
      </c>
    </row>
    <row r="22" spans="1:18" x14ac:dyDescent="0.25">
      <c r="A22" s="124"/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18" t="s">
        <v>676</v>
      </c>
      <c r="Q22" s="118">
        <v>202000</v>
      </c>
      <c r="R22" s="119">
        <v>169747.89915966388</v>
      </c>
    </row>
    <row r="23" spans="1:18" x14ac:dyDescent="0.25">
      <c r="A23" s="124"/>
      <c r="B23" s="124"/>
      <c r="C23" s="124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18" t="s">
        <v>677</v>
      </c>
      <c r="Q23" s="118">
        <v>374100</v>
      </c>
      <c r="R23" s="119">
        <v>314369.74789915967</v>
      </c>
    </row>
    <row r="24" spans="1:18" x14ac:dyDescent="0.25">
      <c r="A24" s="124"/>
      <c r="B24" s="124"/>
      <c r="C24" s="124"/>
      <c r="D24" s="124"/>
      <c r="E24" s="124"/>
      <c r="F24" s="124"/>
      <c r="G24" s="124"/>
      <c r="H24" s="132" t="s">
        <v>690</v>
      </c>
      <c r="I24" s="132" t="s">
        <v>688</v>
      </c>
      <c r="J24" s="132" t="s">
        <v>689</v>
      </c>
      <c r="K24" s="132" t="s">
        <v>691</v>
      </c>
      <c r="L24" s="133"/>
      <c r="M24" s="124"/>
      <c r="N24" s="124"/>
      <c r="O24" s="124"/>
      <c r="P24" s="118" t="s">
        <v>678</v>
      </c>
      <c r="Q24" s="118">
        <v>1011500</v>
      </c>
      <c r="R24" s="119">
        <v>850000</v>
      </c>
    </row>
    <row r="25" spans="1:18" x14ac:dyDescent="0.25">
      <c r="A25" s="124"/>
      <c r="B25" s="124"/>
      <c r="C25" s="124"/>
      <c r="D25" s="124"/>
      <c r="E25" s="124"/>
      <c r="F25" s="124"/>
      <c r="G25" s="124"/>
      <c r="H25" s="132">
        <v>8000</v>
      </c>
      <c r="I25" s="132">
        <v>1</v>
      </c>
      <c r="J25" s="132">
        <f>H25*I25</f>
        <v>8000</v>
      </c>
      <c r="K25" s="132" t="s">
        <v>610</v>
      </c>
      <c r="L25" s="133"/>
      <c r="M25" s="124"/>
      <c r="N25" s="124"/>
      <c r="O25" s="124"/>
      <c r="P25" s="118" t="s">
        <v>683</v>
      </c>
      <c r="Q25" s="118">
        <v>188000</v>
      </c>
      <c r="R25" s="119">
        <v>157983.19327731093</v>
      </c>
    </row>
    <row r="26" spans="1:18" x14ac:dyDescent="0.25">
      <c r="A26" s="124"/>
      <c r="B26" s="124"/>
      <c r="C26" s="124"/>
      <c r="D26" s="124"/>
      <c r="E26" s="124"/>
      <c r="F26" s="124"/>
      <c r="G26" s="124"/>
      <c r="H26" s="132"/>
      <c r="I26" s="132"/>
      <c r="J26" s="132">
        <v>288000</v>
      </c>
      <c r="K26" s="132" t="s">
        <v>606</v>
      </c>
      <c r="L26" s="133" t="s">
        <v>692</v>
      </c>
      <c r="M26" s="124"/>
      <c r="N26" s="124"/>
      <c r="O26" s="124"/>
      <c r="P26" s="118" t="s">
        <v>679</v>
      </c>
      <c r="Q26" s="118">
        <v>9900</v>
      </c>
      <c r="R26" s="119">
        <v>8319.3277310924368</v>
      </c>
    </row>
    <row r="27" spans="1:18" x14ac:dyDescent="0.25">
      <c r="A27" s="124"/>
      <c r="B27" s="124"/>
      <c r="C27" s="124"/>
      <c r="D27" s="124"/>
      <c r="E27" s="124"/>
      <c r="F27" s="124"/>
      <c r="G27" s="124"/>
      <c r="H27" s="132"/>
      <c r="I27" s="132"/>
      <c r="J27" s="134">
        <f>J26/1.19</f>
        <v>242016.8067226891</v>
      </c>
      <c r="K27" s="132" t="s">
        <v>601</v>
      </c>
      <c r="L27" s="133"/>
      <c r="M27" s="124"/>
      <c r="N27" s="124"/>
      <c r="O27" s="124"/>
      <c r="P27" s="118" t="s">
        <v>680</v>
      </c>
      <c r="Q27" s="118">
        <v>9900</v>
      </c>
      <c r="R27" s="119">
        <v>8319.3277310924368</v>
      </c>
    </row>
    <row r="28" spans="1:18" x14ac:dyDescent="0.25">
      <c r="A28" s="124"/>
      <c r="B28" s="124"/>
      <c r="C28" s="124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18" t="s">
        <v>681</v>
      </c>
      <c r="Q28" s="118">
        <v>9900</v>
      </c>
      <c r="R28" s="119">
        <v>8319.3277310924368</v>
      </c>
    </row>
    <row r="29" spans="1:18" x14ac:dyDescent="0.25">
      <c r="A29" s="124"/>
      <c r="B29" s="124"/>
      <c r="C29" s="124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18" t="s">
        <v>684</v>
      </c>
      <c r="Q29" s="118">
        <v>175900</v>
      </c>
      <c r="R29" s="119">
        <v>147815.12605042016</v>
      </c>
    </row>
    <row r="30" spans="1:18" x14ac:dyDescent="0.25">
      <c r="A30" s="124"/>
      <c r="B30" s="124"/>
      <c r="C30" s="124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18" t="s">
        <v>685</v>
      </c>
      <c r="Q30" s="118">
        <v>27000</v>
      </c>
      <c r="R30" s="119">
        <v>22689.0756302521</v>
      </c>
    </row>
    <row r="31" spans="1:18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18" t="s">
        <v>751</v>
      </c>
      <c r="Q31" s="118">
        <v>49900</v>
      </c>
      <c r="R31" s="119">
        <v>41932.773109243702</v>
      </c>
    </row>
    <row r="32" spans="1:18" x14ac:dyDescent="0.25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18" t="s">
        <v>686</v>
      </c>
      <c r="Q32" s="118">
        <v>27000</v>
      </c>
      <c r="R32" s="119">
        <v>22689.0756302521</v>
      </c>
    </row>
    <row r="33" spans="1:18" x14ac:dyDescent="0.25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18" t="s">
        <v>687</v>
      </c>
      <c r="Q33" s="118">
        <v>10000</v>
      </c>
      <c r="R33" s="119">
        <v>8403.361344537816</v>
      </c>
    </row>
    <row r="34" spans="1:18" hidden="1" x14ac:dyDescent="0.25">
      <c r="P34" s="116" t="s">
        <v>695</v>
      </c>
      <c r="Q34" s="116">
        <v>25000</v>
      </c>
      <c r="R34" s="116">
        <v>25000</v>
      </c>
    </row>
    <row r="35" spans="1:18" hidden="1" x14ac:dyDescent="0.25">
      <c r="P35" s="117"/>
    </row>
  </sheetData>
  <mergeCells count="6">
    <mergeCell ref="E5:J5"/>
    <mergeCell ref="I21:L21"/>
    <mergeCell ref="I9:J9"/>
    <mergeCell ref="I10:J10"/>
    <mergeCell ref="M9:M10"/>
    <mergeCell ref="I19:L1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List Box 2">
              <controlPr defaultSize="0" autoLine="0" autoPict="0">
                <anchor moveWithCells="1">
                  <from>
                    <xdr:col>2</xdr:col>
                    <xdr:colOff>352425</xdr:colOff>
                    <xdr:row>6</xdr:row>
                    <xdr:rowOff>47625</xdr:rowOff>
                  </from>
                  <to>
                    <xdr:col>6</xdr:col>
                    <xdr:colOff>247650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11</xdr:col>
                    <xdr:colOff>314325</xdr:colOff>
                    <xdr:row>7</xdr:row>
                    <xdr:rowOff>28575</xdr:rowOff>
                  </from>
                  <to>
                    <xdr:col>11</xdr:col>
                    <xdr:colOff>733425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LIMPEQ">
                <anchor moveWithCells="1" sizeWithCells="1">
                  <from>
                    <xdr:col>13</xdr:col>
                    <xdr:colOff>171450</xdr:colOff>
                    <xdr:row>22</xdr:row>
                    <xdr:rowOff>19050</xdr:rowOff>
                  </from>
                  <to>
                    <xdr:col>14</xdr:col>
                    <xdr:colOff>219075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SUMEQUI">
                <anchor moveWithCells="1" sizeWithCells="1">
                  <from>
                    <xdr:col>13</xdr:col>
                    <xdr:colOff>19050</xdr:colOff>
                    <xdr:row>7</xdr:row>
                    <xdr:rowOff>161925</xdr:rowOff>
                  </from>
                  <to>
                    <xdr:col>14</xdr:col>
                    <xdr:colOff>66675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pinner 6">
              <controlPr defaultSize="0" autoPict="0">
                <anchor moveWithCells="1" sizeWithCells="1">
                  <from>
                    <xdr:col>8</xdr:col>
                    <xdr:colOff>114300</xdr:colOff>
                    <xdr:row>25</xdr:row>
                    <xdr:rowOff>19050</xdr:rowOff>
                  </from>
                  <to>
                    <xdr:col>8</xdr:col>
                    <xdr:colOff>733425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C1:F9"/>
  <sheetViews>
    <sheetView workbookViewId="0">
      <selection activeCell="C5" sqref="C5:C9"/>
    </sheetView>
  </sheetViews>
  <sheetFormatPr baseColWidth="10" defaultRowHeight="15" x14ac:dyDescent="0.25"/>
  <cols>
    <col min="3" max="3" width="23" customWidth="1"/>
  </cols>
  <sheetData>
    <row r="1" spans="3:6" x14ac:dyDescent="0.25">
      <c r="F1" t="s">
        <v>746</v>
      </c>
    </row>
    <row r="4" spans="3:6" x14ac:dyDescent="0.25">
      <c r="C4" t="s">
        <v>689</v>
      </c>
    </row>
    <row r="5" spans="3:6" x14ac:dyDescent="0.25">
      <c r="C5" s="101"/>
    </row>
    <row r="6" spans="3:6" x14ac:dyDescent="0.25">
      <c r="C6" s="101"/>
    </row>
    <row r="7" spans="3:6" x14ac:dyDescent="0.25">
      <c r="C7" s="101"/>
    </row>
    <row r="8" spans="3:6" x14ac:dyDescent="0.25">
      <c r="C8" s="101"/>
    </row>
    <row r="9" spans="3:6" x14ac:dyDescent="0.25">
      <c r="C9" s="10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Hoja2</vt:lpstr>
      <vt:lpstr>GENERADOR DE NOTAS</vt:lpstr>
      <vt:lpstr>Hoja3</vt:lpstr>
      <vt:lpstr>CALCULOS MANUALES</vt:lpstr>
      <vt:lpstr>PROPORCIONADOR</vt:lpstr>
      <vt:lpstr>Consolidad Codigo</vt:lpstr>
      <vt:lpstr>COBRO EQUIPOS</vt:lpstr>
      <vt:lpstr>Hoja5</vt:lpstr>
      <vt:lpstr>LINKS</vt:lpstr>
      <vt:lpstr>MOTIVOS</vt:lpstr>
      <vt:lpstr>TIPOLOGIAS</vt:lpstr>
    </vt:vector>
  </TitlesOfParts>
  <Company>Telmex Colombia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jose.rozo</dc:creator>
  <cp:lastModifiedBy>Luis Angel Gaitan Esquivel</cp:lastModifiedBy>
  <cp:lastPrinted>2011-09-20T16:40:53Z</cp:lastPrinted>
  <dcterms:created xsi:type="dcterms:W3CDTF">2010-04-20T20:29:15Z</dcterms:created>
  <dcterms:modified xsi:type="dcterms:W3CDTF">2022-09-26T21:43:56Z</dcterms:modified>
</cp:coreProperties>
</file>