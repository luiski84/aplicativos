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trlProps/ctrlProp3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8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  <sheet name="ASIGNACION" sheetId="11" r:id="rId9"/>
    <sheet name="SALA DE MAQUINAS" sheetId="12" r:id="rId10"/>
    <sheet name="SEGUIMIENTOS" sheetId="13" r:id="rId11"/>
    <sheet name="BD" sheetId="14" r:id="rId12"/>
  </sheets>
  <definedNames>
    <definedName name="_xlnm._FilterDatabase" localSheetId="8" hidden="1">ASIGNACION!$A$24:$P$25</definedName>
    <definedName name="_xlnm._FilterDatabase" localSheetId="11" hidden="1">BD!#REF!</definedName>
    <definedName name="_xlnm._FilterDatabase" localSheetId="5" hidden="1">'Consolidad Codigo'!$E$11:$G$55</definedName>
    <definedName name="ACEPTADO">BD!$X$1</definedName>
    <definedName name="ALIADO">BD!$V$2:$V$5</definedName>
    <definedName name="aprobado" xlm="1">BD!$AA$1</definedName>
    <definedName name="AST_BOGOTA">BD!$V$11:$V$12</definedName>
    <definedName name="AST_PEREIRA">BD!$V$8:$V$9</definedName>
    <definedName name="BASE_DE_GESTION" localSheetId="8">BD!$A$1:$U$1</definedName>
    <definedName name="C_CALCULO_ERRADO_SEGÚN_SOPORTES">BD!$AA$4:$AA$8</definedName>
    <definedName name="C_CREER_EN_EL_CLIENTE">BD!$S$2:$S$10</definedName>
    <definedName name="C_FALTO_DISPUTAR_PRODUCTO_O_NO_CALCULA_VALOR_EN_DISPUTA">BD!$AA$10:$AA$15</definedName>
    <definedName name="C_MULTIPLE_DISPUTAS_MISMO_SERVICIO">BD!$AA$9</definedName>
    <definedName name="C_NO_HACE_USO_DE_FORMATOS_SEGÚN_PROCESO">BD!$AA$24</definedName>
    <definedName name="C_SIN_REGISTROS_EN_NOTAS_F7">BD!$AA$2:$AA$3</definedName>
    <definedName name="CARGO_CONEXION">BD!$A$2:$A$10</definedName>
    <definedName name="CARTERA">BD!$B$2:$B$17</definedName>
    <definedName name="CLARO_VIDEO">BD!$C$2:$C$14</definedName>
    <definedName name="COBRO_TRASLADO">BD!$D$2:$D$11</definedName>
    <definedName name="COMERCIAL">BD!$E$2:$E$7</definedName>
    <definedName name="corregido" xlm="1">BD!$X$2:$X$6</definedName>
    <definedName name="CREER_EN_EL_CLIENTE">BD!$R$2:$R$22</definedName>
    <definedName name="EQUIPOS">BD!$F$2:$F$9</definedName>
    <definedName name="ERROR_OT">BD!$G$2:$G$19</definedName>
    <definedName name="FACTURACION">BD!$H$2:$H$22</definedName>
    <definedName name="FACTURACION_PQR">BD!$U$2:$U$6</definedName>
    <definedName name="FRAUDE">BD!$I$2:$I$3</definedName>
    <definedName name="LINKS">Hoja3!$D$3:$E$13</definedName>
    <definedName name="MOTIVOS" localSheetId="11">BD!$A$1:$U$1</definedName>
    <definedName name="MOTIVOS" localSheetId="9">BD!$A$1:$U$1</definedName>
    <definedName name="MOTIVOS" localSheetId="10">BD!$A$1:$U$1</definedName>
    <definedName name="MOTIVOS">'GENERADOR DE NOTAS'!$P$5:$P$8</definedName>
    <definedName name="MULTAS">BD!$J$2:$J$12</definedName>
    <definedName name="NO_APLICA">BD!$X$9</definedName>
    <definedName name="NOVEDAD_NO_AGENDADA">BD!$K$2:$K$7</definedName>
    <definedName name="ONELINK">BD!$V$10</definedName>
    <definedName name="OPERADORES">BD!$L$2:$L$11</definedName>
    <definedName name="PRESTACION_DE_SERVICIO">BD!$M$2:$M$15</definedName>
    <definedName name="PUNTO_CABLEADO">BD!$N$2:$N$11</definedName>
    <definedName name="R_AJUSTE_CORRESPONDE_OTRA_ÁREA">BD!$AA$16</definedName>
    <definedName name="R_CREER_EN_EL_CLIENTE">BD!$T$2:$T$10</definedName>
    <definedName name="R_FACTURACIÓN_CORRECTA_SEGÚN_PROCESO">BD!$AA$17:$AA$23</definedName>
    <definedName name="R_FALTO_DISPUTAR_PRODUCTO_O_NO_CALCULA_VALOR_EN_DISPUTA">BD!$AA$10:$AA$15</definedName>
    <definedName name="R_NO_HACE_USO_DE_FORMATOS_SEGÚN_PROCESO">BD!$AA$24</definedName>
    <definedName name="rechazado" xlm="1">BD!$X$7:$X$8</definedName>
    <definedName name="RESPUESTA">BD!$W$1:$W$4</definedName>
    <definedName name="REVISTAS">BD!$O$2:$O$16</definedName>
    <definedName name="SSEE">BD!$P$2:$P$8</definedName>
    <definedName name="TIPOLOGIAS">Hoja3!$G$1:$G$22</definedName>
    <definedName name="TOMAS_ADICIONALES">BD!$Q$2:$Q$17</definedName>
  </definedNames>
  <calcPr calcId="162913"/>
  <pivotCaches>
    <pivotCache cacheId="65" r:id="rId13"/>
  </pivotCaches>
</workbook>
</file>

<file path=xl/calcChain.xml><?xml version="1.0" encoding="utf-8"?>
<calcChain xmlns="http://schemas.openxmlformats.org/spreadsheetml/2006/main">
  <c r="AU25" i="12" l="1"/>
  <c r="E9" i="5" l="1"/>
  <c r="N3" i="8" l="1"/>
  <c r="I3" i="10" l="1"/>
  <c r="I21" i="9" s="1"/>
  <c r="I26" i="11" l="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25" i="11"/>
  <c r="C19" i="12"/>
  <c r="C18" i="12"/>
  <c r="C17" i="12"/>
  <c r="AV25" i="12" l="1"/>
  <c r="P16" i="11" l="1"/>
  <c r="P21" i="11"/>
  <c r="P12" i="11"/>
  <c r="O2" i="8"/>
  <c r="AC17" i="12"/>
  <c r="AG15" i="12"/>
  <c r="V15" i="12"/>
  <c r="Q15" i="12"/>
  <c r="D19" i="12"/>
  <c r="G8" i="12" l="1"/>
  <c r="F8" i="12"/>
  <c r="D8" i="12"/>
  <c r="E8" i="12"/>
  <c r="I12" i="11"/>
  <c r="F33" i="13" l="1"/>
  <c r="E33" i="13"/>
  <c r="K19" i="11" s="1"/>
  <c r="D33" i="13"/>
  <c r="J19" i="11" s="1"/>
  <c r="C33" i="13"/>
  <c r="I19" i="11" s="1"/>
  <c r="B33" i="13"/>
  <c r="H19" i="11" s="1"/>
  <c r="C13" i="11"/>
  <c r="AW18" i="12"/>
  <c r="AY8" i="12" s="1"/>
  <c r="AT8" i="12"/>
  <c r="AY7" i="12" s="1"/>
  <c r="AY5" i="12" s="1"/>
  <c r="C9" i="11" s="1"/>
  <c r="BG7" i="12"/>
  <c r="G7" i="12"/>
  <c r="F7" i="12"/>
  <c r="E7" i="12"/>
  <c r="D7" i="12"/>
  <c r="C7" i="12"/>
  <c r="C10" i="12" s="1"/>
  <c r="I2522" i="11"/>
  <c r="I2521" i="11"/>
  <c r="I2520" i="11"/>
  <c r="I2519" i="11"/>
  <c r="I2518" i="11"/>
  <c r="I2517" i="11"/>
  <c r="I2516" i="11"/>
  <c r="I2515" i="11"/>
  <c r="I2514" i="11"/>
  <c r="I2513" i="11"/>
  <c r="I2512" i="11"/>
  <c r="I2511" i="11"/>
  <c r="I2510" i="11"/>
  <c r="I2509" i="11"/>
  <c r="I2508" i="11"/>
  <c r="I2507" i="11"/>
  <c r="I2506" i="11"/>
  <c r="I2505" i="11"/>
  <c r="I2504" i="11"/>
  <c r="I2503" i="11"/>
  <c r="I2502" i="11"/>
  <c r="I2501" i="11"/>
  <c r="I2500" i="11"/>
  <c r="I2499" i="11"/>
  <c r="I2498" i="11"/>
  <c r="I2497" i="11"/>
  <c r="I2496" i="11"/>
  <c r="I2495" i="11"/>
  <c r="I2494" i="11"/>
  <c r="I2493" i="11"/>
  <c r="I2492" i="11"/>
  <c r="I2491" i="11"/>
  <c r="I2490" i="11"/>
  <c r="I2489" i="11"/>
  <c r="I2488" i="11"/>
  <c r="I2487" i="11"/>
  <c r="I2486" i="11"/>
  <c r="I2485" i="11"/>
  <c r="I2484" i="11"/>
  <c r="I2483" i="11"/>
  <c r="I2482" i="11"/>
  <c r="I2481" i="11"/>
  <c r="I2480" i="11"/>
  <c r="I2479" i="11"/>
  <c r="I2478" i="11"/>
  <c r="I2477" i="11"/>
  <c r="I2476" i="11"/>
  <c r="I2475" i="11"/>
  <c r="I2474" i="11"/>
  <c r="I2473" i="11"/>
  <c r="I2472" i="11"/>
  <c r="I2471" i="11"/>
  <c r="I2470" i="11"/>
  <c r="I2469" i="11"/>
  <c r="I2468" i="11"/>
  <c r="I2467" i="11"/>
  <c r="I2466" i="11"/>
  <c r="I2465" i="11"/>
  <c r="I2464" i="11"/>
  <c r="I2463" i="11"/>
  <c r="I2462" i="11"/>
  <c r="I2461" i="11"/>
  <c r="I2460" i="11"/>
  <c r="I2459" i="11"/>
  <c r="I2458" i="11"/>
  <c r="I2457" i="11"/>
  <c r="I2456" i="11"/>
  <c r="I2455" i="11"/>
  <c r="I2454" i="11"/>
  <c r="I2453" i="11"/>
  <c r="I2452" i="11"/>
  <c r="I2451" i="11"/>
  <c r="I2450" i="11"/>
  <c r="I2449" i="11"/>
  <c r="I2448" i="11"/>
  <c r="I2447" i="11"/>
  <c r="I2446" i="11"/>
  <c r="I2445" i="11"/>
  <c r="I2444" i="11"/>
  <c r="I2443" i="11"/>
  <c r="I2442" i="11"/>
  <c r="I2441" i="11"/>
  <c r="I2440" i="11"/>
  <c r="I2439" i="11"/>
  <c r="I2438" i="11"/>
  <c r="I2437" i="11"/>
  <c r="I2436" i="11"/>
  <c r="I2435" i="11"/>
  <c r="I2434" i="11"/>
  <c r="I2433" i="11"/>
  <c r="I2432" i="11"/>
  <c r="I2431" i="11"/>
  <c r="I2430" i="11"/>
  <c r="I2429" i="11"/>
  <c r="I2428" i="11"/>
  <c r="I2427" i="11"/>
  <c r="I2426" i="11"/>
  <c r="I2425" i="11"/>
  <c r="I2424" i="11"/>
  <c r="I2423" i="11"/>
  <c r="I2422" i="11"/>
  <c r="I2421" i="11"/>
  <c r="I2420" i="11"/>
  <c r="I2419" i="11"/>
  <c r="I2418" i="11"/>
  <c r="I2417" i="11"/>
  <c r="I2416" i="11"/>
  <c r="I2415" i="11"/>
  <c r="I2414" i="11"/>
  <c r="I2413" i="11"/>
  <c r="I2412" i="11"/>
  <c r="I2411" i="11"/>
  <c r="I2410" i="11"/>
  <c r="I2409" i="11"/>
  <c r="I2408" i="11"/>
  <c r="I2407" i="11"/>
  <c r="I2406" i="11"/>
  <c r="I2405" i="11"/>
  <c r="I2404" i="11"/>
  <c r="I2403" i="11"/>
  <c r="I2402" i="11"/>
  <c r="I2401" i="11"/>
  <c r="I2400" i="11"/>
  <c r="I2399" i="11"/>
  <c r="I2398" i="11"/>
  <c r="I2397" i="11"/>
  <c r="I2396" i="11"/>
  <c r="I2395" i="11"/>
  <c r="I2394" i="11"/>
  <c r="I2393" i="11"/>
  <c r="I2392" i="11"/>
  <c r="I2391" i="11"/>
  <c r="I2390" i="11"/>
  <c r="I2389" i="11"/>
  <c r="I2388" i="11"/>
  <c r="I2387" i="11"/>
  <c r="I2386" i="11"/>
  <c r="I2385" i="11"/>
  <c r="I2384" i="11"/>
  <c r="I2383" i="11"/>
  <c r="I2382" i="11"/>
  <c r="I2381" i="11"/>
  <c r="I2380" i="11"/>
  <c r="I2379" i="11"/>
  <c r="I2378" i="11"/>
  <c r="I2377" i="11"/>
  <c r="I2376" i="11"/>
  <c r="I2375" i="11"/>
  <c r="I2374" i="11"/>
  <c r="I2373" i="11"/>
  <c r="I2372" i="11"/>
  <c r="I2371" i="11"/>
  <c r="I2370" i="11"/>
  <c r="I2369" i="11"/>
  <c r="I2368" i="11"/>
  <c r="I2367" i="11"/>
  <c r="I2366" i="11"/>
  <c r="I2365" i="11"/>
  <c r="I2364" i="11"/>
  <c r="I2363" i="11"/>
  <c r="I2362" i="11"/>
  <c r="I2361" i="11"/>
  <c r="I2360" i="11"/>
  <c r="I2359" i="11"/>
  <c r="I2358" i="11"/>
  <c r="I2357" i="11"/>
  <c r="I2356" i="11"/>
  <c r="I2355" i="11"/>
  <c r="I2354" i="11"/>
  <c r="I2353" i="11"/>
  <c r="I2352" i="11"/>
  <c r="I2351" i="11"/>
  <c r="I2350" i="11"/>
  <c r="I2349" i="11"/>
  <c r="I2348" i="11"/>
  <c r="I2347" i="11"/>
  <c r="I2346" i="11"/>
  <c r="I2345" i="11"/>
  <c r="I2344" i="11"/>
  <c r="I2343" i="11"/>
  <c r="I2342" i="11"/>
  <c r="I2341" i="11"/>
  <c r="I2340" i="11"/>
  <c r="I2339" i="11"/>
  <c r="I2338" i="11"/>
  <c r="I2337" i="11"/>
  <c r="I2336" i="11"/>
  <c r="I2335" i="11"/>
  <c r="I2334" i="11"/>
  <c r="I2333" i="11"/>
  <c r="I2332" i="11"/>
  <c r="I2331" i="11"/>
  <c r="I2330" i="11"/>
  <c r="I2329" i="11"/>
  <c r="I2328" i="11"/>
  <c r="I2327" i="11"/>
  <c r="I2326" i="11"/>
  <c r="I2325" i="11"/>
  <c r="I2324" i="11"/>
  <c r="I2323" i="11"/>
  <c r="I2322" i="11"/>
  <c r="I2321" i="11"/>
  <c r="I2320" i="11"/>
  <c r="I2319" i="11"/>
  <c r="I2318" i="11"/>
  <c r="I2317" i="11"/>
  <c r="I2316" i="11"/>
  <c r="I2315" i="11"/>
  <c r="I2314" i="11"/>
  <c r="I2313" i="11"/>
  <c r="I2312" i="11"/>
  <c r="I2311" i="11"/>
  <c r="I2310" i="11"/>
  <c r="I2309" i="11"/>
  <c r="I2308" i="11"/>
  <c r="I2307" i="11"/>
  <c r="I2306" i="11"/>
  <c r="I2305" i="11"/>
  <c r="I2304" i="11"/>
  <c r="I2303" i="11"/>
  <c r="I2302" i="11"/>
  <c r="I2301" i="11"/>
  <c r="I2300" i="11"/>
  <c r="I2299" i="11"/>
  <c r="I2298" i="11"/>
  <c r="I2297" i="11"/>
  <c r="I2296" i="11"/>
  <c r="I2295" i="11"/>
  <c r="I2294" i="11"/>
  <c r="I2293" i="11"/>
  <c r="I2292" i="11"/>
  <c r="I2291" i="11"/>
  <c r="I2290" i="11"/>
  <c r="I2289" i="11"/>
  <c r="I2288" i="11"/>
  <c r="I2287" i="11"/>
  <c r="I2286" i="11"/>
  <c r="I2285" i="11"/>
  <c r="I2284" i="11"/>
  <c r="I2283" i="11"/>
  <c r="I2282" i="11"/>
  <c r="I2281" i="11"/>
  <c r="I2280" i="11"/>
  <c r="I2279" i="11"/>
  <c r="I2278" i="11"/>
  <c r="I2277" i="11"/>
  <c r="I2276" i="11"/>
  <c r="I2275" i="11"/>
  <c r="I2274" i="11"/>
  <c r="I2273" i="11"/>
  <c r="I2272" i="11"/>
  <c r="I2271" i="11"/>
  <c r="I2270" i="11"/>
  <c r="I2269" i="11"/>
  <c r="I2268" i="11"/>
  <c r="I2267" i="11"/>
  <c r="I2266" i="11"/>
  <c r="I2265" i="11"/>
  <c r="I2264" i="11"/>
  <c r="I2263" i="11"/>
  <c r="I2262" i="11"/>
  <c r="I2261" i="11"/>
  <c r="I2260" i="11"/>
  <c r="I2259" i="11"/>
  <c r="I2258" i="11"/>
  <c r="I2257" i="11"/>
  <c r="I2256" i="11"/>
  <c r="I2255" i="11"/>
  <c r="I2254" i="11"/>
  <c r="I2253" i="11"/>
  <c r="I2252" i="11"/>
  <c r="I2251" i="11"/>
  <c r="I2250" i="11"/>
  <c r="I2249" i="11"/>
  <c r="I2248" i="11"/>
  <c r="I2247" i="11"/>
  <c r="I2246" i="11"/>
  <c r="I2245" i="11"/>
  <c r="I2244" i="11"/>
  <c r="I2243" i="11"/>
  <c r="I2242" i="11"/>
  <c r="I2241" i="11"/>
  <c r="I2240" i="11"/>
  <c r="I2239" i="11"/>
  <c r="I2238" i="11"/>
  <c r="I2237" i="11"/>
  <c r="I2236" i="11"/>
  <c r="I2235" i="11"/>
  <c r="I2234" i="11"/>
  <c r="I2233" i="11"/>
  <c r="I2232" i="11"/>
  <c r="I2231" i="11"/>
  <c r="I2230" i="11"/>
  <c r="I2229" i="11"/>
  <c r="I2228" i="11"/>
  <c r="I2227" i="11"/>
  <c r="I2226" i="11"/>
  <c r="I2225" i="11"/>
  <c r="I2224" i="11"/>
  <c r="I2223" i="11"/>
  <c r="I2222" i="11"/>
  <c r="I2221" i="11"/>
  <c r="I2220" i="11"/>
  <c r="I2219" i="11"/>
  <c r="I2218" i="11"/>
  <c r="I2217" i="11"/>
  <c r="I2216" i="11"/>
  <c r="I2215" i="11"/>
  <c r="I2214" i="11"/>
  <c r="I2213" i="11"/>
  <c r="I2212" i="11"/>
  <c r="I2211" i="11"/>
  <c r="I2210" i="11"/>
  <c r="I2209" i="11"/>
  <c r="I2208" i="11"/>
  <c r="I2207" i="11"/>
  <c r="I2206" i="11"/>
  <c r="I2205" i="11"/>
  <c r="I2204" i="11"/>
  <c r="I2203" i="11"/>
  <c r="I2202" i="11"/>
  <c r="I2201" i="11"/>
  <c r="I2200" i="11"/>
  <c r="I2199" i="11"/>
  <c r="I2198" i="11"/>
  <c r="I2197" i="11"/>
  <c r="I2196" i="11"/>
  <c r="I2195" i="11"/>
  <c r="I2194" i="11"/>
  <c r="I2193" i="11"/>
  <c r="I2192" i="11"/>
  <c r="I2191" i="11"/>
  <c r="I2190" i="11"/>
  <c r="I2189" i="11"/>
  <c r="I2188" i="11"/>
  <c r="I2187" i="11"/>
  <c r="I2186" i="11"/>
  <c r="I2185" i="11"/>
  <c r="I2184" i="11"/>
  <c r="I2183" i="11"/>
  <c r="I2182" i="11"/>
  <c r="I2181" i="11"/>
  <c r="I2180" i="11"/>
  <c r="I2179" i="11"/>
  <c r="I2178" i="11"/>
  <c r="I2177" i="11"/>
  <c r="I2176" i="11"/>
  <c r="I2175" i="11"/>
  <c r="I2174" i="11"/>
  <c r="I2173" i="11"/>
  <c r="I2172" i="11"/>
  <c r="I2171" i="11"/>
  <c r="I2170" i="11"/>
  <c r="I2169" i="11"/>
  <c r="I2168" i="11"/>
  <c r="I2167" i="11"/>
  <c r="I2166" i="11"/>
  <c r="I2165" i="11"/>
  <c r="I2164" i="11"/>
  <c r="I2163" i="11"/>
  <c r="I2162" i="11"/>
  <c r="I2161" i="11"/>
  <c r="I2160" i="11"/>
  <c r="I2159" i="11"/>
  <c r="I2158" i="11"/>
  <c r="I2157" i="11"/>
  <c r="I2156" i="11"/>
  <c r="I2155" i="11"/>
  <c r="I2154" i="11"/>
  <c r="I2153" i="11"/>
  <c r="I2152" i="11"/>
  <c r="I2151" i="11"/>
  <c r="I2150" i="11"/>
  <c r="I2149" i="11"/>
  <c r="I2148" i="11"/>
  <c r="I2147" i="11"/>
  <c r="I2146" i="11"/>
  <c r="I2145" i="11"/>
  <c r="I2144" i="11"/>
  <c r="I2143" i="11"/>
  <c r="I2142" i="11"/>
  <c r="I2141" i="11"/>
  <c r="I2140" i="11"/>
  <c r="I2139" i="11"/>
  <c r="I2138" i="11"/>
  <c r="I2137" i="11"/>
  <c r="I2136" i="11"/>
  <c r="I2135" i="11"/>
  <c r="I2134" i="11"/>
  <c r="I2133" i="11"/>
  <c r="I2132" i="11"/>
  <c r="I2131" i="11"/>
  <c r="I2130" i="11"/>
  <c r="I2129" i="11"/>
  <c r="I2128" i="11"/>
  <c r="I2127" i="11"/>
  <c r="I2126" i="11"/>
  <c r="I2125" i="11"/>
  <c r="I2124" i="11"/>
  <c r="I2123" i="11"/>
  <c r="I2122" i="11"/>
  <c r="I2121" i="11"/>
  <c r="I2120" i="11"/>
  <c r="I2119" i="11"/>
  <c r="I2118" i="11"/>
  <c r="I2117" i="11"/>
  <c r="I2116" i="11"/>
  <c r="I2115" i="11"/>
  <c r="I2114" i="11"/>
  <c r="I2113" i="11"/>
  <c r="I2112" i="11"/>
  <c r="I2111" i="11"/>
  <c r="I2110" i="11"/>
  <c r="I2109" i="11"/>
  <c r="I2108" i="11"/>
  <c r="I2107" i="11"/>
  <c r="I2106" i="11"/>
  <c r="I2105" i="11"/>
  <c r="I2104" i="11"/>
  <c r="I2103" i="11"/>
  <c r="I2102" i="11"/>
  <c r="I2101" i="11"/>
  <c r="I2100" i="11"/>
  <c r="I2099" i="11"/>
  <c r="I2098" i="11"/>
  <c r="I2097" i="11"/>
  <c r="I2096" i="11"/>
  <c r="I2095" i="11"/>
  <c r="I2094" i="11"/>
  <c r="I2093" i="11"/>
  <c r="I2092" i="11"/>
  <c r="I2091" i="11"/>
  <c r="I2090" i="11"/>
  <c r="I2089" i="11"/>
  <c r="I2088" i="11"/>
  <c r="I2087" i="11"/>
  <c r="I2086" i="11"/>
  <c r="I2085" i="11"/>
  <c r="I2084" i="11"/>
  <c r="I2083" i="11"/>
  <c r="I2082" i="11"/>
  <c r="I2081" i="11"/>
  <c r="I2080" i="11"/>
  <c r="I2079" i="11"/>
  <c r="I2078" i="11"/>
  <c r="I2077" i="11"/>
  <c r="I2076" i="11"/>
  <c r="I2075" i="11"/>
  <c r="I2074" i="11"/>
  <c r="I2073" i="11"/>
  <c r="I2072" i="11"/>
  <c r="I2071" i="11"/>
  <c r="I2070" i="11"/>
  <c r="I2069" i="11"/>
  <c r="I2068" i="11"/>
  <c r="I2067" i="11"/>
  <c r="I2066" i="11"/>
  <c r="I2065" i="11"/>
  <c r="I2064" i="11"/>
  <c r="I2063" i="11"/>
  <c r="I2062" i="11"/>
  <c r="I2061" i="11"/>
  <c r="I2060" i="11"/>
  <c r="I2059" i="11"/>
  <c r="I2058" i="11"/>
  <c r="I2057" i="11"/>
  <c r="I2056" i="11"/>
  <c r="I2055" i="11"/>
  <c r="I2054" i="11"/>
  <c r="I2053" i="11"/>
  <c r="I2052" i="11"/>
  <c r="I2051" i="11"/>
  <c r="I2050" i="11"/>
  <c r="I2049" i="11"/>
  <c r="I2048" i="11"/>
  <c r="I2047" i="11"/>
  <c r="I2046" i="11"/>
  <c r="I2045" i="11"/>
  <c r="I2044" i="11"/>
  <c r="I2043" i="11"/>
  <c r="I2042" i="11"/>
  <c r="I2041" i="11"/>
  <c r="I2040" i="11"/>
  <c r="I2039" i="11"/>
  <c r="I2038" i="11"/>
  <c r="I2037" i="11"/>
  <c r="I2036" i="11"/>
  <c r="I2035" i="11"/>
  <c r="I2034" i="11"/>
  <c r="I2033" i="11"/>
  <c r="I2032" i="11"/>
  <c r="I2031" i="11"/>
  <c r="I2030" i="11"/>
  <c r="I2029" i="11"/>
  <c r="I2028" i="11"/>
  <c r="I2027" i="11"/>
  <c r="I2026" i="11"/>
  <c r="I2025" i="11"/>
  <c r="I2024" i="11"/>
  <c r="I2023" i="11"/>
  <c r="I2022" i="11"/>
  <c r="I2021" i="11"/>
  <c r="I2020" i="11"/>
  <c r="I2019" i="11"/>
  <c r="I2018" i="11"/>
  <c r="I2017" i="11"/>
  <c r="I2016" i="11"/>
  <c r="I2015" i="11"/>
  <c r="I2014" i="11"/>
  <c r="I2013" i="11"/>
  <c r="I2012" i="11"/>
  <c r="I2011" i="11"/>
  <c r="I2010" i="11"/>
  <c r="I2009" i="11"/>
  <c r="I2008" i="11"/>
  <c r="I2007" i="11"/>
  <c r="I2006" i="11"/>
  <c r="I2005" i="11"/>
  <c r="I2004" i="11"/>
  <c r="I2003" i="11"/>
  <c r="I200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L21" i="11"/>
  <c r="A21" i="11"/>
  <c r="A19" i="11" s="1"/>
  <c r="A9" i="11"/>
  <c r="G6" i="11"/>
  <c r="P1" i="11"/>
  <c r="BG8" i="12" s="1"/>
  <c r="J27" i="9"/>
  <c r="J25" i="9"/>
  <c r="M21" i="9"/>
  <c r="I10" i="9"/>
  <c r="T7" i="9" s="1"/>
  <c r="I9" i="9"/>
  <c r="Y12" i="7"/>
  <c r="U12" i="7"/>
  <c r="W12" i="7" s="1"/>
  <c r="Y11" i="7"/>
  <c r="U11" i="7"/>
  <c r="W11" i="7" s="1"/>
  <c r="Y10" i="7"/>
  <c r="U10" i="7"/>
  <c r="W10" i="7" s="1"/>
  <c r="Y9" i="7"/>
  <c r="U9" i="7"/>
  <c r="W9" i="7" s="1"/>
  <c r="Y8" i="7"/>
  <c r="U8" i="7"/>
  <c r="W8" i="7" s="1"/>
  <c r="Y7" i="7"/>
  <c r="U7" i="7"/>
  <c r="W7" i="7" s="1"/>
  <c r="Y6" i="7"/>
  <c r="V6" i="7"/>
  <c r="U6" i="7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E12" i="5"/>
  <c r="E11" i="5"/>
  <c r="G4" i="5"/>
  <c r="W6" i="7" l="1"/>
  <c r="W13" i="7" s="1"/>
  <c r="X10" i="7" s="1"/>
  <c r="Z10" i="7" s="1"/>
  <c r="AA10" i="7" s="1"/>
  <c r="BG5" i="12"/>
  <c r="C16" i="11" s="1"/>
  <c r="X9" i="7" l="1"/>
  <c r="Z9" i="7" s="1"/>
  <c r="AA9" i="7" s="1"/>
  <c r="J18" i="7" s="1"/>
  <c r="I6" i="11"/>
  <c r="E10" i="12"/>
  <c r="H6" i="11"/>
  <c r="H8" i="12"/>
  <c r="D10" i="12"/>
  <c r="X8" i="7"/>
  <c r="Z8" i="7" s="1"/>
  <c r="AA8" i="7" s="1"/>
  <c r="X7" i="7"/>
  <c r="Z7" i="7" s="1"/>
  <c r="AA7" i="7" s="1"/>
  <c r="F10" i="12"/>
  <c r="J6" i="11"/>
  <c r="AB10" i="7"/>
  <c r="N19" i="7" s="1"/>
  <c r="O19" i="7" s="1"/>
  <c r="J19" i="7"/>
  <c r="X12" i="7"/>
  <c r="Z12" i="7" s="1"/>
  <c r="AA12" i="7" s="1"/>
  <c r="J21" i="7" s="1"/>
  <c r="X6" i="7"/>
  <c r="Z6" i="7" s="1"/>
  <c r="AA6" i="7" s="1"/>
  <c r="X11" i="7"/>
  <c r="Z11" i="7" s="1"/>
  <c r="AA11" i="7" s="1"/>
  <c r="G10" i="12"/>
  <c r="K6" i="11"/>
  <c r="J17" i="7" l="1"/>
  <c r="AB8" i="7"/>
  <c r="N18" i="7" s="1"/>
  <c r="O18" i="7" s="1"/>
  <c r="J15" i="7"/>
  <c r="AB6" i="7"/>
  <c r="I8" i="12"/>
  <c r="R7" i="12" s="1"/>
  <c r="S7" i="12" s="1"/>
  <c r="AB7" i="7"/>
  <c r="N17" i="7" s="1"/>
  <c r="O17" i="7" s="1"/>
  <c r="J16" i="7"/>
  <c r="AB11" i="7"/>
  <c r="N20" i="7" s="1"/>
  <c r="O20" i="7" s="1"/>
  <c r="J20" i="7"/>
  <c r="N16" i="7" l="1"/>
  <c r="O16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<sst xmlns="http://schemas.openxmlformats.org/spreadsheetml/2006/main" count="4181" uniqueCount="1086">
  <si>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</si>
  <si>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</si>
  <si>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</si>
  <si>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</si>
  <si>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</si>
  <si>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</si>
  <si>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</si>
  <si>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</si>
  <si>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</si>
  <si>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</si>
  <si>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</si>
  <si>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</si>
  <si>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</si>
  <si>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</si>
  <si>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</si>
  <si>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</si>
  <si>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</si>
  <si>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</si>
  <si>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</si>
  <si>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</si>
  <si>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</si>
  <si>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</si>
  <si>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</si>
  <si>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</si>
  <si>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</si>
  <si>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</si>
  <si>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</si>
  <si>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</si>
  <si>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</si>
  <si>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</si>
  <si>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</si>
  <si>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</si>
  <si>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</si>
  <si>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</si>
  <si>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</si>
  <si>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</si>
  <si>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</si>
  <si>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</si>
  <si>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</si>
  <si>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</si>
  <si>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</si>
  <si>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</si>
  <si>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</si>
  <si>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</si>
  <si>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</si>
  <si>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</si>
  <si>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</si>
  <si>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</si>
  <si>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</si>
  <si>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</si>
  <si>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</si>
  <si>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</si>
  <si>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</si>
  <si>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</si>
  <si>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</si>
  <si>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</si>
  <si>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</si>
  <si>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</si>
  <si>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</si>
  <si>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</si>
  <si>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</si>
  <si>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</si>
  <si>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</si>
  <si>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</si>
  <si>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</si>
  <si>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</si>
  <si>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</si>
  <si>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</si>
  <si>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</si>
  <si>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</si>
  <si>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</si>
  <si>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</si>
  <si>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</si>
  <si>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</si>
  <si>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</si>
  <si>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</si>
  <si>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</si>
  <si>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</si>
  <si>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</si>
  <si>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</si>
  <si>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</si>
  <si>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</si>
  <si>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</si>
  <si>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</si>
  <si>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</si>
  <si>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</si>
  <si>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</si>
  <si>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</si>
  <si>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</si>
  <si>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</si>
  <si>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</si>
  <si>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</si>
  <si>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</si>
  <si>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</si>
  <si>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</si>
  <si>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</si>
  <si>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</si>
  <si>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</si>
  <si>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</si>
  <si>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</si>
  <si>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</si>
  <si>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</si>
  <si>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</si>
  <si>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</si>
  <si>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</si>
  <si>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</si>
  <si>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</si>
  <si>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</si>
  <si>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</si>
  <si>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</si>
  <si>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</si>
  <si>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</si>
  <si>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</si>
  <si>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</si>
  <si>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</si>
  <si>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</si>
  <si>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</si>
  <si>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</si>
  <si>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</si>
  <si>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</si>
  <si>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</si>
  <si>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</si>
  <si>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</si>
  <si>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</si>
  <si>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</si>
  <si>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</si>
  <si>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</si>
  <si>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</si>
  <si>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</si>
  <si>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</si>
  <si>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</si>
  <si>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</si>
  <si>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</si>
  <si>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</si>
  <si>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</si>
  <si>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</si>
  <si>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</si>
  <si>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</si>
  <si>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</si>
  <si>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</si>
  <si>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</si>
  <si>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</si>
  <si>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</si>
  <si>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</si>
  <si>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</si>
  <si>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</si>
  <si>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</si>
  <si>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</si>
  <si>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</si>
  <si>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</si>
  <si>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</si>
  <si>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</si>
  <si>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</si>
  <si>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</si>
  <si>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</si>
  <si>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</si>
  <si>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</si>
  <si>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</si>
  <si>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</si>
  <si>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</si>
  <si>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</si>
  <si>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</si>
  <si>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</si>
  <si>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</si>
  <si>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</si>
  <si>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</si>
  <si>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</si>
  <si>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</si>
  <si>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</si>
  <si>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</si>
  <si>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</si>
  <si>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</si>
  <si>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</si>
  <si>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</si>
  <si>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</si>
  <si>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</si>
  <si>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</si>
  <si>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</si>
  <si>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</si>
  <si>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</si>
  <si>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</si>
  <si>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</si>
  <si>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</si>
  <si>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</si>
  <si>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</si>
  <si>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</si>
  <si>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</si>
  <si>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</si>
  <si>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</si>
  <si>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</si>
  <si>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</si>
  <si>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</si>
  <si>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</si>
  <si>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</si>
  <si>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</si>
  <si>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</si>
  <si>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</si>
  <si>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</si>
  <si>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</si>
  <si>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</si>
  <si>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</si>
  <si>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</si>
  <si>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</si>
  <si>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</si>
  <si>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</si>
  <si>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</si>
  <si>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</si>
  <si>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</si>
  <si>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</si>
  <si>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</si>
  <si>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</si>
  <si>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</si>
  <si>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</si>
  <si>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</si>
  <si>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</si>
  <si>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</si>
  <si>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</si>
  <si>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</si>
  <si>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</si>
  <si>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</si>
  <si>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</si>
  <si>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</si>
  <si>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</si>
  <si>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</si>
  <si>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</si>
  <si>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</si>
  <si>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</si>
  <si>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</si>
  <si>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</si>
  <si>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</si>
  <si>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</si>
  <si>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</si>
  <si>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</si>
  <si>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</si>
  <si>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</si>
  <si>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</si>
  <si>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</si>
  <si>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</si>
  <si>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</si>
  <si>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</si>
  <si>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</si>
  <si>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</si>
  <si>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</si>
  <si>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</si>
  <si>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</si>
  <si>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</si>
  <si>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</si>
  <si>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</si>
  <si>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</si>
  <si>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</si>
  <si>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</si>
  <si>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</si>
  <si>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</si>
  <si>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</si>
  <si>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</si>
  <si>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</si>
  <si>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</si>
  <si>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</si>
  <si>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</si>
  <si>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</si>
  <si>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</si>
  <si>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</si>
  <si>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</si>
  <si>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</si>
  <si>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</si>
  <si>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</si>
  <si>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</si>
  <si>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</si>
  <si>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</si>
  <si>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</si>
  <si>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</si>
  <si>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</si>
  <si>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</si>
  <si>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</si>
  <si>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</si>
  <si>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</si>
  <si>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</si>
  <si>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</si>
  <si>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</si>
  <si>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</si>
  <si>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</si>
  <si>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</si>
  <si>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</si>
  <si>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</si>
  <si>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</si>
  <si>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</si>
  <si>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</si>
  <si>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</si>
  <si>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</si>
  <si>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</si>
  <si>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</si>
  <si>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</si>
  <si>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</si>
  <si>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</si>
  <si>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</si>
  <si>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</si>
  <si>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</si>
  <si>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</si>
  <si>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</si>
  <si>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</si>
  <si>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</si>
  <si>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</si>
  <si>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</si>
  <si>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</si>
  <si>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</si>
  <si>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</si>
  <si>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</si>
  <si>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</si>
  <si>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</si>
  <si>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</si>
  <si>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</si>
  <si>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</si>
  <si>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</si>
  <si>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</si>
  <si>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</si>
  <si>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</si>
  <si>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</si>
  <si>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</si>
  <si>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</si>
  <si>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</si>
  <si>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</si>
  <si>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</si>
  <si>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</si>
  <si>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</si>
  <si>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</si>
  <si>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</si>
  <si>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</si>
  <si>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</si>
  <si>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</si>
  <si>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</si>
  <si>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</si>
  <si>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</si>
  <si>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</si>
  <si>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</si>
  <si>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</si>
  <si>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</si>
  <si>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</si>
  <si>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</si>
  <si>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</si>
  <si>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</si>
  <si>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</si>
  <si>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</si>
  <si>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</si>
  <si>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</si>
  <si>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</si>
  <si>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</si>
  <si>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</si>
  <si>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</si>
  <si>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</si>
  <si>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</si>
  <si>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</si>
  <si>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</si>
  <si>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</si>
  <si>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</si>
  <si>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</si>
  <si>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</si>
  <si>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</si>
  <si>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</si>
  <si>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</si>
  <si>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</si>
  <si>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</si>
  <si>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</si>
  <si>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</si>
  <si>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</si>
  <si>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</si>
  <si>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</si>
  <si>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</si>
  <si>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</si>
  <si>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</si>
  <si>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</si>
  <si>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</si>
  <si>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</si>
  <si>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</si>
  <si>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</si>
  <si>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</si>
  <si>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</si>
  <si>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</si>
  <si>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</si>
  <si>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</si>
  <si>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</si>
  <si>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</si>
  <si>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</si>
  <si>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</si>
  <si>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</si>
  <si>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</si>
  <si>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</si>
  <si>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</si>
  <si>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</si>
  <si>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</si>
  <si>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</si>
  <si>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</si>
  <si>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</si>
  <si>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</si>
  <si>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</si>
  <si>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</si>
  <si>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</si>
  <si>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</si>
  <si>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</si>
  <si>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</si>
  <si>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</si>
  <si>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</si>
  <si>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</si>
  <si>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</si>
  <si>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</si>
  <si>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</si>
  <si>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</si>
  <si>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</si>
  <si>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</si>
  <si>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</si>
  <si>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</si>
  <si>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</si>
  <si>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</si>
  <si>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</si>
  <si>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</si>
  <si>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</si>
  <si>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</si>
  <si>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</si>
  <si>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</si>
  <si>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</si>
  <si>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</si>
  <si>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</si>
  <si>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</si>
  <si>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</si>
  <si>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</si>
  <si>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</si>
  <si>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</si>
  <si>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</si>
  <si>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</si>
  <si>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</si>
  <si>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</si>
  <si>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</si>
  <si>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</si>
  <si>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</si>
  <si>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</si>
  <si>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</si>
  <si>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</si>
  <si>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</si>
  <si>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</si>
  <si>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</si>
  <si>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</si>
  <si>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</si>
  <si>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</si>
  <si>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</si>
  <si>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</si>
  <si>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</si>
  <si>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</si>
  <si>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</si>
  <si>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</si>
  <si>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</si>
  <si>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</si>
  <si>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</si>
  <si>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</si>
  <si>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</si>
  <si>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</si>
  <si>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</si>
  <si>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</si>
  <si>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</si>
  <si>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</si>
  <si>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</si>
  <si>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</si>
  <si>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</si>
  <si>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</si>
  <si>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</si>
  <si>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</si>
  <si>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</si>
  <si>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</si>
  <si>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</si>
  <si>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</si>
  <si>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</si>
  <si>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</si>
  <si>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</si>
  <si>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</si>
  <si>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</si>
  <si>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</si>
  <si>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</si>
  <si>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</si>
  <si>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</si>
  <si>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</si>
  <si>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</si>
  <si>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</si>
  <si>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</si>
  <si>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</si>
  <si>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</si>
  <si>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</si>
  <si>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</si>
  <si>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</si>
  <si>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</si>
  <si>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</si>
  <si>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</si>
  <si>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</si>
  <si>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</si>
  <si>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</si>
  <si>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</si>
  <si>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</si>
  <si>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</si>
  <si>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</si>
  <si>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</si>
  <si>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</si>
  <si>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</si>
  <si>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</si>
  <si>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</si>
  <si>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</si>
  <si>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</si>
  <si>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</si>
  <si>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</si>
  <si>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</si>
  <si>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</si>
  <si>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</si>
  <si>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</si>
  <si>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</si>
  <si>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</si>
  <si>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</si>
  <si>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</si>
  <si>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</si>
  <si>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</si>
  <si>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</si>
  <si>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</si>
  <si>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</si>
  <si>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</si>
  <si>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</si>
  <si>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</si>
  <si>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</si>
  <si>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</si>
  <si>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</si>
  <si>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</si>
  <si>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</si>
  <si>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</si>
  <si>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</si>
  <si>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</si>
  <si>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</si>
  <si>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</si>
  <si>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</si>
  <si>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</si>
  <si>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</si>
  <si>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</si>
  <si>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</si>
  <si>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</si>
  <si>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</si>
  <si>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</si>
  <si>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</si>
  <si>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</si>
  <si>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</si>
  <si>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</si>
  <si>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</si>
  <si>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</si>
  <si>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</si>
  <si>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</si>
  <si>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</si>
  <si>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</si>
  <si>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</si>
  <si>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</si>
  <si>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</si>
  <si>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</si>
  <si>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</si>
  <si>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</si>
  <si>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</si>
  <si>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</si>
  <si>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</si>
  <si>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</si>
  <si>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</si>
  <si>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</si>
  <si>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</si>
  <si>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</si>
  <si>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</si>
  <si>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</si>
  <si>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</si>
  <si>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</si>
  <si>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</si>
  <si>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</si>
  <si>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</si>
  <si>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</si>
  <si>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</si>
  <si>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</si>
  <si>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</si>
  <si>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</si>
  <si>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</si>
  <si>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</si>
  <si>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</si>
  <si>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</si>
  <si>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</si>
  <si>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</si>
  <si>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</si>
  <si>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</si>
  <si>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</si>
  <si>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</si>
  <si>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</si>
  <si>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</si>
  <si>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</si>
  <si>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</si>
  <si>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</si>
  <si>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</si>
  <si>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</si>
  <si>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</si>
  <si>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</si>
  <si>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</si>
  <si>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</si>
  <si>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</si>
  <si>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</si>
  <si>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</si>
  <si>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</si>
  <si>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</si>
  <si>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</si>
  <si>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</si>
  <si>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</si>
  <si>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</si>
  <si>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</si>
  <si>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</si>
  <si>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</si>
  <si>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</si>
  <si>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</si>
  <si>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</si>
  <si>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</si>
  <si>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</si>
  <si>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</si>
  <si>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</si>
  <si>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</si>
  <si>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</si>
  <si>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</si>
  <si>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</si>
  <si>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</si>
  <si>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</si>
  <si>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</si>
  <si>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</si>
  <si>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</si>
  <si>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</si>
  <si>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</si>
  <si>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</si>
  <si>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</si>
  <si>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</si>
  <si>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</si>
  <si>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</si>
  <si>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</si>
  <si>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</si>
  <si>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</si>
  <si>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</si>
  <si>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</si>
  <si>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</si>
  <si>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</si>
  <si>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</si>
  <si>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</si>
  <si>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</si>
  <si>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</si>
  <si>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</si>
  <si>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</si>
  <si>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</si>
  <si>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</si>
  <si>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</si>
  <si>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</si>
  <si>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</si>
  <si>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</si>
  <si>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</si>
  <si>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</si>
  <si>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</si>
  <si>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</si>
  <si>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</si>
  <si>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</si>
  <si>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</si>
  <si>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</si>
  <si>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</si>
  <si>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</si>
  <si>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</si>
  <si>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</si>
  <si>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</si>
  <si>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</si>
  <si>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</si>
  <si>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</si>
  <si>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</si>
  <si>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</si>
  <si>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</si>
  <si>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</si>
  <si>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</si>
  <si>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</si>
  <si>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</si>
  <si>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</si>
  <si>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</si>
  <si>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</si>
  <si>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</si>
  <si>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</si>
  <si>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</si>
  <si>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</si>
  <si>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</si>
  <si>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</si>
  <si>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</si>
  <si>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</si>
  <si>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</si>
  <si>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</si>
  <si>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</si>
  <si>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</si>
  <si>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</si>
  <si>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</si>
  <si>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</si>
  <si>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</si>
  <si>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</si>
  <si>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</si>
  <si>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</si>
  <si>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</si>
  <si>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</si>
  <si>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</si>
  <si>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</si>
  <si>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</si>
  <si>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</si>
  <si>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</si>
  <si>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</si>
  <si>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</si>
  <si>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</si>
  <si>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</si>
  <si>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</si>
  <si>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</si>
  <si>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</si>
  <si>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</si>
  <si>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</si>
  <si>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</si>
  <si>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</si>
  <si>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</si>
  <si>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</si>
  <si>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</si>
  <si>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</si>
  <si>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</si>
  <si>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</si>
  <si>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</si>
  <si>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</si>
  <si>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</si>
  <si>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</si>
  <si>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</si>
  <si>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</si>
  <si>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</si>
  <si>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</si>
  <si>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</si>
  <si>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</si>
  <si>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</si>
  <si>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</si>
  <si>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</si>
  <si>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</si>
  <si>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</si>
  <si>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</si>
  <si>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</si>
  <si>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</si>
  <si>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</si>
  <si>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</si>
  <si>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</si>
  <si>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</si>
  <si>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</si>
  <si>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</si>
  <si>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</si>
  <si>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</si>
  <si>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CON IVA</t>
  </si>
  <si>
    <t>STB SEI ROBOTICS (DECO CLARO BOX TV)</t>
  </si>
  <si>
    <t>CONTROL REMOTO CERVINO (CONTROL CLARO BOX TV)</t>
  </si>
  <si>
    <t>DECODIFICADOR HD (Tv Prepago Satelital)</t>
  </si>
  <si>
    <t>ECF5927A</t>
  </si>
  <si>
    <t>PQR</t>
  </si>
  <si>
    <t>OFRECIMIENTOS COMERCIALES - NO HAY CONTRATO EN BD</t>
  </si>
  <si>
    <t>COMERCIAL</t>
  </si>
  <si>
    <t>SE CORRIGE EL CALCULO DE DISPONIBILIDAD DEL SERVICIO SEGUN LOS SOPORTES ADJUNTOS.</t>
  </si>
  <si>
    <t>C_CALCULO_ERRADO_SEGÚN_SOPORTES</t>
  </si>
  <si>
    <t>TRANSACCIONES</t>
  </si>
  <si>
    <t>ALIADO</t>
  </si>
  <si>
    <t>SOLICITUD DE CANCELACION</t>
  </si>
  <si>
    <t>MOTIVO2</t>
  </si>
  <si>
    <t>GERENCIA CODIGOS</t>
  </si>
  <si>
    <t>USUARIO BACK</t>
  </si>
  <si>
    <t>HORA ASIGNACION</t>
  </si>
  <si>
    <t>FECHA ASIGNACION</t>
  </si>
  <si>
    <t>SUB RAZON TICKET</t>
  </si>
  <si>
    <t>RAZON TICKET</t>
  </si>
  <si>
    <t>SUB_ MOTVIO</t>
  </si>
  <si>
    <t>MOTIVO</t>
  </si>
  <si>
    <t>RESPUESTA</t>
  </si>
  <si>
    <t>CUENTA</t>
  </si>
  <si>
    <t>USUARIO REMITENTE</t>
  </si>
  <si>
    <t>Nº _ PQR</t>
  </si>
  <si>
    <t>OTROS</t>
  </si>
  <si>
    <t>COD NO DISP</t>
  </si>
  <si>
    <t>SUPERIORES</t>
  </si>
  <si>
    <t>CUENTAS EN CERO</t>
  </si>
  <si>
    <t>TRANSACCIONES HOY</t>
  </si>
  <si>
    <t>LO MAS GESTIONADO</t>
  </si>
  <si>
    <t>TOTAL HOY</t>
  </si>
  <si>
    <t>HOY</t>
  </si>
  <si>
    <t>DIME</t>
  </si>
  <si>
    <t>RECURSOS</t>
  </si>
  <si>
    <t>DX1</t>
  </si>
  <si>
    <t>Total general</t>
  </si>
  <si>
    <t>DECEMBER</t>
  </si>
  <si>
    <t>Cuenta de SUB RAZON TICKET</t>
  </si>
  <si>
    <t>NOVEMBER</t>
  </si>
  <si>
    <t>OCTOBER</t>
  </si>
  <si>
    <t>Cuenta de ALIADO</t>
  </si>
  <si>
    <t>SEPTEMBER</t>
  </si>
  <si>
    <t>AUGUST</t>
  </si>
  <si>
    <t>JULY</t>
  </si>
  <si>
    <t>Etiquetas de fila</t>
  </si>
  <si>
    <t>JUNE</t>
  </si>
  <si>
    <t xml:space="preserve">TRANSACCIONES </t>
  </si>
  <si>
    <t>Cuenta de RESPUESTA</t>
  </si>
  <si>
    <t>OCT</t>
  </si>
  <si>
    <t>SEP</t>
  </si>
  <si>
    <t>AUG</t>
  </si>
  <si>
    <t>$                   602.250</t>
  </si>
  <si>
    <t xml:space="preserve">$                   443.256 </t>
  </si>
  <si>
    <t xml:space="preserve">$                   353.320 </t>
  </si>
  <si>
    <t>MAY</t>
  </si>
  <si>
    <t xml:space="preserve">$                   160.600 </t>
  </si>
  <si>
    <t>APR</t>
  </si>
  <si>
    <t xml:space="preserve">$                     90.097 </t>
  </si>
  <si>
    <t>MARC</t>
  </si>
  <si>
    <t>GESTION</t>
  </si>
  <si>
    <t>Valor Comisión</t>
  </si>
  <si>
    <t>%Comisión</t>
  </si>
  <si>
    <t>Transacciones</t>
  </si>
  <si>
    <t>FEB</t>
  </si>
  <si>
    <t>Columna5</t>
  </si>
  <si>
    <t>Columna4</t>
  </si>
  <si>
    <t>Columna3</t>
  </si>
  <si>
    <t>Columna2</t>
  </si>
  <si>
    <t>CUENTAS X SEGMENTO</t>
  </si>
  <si>
    <t>JAN</t>
  </si>
  <si>
    <t>PRODUCTIVIDAD MES</t>
  </si>
  <si>
    <t>SEGMENTO</t>
  </si>
  <si>
    <t xml:space="preserve">CALCULADOR PRODUCTIVIDAD </t>
  </si>
  <si>
    <t>HORAS TURNO</t>
  </si>
  <si>
    <t>TRANSACCIONES MES</t>
  </si>
  <si>
    <t>COD NO AUTORIZADOS</t>
  </si>
  <si>
    <t>TECNOLOGY</t>
  </si>
  <si>
    <t>NO UTILIZA EL FORMATO ADECUADAMENTE SEGUN EL ERROR DE FACTURA</t>
  </si>
  <si>
    <t>R_NO_HACE_USO_DE_FORMATOS_SEGÚN_PROCESO</t>
  </si>
  <si>
    <t>SEGÚN BOLETINES Y PROCESOS NO EXISTE ERROR DE FACTURA</t>
  </si>
  <si>
    <t>R_FACTURACIÓN_CORRECTA_SEGÚN_PROCESO</t>
  </si>
  <si>
    <t>PENDIENTE FALLA O CORRECCIÓN FACTURA</t>
  </si>
  <si>
    <t>CAMPAÑA DESCUENTO CARTERA ASOCIADO AL COBRO DE RECONEXION</t>
  </si>
  <si>
    <t>SUSPENSIÓN NO EFECTUADAS A TIEMPO SEGÚN SOLICITUD</t>
  </si>
  <si>
    <t>NO SE HACE AJUSTE  SIENDO QUE NO SE EVIDENCIA SOPORTE</t>
  </si>
  <si>
    <t>CAMPAÑA DESCUENTO DE CARTERA</t>
  </si>
  <si>
    <t>RETROACTIVO ERRADO EN FACTURA</t>
  </si>
  <si>
    <t>NO SE EVIDENCIA ERROR DE FACTURA</t>
  </si>
  <si>
    <t>CAMPAÑA DE RETENCION NO APLICADA</t>
  </si>
  <si>
    <t>RECONEXION  SIN EQUIPOS, ACTIVACION SERVICIO ERRADA</t>
  </si>
  <si>
    <t xml:space="preserve">NO HAY AFECTACIÓN EN EL SERVICIO SEGÚN SOPORTES O NO SON ATRIBUIBLES POR LA COMPAÑIA, O A LA CUENTA </t>
  </si>
  <si>
    <t>IMCUMPLIMIENTO PREAVISO CANCELACION</t>
  </si>
  <si>
    <t xml:space="preserve">OFRECIMIENTOS DE SSEE NO APLICADO EN EL TIEMPO PACTADO </t>
  </si>
  <si>
    <t>TRASLADO Y SE COBRA TOMA ADICIONAL</t>
  </si>
  <si>
    <t>COBRO DE REVISTA CORRESPONDE AL MES DE CAMPAÑA</t>
  </si>
  <si>
    <t>MOVIMIENTO DE TOMAS</t>
  </si>
  <si>
    <t>NUNCA SE DX EN TERRENO</t>
  </si>
  <si>
    <t>TOMA NO FUE INSTALADA</t>
  </si>
  <si>
    <t>AJUSTE YA APLICADO EN TICKET ANTERIOR</t>
  </si>
  <si>
    <t>DECODIFICADOR HD,PVR</t>
  </si>
  <si>
    <t>NO DX DE SERVICIOS ADICIONALES QUE NO CUMPLEN PREAVISO</t>
  </si>
  <si>
    <t>SILENCIO ADMINISTRATIVO POSITIVO</t>
  </si>
  <si>
    <t>EL TICKET DEBE SER REMITIDO AL ÁREA SEGÚN MAPA DE ESCALAMIENTO. QUE SE DEBE ESCALAR EL TICKET AL AREA QUE CORRESPONDE Y NO AL CORDINADOR</t>
  </si>
  <si>
    <t>R_AJUSTE_CORRESPONDE_OTRA_ÁREA</t>
  </si>
  <si>
    <t>AUMENTO POR MODIFICACION DE TARIFA EN TRASLADO</t>
  </si>
  <si>
    <t>SUSPENSIÓN TEMPORAL NO APLICADA</t>
  </si>
  <si>
    <t>LIQUIDACIÓN ERRADA DE PLAN DE PAGOS POR PREPAGO</t>
  </si>
  <si>
    <t>SEGÚN POLITICAS COMERCIALES COBRO ERRADO</t>
  </si>
  <si>
    <t>RX ERRADA POR CARTERA CON SOLICITUD CCL (NO RX)</t>
  </si>
  <si>
    <t>NO REALIZA CALCULO EN LA(S) DISPUTA(S) NI TAMPOCO EN NOTAS F7, SEGUN CORRESPONDIA (TIEMPO SIN SERVICIO / ERROR FACTURA)</t>
  </si>
  <si>
    <t>C_FALTO_DISPUTAR_PRODUCTO_O_NO_CALCULA_VALOR_EN_DISPUTA</t>
  </si>
  <si>
    <t>PRORRATEO NO INFORMADO</t>
  </si>
  <si>
    <t xml:space="preserve">FALLAS DEL SERVICIO SUS CONFIRMA SEÑAL OK </t>
  </si>
  <si>
    <t>INSTALACIONES NO EFECTUADAS EN LA UNIDAD</t>
  </si>
  <si>
    <t>REINSTALACION POR FALLAS REITERATIVAS</t>
  </si>
  <si>
    <t>PAGO REGISTRADO ANTES DE DX</t>
  </si>
  <si>
    <t>NO DISPUTA SERVICIOS EN CONTRA PARA DVP, CRUCE SALDO.  DX TARDIA O OT CON RETROACTIVO. CUANDO EXISTA DISPUTAS EN CASOS DE CESION O SALDOS A FAVOR Y SE DISPUTA SE CALIFICA ACEPTADO SIENDO QUE ES CORRECTO</t>
  </si>
  <si>
    <t>CAMPAÑA O PROMOCION NO APLICADA</t>
  </si>
  <si>
    <t>NO HAY GUIAS EN PAGINA</t>
  </si>
  <si>
    <t>FALLAS DEL SERVICIO POR DESENGANCHE DISPOSITIVO</t>
  </si>
  <si>
    <t>INFORMCION ERRADA FECHA DE PREAVISO</t>
  </si>
  <si>
    <t>OFRECIMIENTO POR PROCESO DE FIDELIZACION CAV</t>
  </si>
  <si>
    <t>NO  REGISTRA NOTAS DEL AJUSTE DISCRIMINADO (neto,iva,total) SEGUN LOS VALORES EMPAQUETADOS EN FACTURA (@ tv)</t>
  </si>
  <si>
    <t>ARRIENDO EQUIPOS</t>
  </si>
  <si>
    <t xml:space="preserve">NIEGA ENTREGA, GUÍA REGISTRA COMO EN INTENTO DE ENTREGA EN PÁGINA </t>
  </si>
  <si>
    <t>FALLAS DEL SERVICIO POR CALIBRACION NIVELES</t>
  </si>
  <si>
    <t xml:space="preserve">INFORMACIÓN SUMINISTRADA DESPUÉS DE REPORTE DE FALLAS  </t>
  </si>
  <si>
    <t>OFRECIMIENTO DE RETENCIÓN O CONTENCIÓN CON USUARIO AUTORIZADO</t>
  </si>
  <si>
    <t>SERVICIOS NO ASOCIADOS EN DLA</t>
  </si>
  <si>
    <t>FALTO RELACIONAR DISPUTA DE LOS SERVICIOS AFECTADOS, ( SUB, FUNCIONALIDAD, RX, U OTROS)</t>
  </si>
  <si>
    <t>ALTO_VALOR_VIP</t>
  </si>
  <si>
    <t>PAQUETES OFRECIDOS SIN COSTO FOX,HBO,HOTPACK</t>
  </si>
  <si>
    <t>INFORMACIÓN SUMINISTRADA BAJO CARTA AUTOMÁTICA</t>
  </si>
  <si>
    <t>FALLAS DE SERVICIO DAÑOS DISPOSITIVOS</t>
  </si>
  <si>
    <t>FACTURACION ERRADA POR APAGADOS DE CANALES</t>
  </si>
  <si>
    <t>INSTALO SERVICIO, QUEDO PDTE UN PUNTO</t>
  </si>
  <si>
    <t>NIEGA HABER SOLICITADO SERVICIO</t>
  </si>
  <si>
    <t>DISPUTA EL PRODUCTO QUE NO CORRESPONDEN SEGÚN SOPORTE POR FALLA DEL SERVICIO O ERROR DE FACTURA.</t>
  </si>
  <si>
    <t>ALTO_VALOR</t>
  </si>
  <si>
    <t>PLANES LARGA DISTANCIA</t>
  </si>
  <si>
    <t>GUIAS ANULADAS EN PAGINA</t>
  </si>
  <si>
    <t>FALLA MASIVA TRABAJOS DE FHC</t>
  </si>
  <si>
    <t>REVERSION POR FALLAS EN SERVICIO</t>
  </si>
  <si>
    <t>ESTRATO PACTADO EN EL CONTRATO NO CONCUERDA EN RR</t>
  </si>
  <si>
    <t>FAVORABLE POR MÍNIMA INCONSISTENCIA</t>
  </si>
  <si>
    <t xml:space="preserve">CONCILIA O NO RELACIONA NINGUNA DISPUTA </t>
  </si>
  <si>
    <t>WEBCENTER</t>
  </si>
  <si>
    <t xml:space="preserve">FAVORABILIDAD PQR / INFORMACIÓN SUMINISTRADA BAJO CONSECUTIVO </t>
  </si>
  <si>
    <t>REVERSION POR PUNTO NO INSTALADO</t>
  </si>
  <si>
    <t>FALLA MASIVA SIN SEÑAL</t>
  </si>
  <si>
    <t>REVERSION POR ACUERDO JEFATURAS SSEE</t>
  </si>
  <si>
    <t>ENTREGA DE EQUIPOS ANTES DE CUMPLIR PREAVISO</t>
  </si>
  <si>
    <t>FAVORABILIDAD PQR / RECURSOS REPOSICIÓN BAJO INFORMACIÓN SUMINISTRADA</t>
  </si>
  <si>
    <t>GENERA VARIAS DISPUTAS MISMO SERVICIO EN DIFERENTES MESES, A EXCEPCION CUANDO SEAN DIFERENTE RENTA DEL PRODUCTO EN LOS MESES AFECTADOS.</t>
  </si>
  <si>
    <t>C_MULTIPLE_DISPUTAS_MISMO_SERVICIO</t>
  </si>
  <si>
    <t xml:space="preserve">CUENTA_ASIGNADA_PERO_YA_GESTIONADA  </t>
  </si>
  <si>
    <t>OFRECIMIENTOS DE C ARTERA</t>
  </si>
  <si>
    <t>ENVIO A DIRECCION ERRADA</t>
  </si>
  <si>
    <t>FALLA MASIVA SEÑAL DEFICIENTE</t>
  </si>
  <si>
    <t>REVERSION DE CLAUSULA, DESISTE DE CCL</t>
  </si>
  <si>
    <t>DX TARDIA CON DESEMPAQUETAMIENTO</t>
  </si>
  <si>
    <t>EXIME COBRO RX DESPUES DE 3 DIAS DE NO RX, RESOLUCION 5111</t>
  </si>
  <si>
    <t>SOLICITA AJUSTE PROYECTADOS MESES POSTERIORES, RECUERDE QUE NO SE REALIZAN AJUSTES FUTUROS</t>
  </si>
  <si>
    <t>EVENTOS CLARO VIDEO</t>
  </si>
  <si>
    <t>TRASLADO CON NODO NFI, POR LO TANTO SE ASUME CCL DESDE SOLICITUD</t>
  </si>
  <si>
    <t>DOBLE COBRO EN EL MISMO MES</t>
  </si>
  <si>
    <t>FALLA MASIVA POR RUIDO (RETORNO /TX ALTA)</t>
  </si>
  <si>
    <t>REVERSION DE CLAUSULA ACUERDO 11</t>
  </si>
  <si>
    <t>DOBLE FACTURACION GENERADA</t>
  </si>
  <si>
    <t>EXONERACION POR PROCESO DE FIDELIZACION</t>
  </si>
  <si>
    <t>REVERSIÓN DE EQUIPOS POR ENTREGA</t>
  </si>
  <si>
    <t>EVENTO CLARO VIDEO NO VISUALIZADO</t>
  </si>
  <si>
    <t>DOBLE COBRO GENERADO</t>
  </si>
  <si>
    <t>SOLICITA AJUSTE POR DIAS SIN SERVICIO EN LOS COBROS PUNTUALES (Rx, Multa,Tomas, Etc) ERRADAMENTE,</t>
  </si>
  <si>
    <t>EVENTOS PPV</t>
  </si>
  <si>
    <t>NIEGA RETENCION GENERADA</t>
  </si>
  <si>
    <t>COBRO ERRADO EN ACTIVACION SIN CAMPAÑA</t>
  </si>
  <si>
    <t>FALLA MASIVA POR CAMBIO RED</t>
  </si>
  <si>
    <t>COBRO ERRADO PLAN DE MINUTOS ACTIVO</t>
  </si>
  <si>
    <t>TRASLADOS POR NO COBERTURA</t>
  </si>
  <si>
    <t>LIQUIDACION ERRADA DE CLAUSULA</t>
  </si>
  <si>
    <t>COBROS ERRADOS TRAS RX NO PROCEDENTES</t>
  </si>
  <si>
    <t>EMPAQUETA SERVICIOS Y SE COBRA TOMA</t>
  </si>
  <si>
    <t>REVERSIÓN COSTO ENVIÓ</t>
  </si>
  <si>
    <t>DX TARDIAS DEL SERVICIO</t>
  </si>
  <si>
    <t>CONFIRMACION FRAUDE COMERCIAL O SUPLANTACION DE IDENTIDAD</t>
  </si>
  <si>
    <t>C_NO_HACE_USO_DE_FORMATOS_SEGÚN_PROCESO</t>
  </si>
  <si>
    <t>SOLICITA MAS DE UNA TIPOLOGIA</t>
  </si>
  <si>
    <t>CLARO VIDEO</t>
  </si>
  <si>
    <t>COBRO DE PROPORCIONAL ERRADO</t>
  </si>
  <si>
    <t>FALLA MASIVA POR ALARMA ENERGIA</t>
  </si>
  <si>
    <t>COBRO ELEGIDO MÓVIL FRAUDE</t>
  </si>
  <si>
    <t>TRASLADOS NO EFECTUADOS A TIEMPO SEGÚN PROCESO</t>
  </si>
  <si>
    <t>CLIENTE CON SERVICIO ACTIVO PERO NO SE ESTABA FACTURANDO</t>
  </si>
  <si>
    <t>DAÑO ACOMETIDA EXTERNA</t>
  </si>
  <si>
    <t>REVERSIÓN ARRIENDO CONTROL</t>
  </si>
  <si>
    <t>OFRECIMIENTOS COMERCIALES  ADICIONALES - NO HAY CONTRATO EN BD</t>
  </si>
  <si>
    <t>DOBLE COBRO</t>
  </si>
  <si>
    <t>COBRO NO CORRESPONDE FACTURA EN PROCESO DE RECLAMACION</t>
  </si>
  <si>
    <t>COBRO ERRADO POR VENTA CRUZADA</t>
  </si>
  <si>
    <t>DISPUTA EL VALOR DE LA RENTA Y EL IVA DEL PRODUCTO</t>
  </si>
  <si>
    <t>ONELINK</t>
  </si>
  <si>
    <t>NO CUMPLE CONDICIONES DE CAMPAÑA (TIEMPO Y RENTA).SUPERA PROMOCION</t>
  </si>
  <si>
    <t>TIPOLOGIA NO APLICA SEGÚN POLITICA VIGENTE</t>
  </si>
  <si>
    <t>REVISTA</t>
  </si>
  <si>
    <t>DX NO EJECUTADAS TRAS LA RADICACION DE CERTIFICADO DE DEFUNCION</t>
  </si>
  <si>
    <t>CLIENTE NO SOLICITO EL SERVICIO</t>
  </si>
  <si>
    <t>FALLA MASIVA PIXELAMIENTO SEÑAL</t>
  </si>
  <si>
    <t>COBRO DE LLAMADAS DESPUÉS DEL BLOQUEO</t>
  </si>
  <si>
    <t>NO MIGRACION/DIGITALIZACION POR APAGADO DE CANALES</t>
  </si>
  <si>
    <t>CAMBIO DE TARIFA ERRADA TRAS RX</t>
  </si>
  <si>
    <t>COBRO POR ASOCIACIÓN DE CÓDIGOS CPI/ CPT</t>
  </si>
  <si>
    <t>OFRECIMIENTO COMERCIAL ADICIONALES - INEXISTENTE</t>
  </si>
  <si>
    <t>COBRO ERRADO POR APLICACIÓN DE CAMPAÑA</t>
  </si>
  <si>
    <t>COBRO ERRADO POR CESION DE CONTRATO</t>
  </si>
  <si>
    <t>DESISTIMIENTOS O ACCIONES LEGALES MAL CALCULADOS SEGÚN LO PACTADO  impuesto , subsidio</t>
  </si>
  <si>
    <t>NO_APLICA</t>
  </si>
  <si>
    <t>AST_BOGOTA</t>
  </si>
  <si>
    <t>CUENTA DX</t>
  </si>
  <si>
    <t>AJUSTE SUPERA MONTO ESTABLECIDO (50.000) SIN IVA</t>
  </si>
  <si>
    <t>TARIFA MAYOR A LA PACTADA</t>
  </si>
  <si>
    <t>DX MESES DESPUES DEL PREAVISO ADICIONALES</t>
  </si>
  <si>
    <t xml:space="preserve">CLIENTE NIEGA FIRMA </t>
  </si>
  <si>
    <t>COBRO ERRADO SEGÚN POLITICAS 10MB/20MB/40MB-150MB/200MB-300MB</t>
  </si>
  <si>
    <t>FALLA MASIVA DISPOSITIVOS EXTERNOS DAÑADOS</t>
  </si>
  <si>
    <t xml:space="preserve">COBRO DE LLAMADAS A NÚMERO ELEGIDO MÓVIL INSCRITO   </t>
  </si>
  <si>
    <t>NO APROVISIONAMIENTO DEL SERVICIO</t>
  </si>
  <si>
    <t>ASOCIACION DE SERVICIO NO PACTADO EN CONTRATO</t>
  </si>
  <si>
    <t>COBRO DESPUÉS DE BLINDAJE</t>
  </si>
  <si>
    <t>OFRECIMIENTO COMERCIAL - INEXISTENTE</t>
  </si>
  <si>
    <t>COBRO ERRADO SEGÚN POLITICAS</t>
  </si>
  <si>
    <t>COBRO TV PLAYER</t>
  </si>
  <si>
    <t>COBRO ERRADO AL REALIZAR TRASLADO</t>
  </si>
  <si>
    <t>COBRO ERRADO BAJO POLÍTICA PCAM 1017</t>
  </si>
  <si>
    <t>NO REGISTRA NOTAS DE VALORES DISCRIMINADOS POR SERVICIO, PERO RELACIONA SOPORTE</t>
  </si>
  <si>
    <t>C_SIN_REGISTROS_EN_NOTAS_F7</t>
  </si>
  <si>
    <t>CAV</t>
  </si>
  <si>
    <t>AJUSTE YA APLICADO</t>
  </si>
  <si>
    <t>NO CUMPLE CON EL CARGO FIJO MENSUAL MINIMO REQUERIDO (64.000) IVA INCLUIDO</t>
  </si>
  <si>
    <t>TOMA ADICIONALES</t>
  </si>
  <si>
    <t>CARTA PROYECTADA</t>
  </si>
  <si>
    <t>DX MESES DESPUES DEL PREAVISO</t>
  </si>
  <si>
    <t>CCL DE SERVICIOS</t>
  </si>
  <si>
    <t>FALLA MASIVA DESENGANCHE DISPOSITIVO</t>
  </si>
  <si>
    <t>LLS/OT NO AGENDADAS CUANDO SON REQUERIDAS</t>
  </si>
  <si>
    <t xml:space="preserve">COBRO DE CLAUSULA </t>
  </si>
  <si>
    <t>SUPLANTACION DE ID</t>
  </si>
  <si>
    <t xml:space="preserve">ASEGURAMIENTO GESTIÓN TICKETS / CIERRE DE LA EXPERIENCIA BAJO INFORMACIÓN SUMINISTRADA  </t>
  </si>
  <si>
    <t>COBRO EQUIPOS</t>
  </si>
  <si>
    <t>CAMPAÑAS O TARIFAS COMERCIALES NO APLICADAS EN EL TIEMPO PACTADO ADICIONALES</t>
  </si>
  <si>
    <t>NO INGRESA NOTAS EN F7,  SEGUN PROCESO DE AJUSTES PERO DISPUTA CON SOPORTE</t>
  </si>
  <si>
    <t>AST_PEREIRA</t>
  </si>
  <si>
    <t>NO SE EVIDENCIA INCONSISTENCIA</t>
  </si>
  <si>
    <t>NO CUMPLE CON  LA ANTIGÜEDAD REQUERIDA</t>
  </si>
  <si>
    <t>COBRO ERRADO DE RECONEXION POR OFRECIMIENTO DE RETENCION</t>
  </si>
  <si>
    <t>DESCUENTO NO APLICADO POR LO TANTO REITERA CCL</t>
  </si>
  <si>
    <t>FALLA DEL SERVICIO SE RECONECTA DE POSTE O DE CAJA RELIANCE</t>
  </si>
  <si>
    <t>ASUME TELMEX POR NO TRASLADO OPORTUNO A OPERADOR</t>
  </si>
  <si>
    <t xml:space="preserve">CLIENTE DESISTE DEL TRASLADO </t>
  </si>
  <si>
    <t>FRAUDE COMERCIAL</t>
  </si>
  <si>
    <t>AJUSTE POR INCREMENTO DE TARIFAS</t>
  </si>
  <si>
    <t>CAMPAÑAS O TARIFAS COMERCIALES NO APLICADAS EN EL TIEMPO PACTADO</t>
  </si>
  <si>
    <t>SOLICITUD AJUSTE COMPLETA SEGÚN EXIGENCIA DE POLITICA</t>
  </si>
  <si>
    <t>ACEPTADO</t>
  </si>
  <si>
    <t xml:space="preserve">FACTURACION_PQR </t>
  </si>
  <si>
    <t>R_CREER_EN_EL_CLIENTE</t>
  </si>
  <si>
    <t>C_CREER_EN_EL_CLIENTE</t>
  </si>
  <si>
    <t>CREER_EN_EL_CLIENTE</t>
  </si>
  <si>
    <t>TOMAS_ADICIONALES</t>
  </si>
  <si>
    <t>SSEE</t>
  </si>
  <si>
    <t>REVISTAS</t>
  </si>
  <si>
    <t>PUNTO_CABLEADO</t>
  </si>
  <si>
    <t>PRESTACION_DE_SERVICIO</t>
  </si>
  <si>
    <t>NOVEDAD_NO_AGENDADA</t>
  </si>
  <si>
    <t>FRAUDE</t>
  </si>
  <si>
    <t>FACTURACION</t>
  </si>
  <si>
    <t>ERROR_OT</t>
  </si>
  <si>
    <t>EQUIPOS</t>
  </si>
  <si>
    <t>COBRO_TRASLADO</t>
  </si>
  <si>
    <t>CLARO_VIDEO</t>
  </si>
  <si>
    <t>CARTERA</t>
  </si>
  <si>
    <t>CARGO_CONEXION</t>
  </si>
  <si>
    <t>https://luiski84.github.io/aplicativos/</t>
  </si>
  <si>
    <t>AJU</t>
  </si>
  <si>
    <t>BACK AJUSTES</t>
  </si>
  <si>
    <t>(Varios elementos)</t>
  </si>
  <si>
    <t>NOV</t>
  </si>
  <si>
    <t>FAVOR  MODIFICAR CAMPAÑA, SE ESTA DANDO MAS TIEMPO DEL DEBIDO</t>
  </si>
  <si>
    <t xml:space="preserve">SE DEJO UNA RENTA INFERIOR A LA RECLAMADA </t>
  </si>
  <si>
    <t xml:space="preserve">NO SE RELACIONA NINGUN  SOPORTE PARA AJUSTE </t>
  </si>
  <si>
    <t>EL AJUSTE SOLICITADO YA SE APLICO</t>
  </si>
  <si>
    <t>NO SE ACLARA QUE ES LO QUE SE DEBE AJUSTAR</t>
  </si>
  <si>
    <t>CORTOS</t>
  </si>
  <si>
    <t xml:space="preserve">SE AJUSTA SALDO PENDIENTE  A LA FECHA BAJO RESPONSABILIDAD DE AREA PQR QUE OTORGA FAVORABILIDAD AL CLIENTE </t>
  </si>
  <si>
    <t xml:space="preserve">SE APLICA AJUSTE POR    BAJO RESPONSABILIDAD DE AREA PQR QUE INFORMA AJUSTE AL CLIENTE </t>
  </si>
  <si>
    <t>CLL</t>
  </si>
  <si>
    <t>SE APLICA AJUSTE POR TIEMPO SIN SERVICIO  DE ACUERDO A SOPORTES ENVIADOS</t>
  </si>
  <si>
    <t>CEC</t>
  </si>
  <si>
    <t>DEC</t>
  </si>
  <si>
    <t>SE APLICA AJUSTE POR DIFERENCIA DE TARIFA PARA GARANTIZAR RENTA DE   EN EL PERIODO</t>
  </si>
  <si>
    <t xml:space="preserve">DE ACUERDO A VERIFICACION  REALIZADA,NO SE EVIDENCIA ERROR O NO PROCEDE AJUSTE </t>
  </si>
  <si>
    <t>SE AJUSTA COBRO DE EQUIPOS ULTRAWIFI POR  MOTIVO,</t>
  </si>
  <si>
    <t>(en blanco)</t>
  </si>
  <si>
    <t>EC2782H</t>
  </si>
  <si>
    <t>PRF</t>
  </si>
  <si>
    <t>EC5364E</t>
  </si>
  <si>
    <t>ECF0330F</t>
  </si>
  <si>
    <t>“Sr, consultor, tu solicitud fue recibida y atendida satisfactoriamente, el ajuste lo veras reflejado en la cuenta, ten en cuenta que este ajustes no será rechazado”</t>
  </si>
  <si>
    <t>ECM1755B</t>
  </si>
  <si>
    <t>EC1079E</t>
  </si>
  <si>
    <t>ECF0273F</t>
  </si>
  <si>
    <t>EIQ1991A</t>
  </si>
  <si>
    <t>ECF3672C</t>
  </si>
  <si>
    <t>EC5972K</t>
  </si>
  <si>
    <t>ECF1224B</t>
  </si>
  <si>
    <t>EC0067F</t>
  </si>
  <si>
    <t>EC8308F</t>
  </si>
  <si>
    <t>ECF3069E</t>
  </si>
  <si>
    <t>ICM8821A</t>
  </si>
  <si>
    <t>EC1392F</t>
  </si>
  <si>
    <t>ECM6618E</t>
  </si>
  <si>
    <t>ECF8520E</t>
  </si>
  <si>
    <t>EC4592F</t>
  </si>
  <si>
    <t>ECM0547B</t>
  </si>
  <si>
    <t>EC0587AA</t>
  </si>
  <si>
    <t>EC6562G</t>
  </si>
  <si>
    <t>EC4080G</t>
  </si>
  <si>
    <t>EC7963V</t>
  </si>
  <si>
    <t>EIQ8559A</t>
  </si>
  <si>
    <t>ECF3267C</t>
  </si>
  <si>
    <t>EC8116U</t>
  </si>
  <si>
    <t>ECF4190B</t>
  </si>
  <si>
    <t>ECF0416A</t>
  </si>
  <si>
    <t>EC5454I</t>
  </si>
  <si>
    <t>EVE</t>
  </si>
  <si>
    <t>DCC</t>
  </si>
  <si>
    <t>CAR</t>
  </si>
  <si>
    <t>RDA</t>
  </si>
  <si>
    <t>AEC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</si>
</sst>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[$$-240A]\ #,##0"/>
    <numFmt numFmtId="165" formatCode="[$-F400]h:mm:ss\ AM/PM"/>
    <numFmt numFmtId="166" formatCode="0.0%"/>
  </numFmts>
  <fonts count="5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indexed="8"/>
      <name val="Arial"/>
      <family val="2"/>
    </font>
    <font>
      <b/>
      <sz val="48"/>
      <color theme="3" tint="0.59999389629810485"/>
      <name val="Calibri"/>
      <family val="2"/>
      <scheme val="minor"/>
    </font>
    <font>
      <b/>
      <sz val="18"/>
      <color theme="1"/>
      <name val="Arial Black"/>
      <family val="2"/>
    </font>
    <font>
      <b/>
      <sz val="24"/>
      <color theme="1"/>
      <name val="Calibri"/>
      <family val="2"/>
      <scheme val="minor"/>
    </font>
    <font>
      <b/>
      <sz val="18"/>
      <color theme="0"/>
      <name val="Algerian"/>
      <family val="5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2"/>
      <color theme="9" tint="-0.249977111117893"/>
      <name val="Bernard MT Condensed"/>
      <family val="1"/>
    </font>
    <font>
      <b/>
      <sz val="18"/>
      <color theme="1"/>
      <name val="Calibri"/>
      <family val="2"/>
      <scheme val="minor"/>
    </font>
    <font>
      <b/>
      <sz val="20"/>
      <color theme="9" tint="0.79998168889431442"/>
      <name val="Berlin Sans FB Demi"/>
      <family val="2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8EA9DB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0" fontId="29" fillId="0" borderId="0"/>
    <xf numFmtId="9" fontId="42" fillId="0" borderId="0" applyFont="0" applyFill="0" applyBorder="0" applyAlignment="0" applyProtection="0"/>
    <xf numFmtId="0" fontId="48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336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3" xfId="0" applyFont="1" applyFill="1" applyBorder="1"/>
    <xf numFmtId="0" fontId="27" fillId="13" borderId="0" xfId="0" applyFont="1" applyFill="1"/>
    <xf numFmtId="0" fontId="26" fillId="14" borderId="27" xfId="0" applyFont="1" applyFill="1" applyBorder="1"/>
    <xf numFmtId="0" fontId="9" fillId="0" borderId="0" xfId="0" applyFont="1" applyAlignment="1">
      <alignment horizontal="center" vertical="center"/>
    </xf>
    <xf numFmtId="0" fontId="0" fillId="0" borderId="0" xfId="0" applyProtection="1"/>
    <xf numFmtId="0" fontId="0" fillId="15" borderId="0" xfId="0" applyFill="1" applyProtection="1"/>
    <xf numFmtId="164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4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164" fontId="4" fillId="6" borderId="0" xfId="0" applyNumberFormat="1" applyFont="1" applyFill="1" applyBorder="1" applyAlignment="1" applyProtection="1">
      <alignment horizontal="center"/>
    </xf>
    <xf numFmtId="0" fontId="4" fillId="6" borderId="0" xfId="0" applyFont="1" applyFill="1" applyBorder="1" applyAlignment="1" applyProtection="1">
      <alignment horizontal="center"/>
    </xf>
    <xf numFmtId="14" fontId="4" fillId="6" borderId="0" xfId="0" applyNumberFormat="1" applyFont="1" applyFill="1" applyBorder="1" applyAlignment="1" applyProtection="1">
      <alignment horizontal="center"/>
    </xf>
    <xf numFmtId="0" fontId="22" fillId="6" borderId="2" xfId="0" applyFont="1" applyFill="1" applyBorder="1" applyAlignment="1" applyProtection="1">
      <alignment horizontal="center" vertical="center"/>
      <protection locked="0"/>
    </xf>
    <xf numFmtId="2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0" applyNumberFormat="1" applyFont="1" applyFill="1" applyBorder="1" applyAlignment="1" applyProtection="1">
      <alignment horizontal="center"/>
      <protection locked="0"/>
    </xf>
    <xf numFmtId="49" fontId="4" fillId="6" borderId="2" xfId="0" applyNumberFormat="1" applyFont="1" applyFill="1" applyBorder="1" applyAlignment="1" applyProtection="1">
      <alignment horizontal="center"/>
      <protection locked="0"/>
    </xf>
    <xf numFmtId="0" fontId="4" fillId="6" borderId="2" xfId="4" applyFont="1" applyFill="1" applyBorder="1" applyAlignment="1" applyProtection="1">
      <alignment horizontal="center"/>
      <protection locked="0"/>
    </xf>
    <xf numFmtId="0" fontId="4" fillId="6" borderId="2" xfId="0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Alignment="1" applyProtection="1">
      <alignment horizontal="center"/>
      <protection locked="0"/>
    </xf>
    <xf numFmtId="14" fontId="4" fillId="6" borderId="2" xfId="4" applyNumberFormat="1" applyFont="1" applyFill="1" applyBorder="1" applyAlignment="1" applyProtection="1">
      <alignment horizontal="center"/>
      <protection locked="0"/>
    </xf>
    <xf numFmtId="0" fontId="4" fillId="6" borderId="0" xfId="0" applyFont="1" applyFill="1" applyBorder="1" applyAlignment="1" applyProtection="1">
      <alignment horizontal="center"/>
      <protection locked="0"/>
    </xf>
    <xf numFmtId="0" fontId="0" fillId="15" borderId="0" xfId="0" applyFill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15" borderId="0" xfId="0" applyFont="1" applyFill="1" applyAlignment="1">
      <alignment horizontal="center"/>
    </xf>
    <xf numFmtId="0" fontId="4" fillId="16" borderId="18" xfId="0" applyFont="1" applyFill="1" applyBorder="1" applyAlignment="1" applyProtection="1">
      <alignment horizontal="center" vertical="center" wrapText="1"/>
    </xf>
    <xf numFmtId="14" fontId="4" fillId="16" borderId="18" xfId="0" applyNumberFormat="1" applyFont="1" applyFill="1" applyBorder="1" applyAlignment="1" applyProtection="1">
      <alignment horizontal="center" vertical="center" wrapText="1"/>
    </xf>
    <xf numFmtId="0" fontId="4" fillId="16" borderId="13" xfId="0" applyFont="1" applyFill="1" applyBorder="1" applyAlignment="1" applyProtection="1">
      <alignment horizontal="center" vertical="center" wrapText="1"/>
    </xf>
    <xf numFmtId="0" fontId="4" fillId="17" borderId="13" xfId="0" applyFont="1" applyFill="1" applyBorder="1" applyAlignment="1" applyProtection="1">
      <alignment horizontal="center" vertical="center" wrapText="1"/>
    </xf>
    <xf numFmtId="164" fontId="0" fillId="18" borderId="0" xfId="0" applyNumberFormat="1" applyFont="1" applyFill="1" applyBorder="1" applyAlignment="1" applyProtection="1">
      <alignment horizontal="center"/>
    </xf>
    <xf numFmtId="0" fontId="0" fillId="18" borderId="0" xfId="0" applyFont="1" applyFill="1" applyBorder="1" applyAlignment="1" applyProtection="1">
      <alignment horizontal="center"/>
    </xf>
    <xf numFmtId="14" fontId="0" fillId="18" borderId="0" xfId="0" applyNumberFormat="1" applyFont="1" applyFill="1" applyBorder="1" applyAlignment="1" applyProtection="1">
      <alignment horizont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5" fillId="21" borderId="2" xfId="0" applyFont="1" applyFill="1" applyBorder="1" applyAlignment="1" applyProtection="1">
      <alignment horizontal="center"/>
    </xf>
    <xf numFmtId="164" fontId="0" fillId="18" borderId="0" xfId="0" applyNumberFormat="1" applyFont="1" applyFill="1" applyBorder="1" applyAlignment="1" applyProtection="1"/>
    <xf numFmtId="165" fontId="35" fillId="21" borderId="2" xfId="0" applyNumberFormat="1" applyFont="1" applyFill="1" applyBorder="1" applyAlignment="1" applyProtection="1">
      <alignment horizontal="center"/>
    </xf>
    <xf numFmtId="14" fontId="35" fillId="21" borderId="2" xfId="0" applyNumberFormat="1" applyFont="1" applyFill="1" applyBorder="1" applyAlignment="1" applyProtection="1">
      <alignment horizontal="center"/>
    </xf>
    <xf numFmtId="165" fontId="0" fillId="18" borderId="0" xfId="0" applyNumberFormat="1" applyFont="1" applyFill="1" applyBorder="1" applyAlignment="1" applyProtection="1">
      <alignment horizontal="center"/>
    </xf>
    <xf numFmtId="0" fontId="41" fillId="18" borderId="0" xfId="0" applyNumberFormat="1" applyFont="1" applyFill="1" applyBorder="1" applyAlignment="1" applyProtection="1">
      <alignment horizontal="center"/>
    </xf>
    <xf numFmtId="0" fontId="0" fillId="0" borderId="0" xfId="0" pivotButton="1"/>
    <xf numFmtId="0" fontId="4" fillId="0" borderId="0" xfId="0" applyFont="1"/>
    <xf numFmtId="9" fontId="26" fillId="0" borderId="2" xfId="5" applyFont="1" applyBorder="1"/>
    <xf numFmtId="0" fontId="4" fillId="23" borderId="2" xfId="0" applyFont="1" applyFill="1" applyBorder="1"/>
    <xf numFmtId="9" fontId="3" fillId="0" borderId="26" xfId="5" applyFont="1" applyBorder="1"/>
    <xf numFmtId="0" fontId="20" fillId="24" borderId="32" xfId="0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0" fontId="43" fillId="3" borderId="15" xfId="0" applyFont="1" applyFill="1" applyBorder="1" applyAlignment="1">
      <alignment horizontal="center" vertical="center"/>
    </xf>
    <xf numFmtId="0" fontId="0" fillId="7" borderId="26" xfId="5" applyNumberFormat="1" applyFont="1" applyFill="1" applyBorder="1"/>
    <xf numFmtId="9" fontId="3" fillId="0" borderId="19" xfId="5" applyFont="1" applyBorder="1"/>
    <xf numFmtId="9" fontId="3" fillId="0" borderId="2" xfId="5" applyFont="1" applyBorder="1"/>
    <xf numFmtId="0" fontId="0" fillId="0" borderId="0" xfId="0" applyFont="1"/>
    <xf numFmtId="9" fontId="4" fillId="0" borderId="0" xfId="5" applyFont="1"/>
    <xf numFmtId="9" fontId="4" fillId="0" borderId="0" xfId="0" applyNumberFormat="1" applyFont="1"/>
    <xf numFmtId="9" fontId="3" fillId="0" borderId="0" xfId="5" applyFont="1"/>
    <xf numFmtId="0" fontId="0" fillId="0" borderId="2" xfId="0" applyNumberFormat="1" applyBorder="1"/>
    <xf numFmtId="0" fontId="44" fillId="25" borderId="32" xfId="0" applyFont="1" applyFill="1" applyBorder="1" applyAlignment="1">
      <alignment horizontal="center" vertical="center"/>
    </xf>
    <xf numFmtId="0" fontId="43" fillId="26" borderId="15" xfId="0" applyFont="1" applyFill="1" applyBorder="1" applyAlignment="1">
      <alignment horizontal="center" vertical="center"/>
    </xf>
    <xf numFmtId="0" fontId="0" fillId="0" borderId="30" xfId="0" applyBorder="1"/>
    <xf numFmtId="0" fontId="0" fillId="0" borderId="1" xfId="0" applyBorder="1"/>
    <xf numFmtId="0" fontId="0" fillId="0" borderId="31" xfId="0" applyBorder="1"/>
    <xf numFmtId="9" fontId="4" fillId="0" borderId="2" xfId="0" applyNumberFormat="1" applyFont="1" applyBorder="1"/>
    <xf numFmtId="166" fontId="4" fillId="0" borderId="2" xfId="0" applyNumberFormat="1" applyFont="1" applyBorder="1"/>
    <xf numFmtId="0" fontId="0" fillId="0" borderId="2" xfId="0" applyBorder="1" applyAlignment="1">
      <alignment horizontal="center" vertical="center"/>
    </xf>
    <xf numFmtId="1" fontId="0" fillId="0" borderId="2" xfId="0" applyNumberFormat="1" applyBorder="1"/>
    <xf numFmtId="9" fontId="0" fillId="7" borderId="30" xfId="5" applyNumberFormat="1" applyFont="1" applyFill="1" applyBorder="1"/>
    <xf numFmtId="9" fontId="0" fillId="7" borderId="1" xfId="5" applyNumberFormat="1" applyFont="1" applyFill="1" applyBorder="1"/>
    <xf numFmtId="9" fontId="0" fillId="7" borderId="31" xfId="5" applyNumberFormat="1" applyFont="1" applyFill="1" applyBorder="1"/>
    <xf numFmtId="0" fontId="26" fillId="0" borderId="2" xfId="0" applyFont="1" applyBorder="1"/>
    <xf numFmtId="0" fontId="4" fillId="0" borderId="2" xfId="0" applyFont="1" applyBorder="1"/>
    <xf numFmtId="0" fontId="24" fillId="9" borderId="33" xfId="0" applyFont="1" applyFill="1" applyBorder="1"/>
    <xf numFmtId="0" fontId="24" fillId="9" borderId="2" xfId="0" applyFont="1" applyFill="1" applyBorder="1"/>
    <xf numFmtId="0" fontId="45" fillId="0" borderId="0" xfId="0" applyFont="1" applyProtection="1">
      <protection hidden="1"/>
    </xf>
    <xf numFmtId="0" fontId="45" fillId="0" borderId="0" xfId="0" applyFont="1" applyFill="1"/>
    <xf numFmtId="0" fontId="45" fillId="0" borderId="0" xfId="0" applyFont="1" applyBorder="1" applyProtection="1">
      <protection hidden="1"/>
    </xf>
    <xf numFmtId="0" fontId="45" fillId="0" borderId="34" xfId="0" applyFont="1" applyBorder="1" applyProtection="1">
      <protection hidden="1"/>
    </xf>
    <xf numFmtId="0" fontId="45" fillId="0" borderId="35" xfId="0" applyFont="1" applyBorder="1" applyProtection="1">
      <protection hidden="1"/>
    </xf>
    <xf numFmtId="0" fontId="45" fillId="0" borderId="36" xfId="0" applyFont="1" applyBorder="1" applyProtection="1">
      <protection hidden="1"/>
    </xf>
    <xf numFmtId="0" fontId="45" fillId="0" borderId="37" xfId="0" applyFont="1" applyBorder="1" applyProtection="1">
      <protection hidden="1"/>
    </xf>
    <xf numFmtId="0" fontId="45" fillId="0" borderId="38" xfId="0" applyFont="1" applyBorder="1" applyProtection="1">
      <protection hidden="1"/>
    </xf>
    <xf numFmtId="0" fontId="45" fillId="9" borderId="34" xfId="0" applyFont="1" applyFill="1" applyBorder="1" applyProtection="1">
      <protection hidden="1"/>
    </xf>
    <xf numFmtId="0" fontId="45" fillId="9" borderId="35" xfId="0" applyFont="1" applyFill="1" applyBorder="1" applyProtection="1">
      <protection hidden="1"/>
    </xf>
    <xf numFmtId="0" fontId="45" fillId="9" borderId="0" xfId="0" applyFont="1" applyFill="1" applyBorder="1" applyProtection="1">
      <protection hidden="1"/>
    </xf>
    <xf numFmtId="0" fontId="45" fillId="9" borderId="36" xfId="0" applyFont="1" applyFill="1" applyBorder="1" applyProtection="1">
      <protection hidden="1"/>
    </xf>
    <xf numFmtId="0" fontId="45" fillId="0" borderId="0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Alignment="1" applyProtection="1">
      <alignment horizontal="center"/>
      <protection hidden="1"/>
    </xf>
    <xf numFmtId="0" fontId="45" fillId="0" borderId="2" xfId="0" applyFont="1" applyFill="1" applyBorder="1" applyProtection="1">
      <protection hidden="1"/>
    </xf>
    <xf numFmtId="0" fontId="45" fillId="9" borderId="37" xfId="0" applyFont="1" applyFill="1" applyBorder="1" applyProtection="1">
      <protection hidden="1"/>
    </xf>
    <xf numFmtId="0" fontId="45" fillId="9" borderId="38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45" fillId="0" borderId="20" xfId="0" applyFont="1" applyBorder="1" applyProtection="1">
      <protection hidden="1"/>
    </xf>
    <xf numFmtId="0" fontId="45" fillId="0" borderId="12" xfId="0" applyFont="1" applyBorder="1" applyProtection="1">
      <protection hidden="1"/>
    </xf>
    <xf numFmtId="0" fontId="46" fillId="0" borderId="2" xfId="0" applyFont="1" applyFill="1" applyBorder="1" applyProtection="1">
      <protection hidden="1"/>
    </xf>
    <xf numFmtId="0" fontId="20" fillId="0" borderId="15" xfId="0" applyFont="1" applyBorder="1" applyAlignment="1">
      <alignment vertical="center"/>
    </xf>
    <xf numFmtId="0" fontId="45" fillId="9" borderId="20" xfId="0" applyFont="1" applyFill="1" applyBorder="1" applyProtection="1">
      <protection hidden="1"/>
    </xf>
    <xf numFmtId="0" fontId="45" fillId="9" borderId="12" xfId="0" applyFont="1" applyFill="1" applyBorder="1" applyProtection="1">
      <protection hidden="1"/>
    </xf>
    <xf numFmtId="0" fontId="47" fillId="0" borderId="0" xfId="0" applyFont="1" applyProtection="1">
      <protection hidden="1"/>
    </xf>
    <xf numFmtId="0" fontId="47" fillId="0" borderId="0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hidden="1"/>
    </xf>
    <xf numFmtId="0" fontId="47" fillId="0" borderId="2" xfId="0" applyFont="1" applyFill="1" applyBorder="1" applyAlignment="1" applyProtection="1">
      <alignment horizontal="center"/>
      <protection locked="0"/>
    </xf>
    <xf numFmtId="0" fontId="47" fillId="0" borderId="2" xfId="0" applyFont="1" applyFill="1" applyBorder="1" applyAlignment="1">
      <alignment horizontal="center"/>
    </xf>
    <xf numFmtId="0" fontId="41" fillId="15" borderId="0" xfId="0" applyFont="1" applyFill="1"/>
    <xf numFmtId="0" fontId="0" fillId="0" borderId="0" xfId="0" applyAlignment="1">
      <alignment horizontal="center" vertical="center"/>
    </xf>
    <xf numFmtId="1" fontId="26" fillId="13" borderId="2" xfId="0" applyNumberFormat="1" applyFont="1" applyFill="1" applyBorder="1" applyAlignment="1">
      <alignment horizontal="center" vertical="center"/>
    </xf>
    <xf numFmtId="1" fontId="0" fillId="13" borderId="2" xfId="0" applyNumberFormat="1" applyFill="1" applyBorder="1"/>
    <xf numFmtId="0" fontId="51" fillId="11" borderId="0" xfId="3" applyFont="1" applyAlignment="1">
      <alignment horizontal="center" vertical="center"/>
    </xf>
    <xf numFmtId="0" fontId="0" fillId="0" borderId="0" xfId="0" applyAlignment="1">
      <alignment horizontal="left" indent="1"/>
    </xf>
    <xf numFmtId="16" fontId="0" fillId="0" borderId="0" xfId="0" applyNumberFormat="1"/>
    <xf numFmtId="0" fontId="49" fillId="11" borderId="0" xfId="6" applyFont="1" applyFill="1" applyAlignment="1">
      <alignment horizontal="center"/>
    </xf>
    <xf numFmtId="0" fontId="50" fillId="11" borderId="0" xfId="3" applyFont="1" applyAlignment="1">
      <alignment horizontal="center"/>
    </xf>
    <xf numFmtId="0" fontId="25" fillId="2" borderId="19" xfId="3" applyFont="1" applyFill="1" applyBorder="1" applyAlignment="1">
      <alignment horizontal="left" vertical="top"/>
    </xf>
    <xf numFmtId="0" fontId="25" fillId="2" borderId="17" xfId="3" applyFont="1" applyFill="1" applyBorder="1" applyAlignment="1">
      <alignment horizontal="left" vertical="top"/>
    </xf>
    <xf numFmtId="0" fontId="25" fillId="2" borderId="26" xfId="3" applyFont="1" applyFill="1" applyBorder="1" applyAlignment="1">
      <alignment horizontal="left" vertical="top"/>
    </xf>
    <xf numFmtId="0" fontId="25" fillId="2" borderId="19" xfId="3" applyFont="1" applyFill="1" applyBorder="1" applyAlignment="1">
      <alignment horizontal="center" vertical="center"/>
    </xf>
    <xf numFmtId="0" fontId="25" fillId="2" borderId="26" xfId="3" applyFont="1" applyFill="1" applyBorder="1" applyAlignment="1">
      <alignment horizontal="center" vertical="center"/>
    </xf>
    <xf numFmtId="0" fontId="0" fillId="2" borderId="19" xfId="3" applyFont="1" applyFill="1" applyBorder="1" applyAlignment="1">
      <alignment horizontal="center"/>
    </xf>
    <xf numFmtId="0" fontId="0" fillId="2" borderId="17" xfId="3" applyFont="1" applyFill="1" applyBorder="1" applyAlignment="1">
      <alignment horizontal="center"/>
    </xf>
    <xf numFmtId="0" fontId="0" fillId="2" borderId="26" xfId="3" applyFont="1" applyFill="1" applyBorder="1" applyAlignment="1">
      <alignment horizontal="center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  <xf numFmtId="0" fontId="25" fillId="2" borderId="29" xfId="7" applyNumberFormat="1" applyFont="1" applyFill="1" applyBorder="1" applyAlignment="1">
      <alignment horizontal="center" vertical="center" wrapText="1"/>
    </xf>
    <xf numFmtId="0" fontId="25" fillId="2" borderId="27" xfId="7" applyNumberFormat="1" applyFont="1" applyFill="1" applyBorder="1" applyAlignment="1">
      <alignment horizontal="center" vertical="center" wrapText="1"/>
    </xf>
    <xf numFmtId="0" fontId="25" fillId="2" borderId="30" xfId="7" applyNumberFormat="1" applyFont="1" applyFill="1" applyBorder="1" applyAlignment="1">
      <alignment horizontal="center" vertical="center" wrapText="1"/>
    </xf>
    <xf numFmtId="0" fontId="25" fillId="2" borderId="31" xfId="7" applyNumberFormat="1" applyFont="1" applyFill="1" applyBorder="1" applyAlignment="1">
      <alignment horizontal="center" vertical="center" wrapText="1"/>
    </xf>
    <xf numFmtId="1" fontId="28" fillId="13" borderId="28" xfId="0" applyNumberFormat="1" applyFont="1" applyFill="1" applyBorder="1" applyAlignment="1">
      <alignment horizontal="center" vertical="center"/>
    </xf>
    <xf numFmtId="1" fontId="28" fillId="13" borderId="39" xfId="0" applyNumberFormat="1" applyFont="1" applyFill="1" applyBorder="1" applyAlignment="1">
      <alignment horizontal="center" vertical="center"/>
    </xf>
    <xf numFmtId="1" fontId="16" fillId="13" borderId="12" xfId="0" applyNumberFormat="1" applyFont="1" applyFill="1" applyBorder="1" applyAlignment="1">
      <alignment horizontal="center" vertical="center"/>
    </xf>
    <xf numFmtId="1" fontId="16" fillId="13" borderId="21" xfId="0" applyNumberFormat="1" applyFon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0" borderId="2" xfId="0" applyFont="1" applyBorder="1" applyAlignment="1">
      <alignment horizontal="left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 textRotation="90" wrapText="1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9" fillId="0" borderId="2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9" fillId="6" borderId="0" xfId="0" applyFont="1" applyFill="1" applyBorder="1" applyAlignment="1">
      <alignment horizontal="left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  <xf numFmtId="0" fontId="39" fillId="22" borderId="2" xfId="0" applyFont="1" applyFill="1" applyBorder="1" applyAlignment="1" applyProtection="1">
      <alignment horizontal="center" vertical="center"/>
    </xf>
    <xf numFmtId="0" fontId="40" fillId="18" borderId="0" xfId="0" applyFont="1" applyFill="1" applyBorder="1" applyAlignment="1" applyProtection="1">
      <alignment horizontal="left" vertical="center"/>
    </xf>
    <xf numFmtId="0" fontId="37" fillId="20" borderId="29" xfId="0" applyFont="1" applyFill="1" applyBorder="1" applyAlignment="1" applyProtection="1">
      <alignment horizontal="center" vertical="center"/>
    </xf>
    <xf numFmtId="0" fontId="37" fillId="20" borderId="27" xfId="0" applyFont="1" applyFill="1" applyBorder="1" applyAlignment="1" applyProtection="1">
      <alignment horizontal="center" vertical="center"/>
    </xf>
    <xf numFmtId="0" fontId="37" fillId="20" borderId="30" xfId="0" applyFont="1" applyFill="1" applyBorder="1" applyAlignment="1" applyProtection="1">
      <alignment horizontal="center" vertical="center"/>
    </xf>
    <xf numFmtId="0" fontId="37" fillId="20" borderId="31" xfId="0" applyFont="1" applyFill="1" applyBorder="1" applyAlignment="1" applyProtection="1">
      <alignment horizontal="center" vertical="center"/>
    </xf>
    <xf numFmtId="0" fontId="37" fillId="20" borderId="2" xfId="0" applyFont="1" applyFill="1" applyBorder="1" applyAlignment="1" applyProtection="1">
      <alignment horizontal="center"/>
    </xf>
    <xf numFmtId="9" fontId="32" fillId="18" borderId="13" xfId="0" applyNumberFormat="1" applyFont="1" applyFill="1" applyBorder="1" applyAlignment="1" applyProtection="1">
      <alignment horizontal="center" vertical="center"/>
    </xf>
    <xf numFmtId="0" fontId="32" fillId="18" borderId="1" xfId="0" applyFont="1" applyFill="1" applyBorder="1" applyAlignment="1" applyProtection="1">
      <alignment horizontal="center" vertical="center"/>
    </xf>
    <xf numFmtId="0" fontId="32" fillId="18" borderId="13" xfId="0" applyFont="1" applyFill="1" applyBorder="1" applyAlignment="1" applyProtection="1">
      <alignment horizontal="center" vertical="center"/>
    </xf>
    <xf numFmtId="0" fontId="30" fillId="19" borderId="2" xfId="0" applyFont="1" applyFill="1" applyBorder="1" applyAlignment="1" applyProtection="1">
      <alignment horizontal="center" vertical="center"/>
    </xf>
    <xf numFmtId="14" fontId="32" fillId="18" borderId="2" xfId="0" applyNumberFormat="1" applyFont="1" applyFill="1" applyBorder="1" applyAlignment="1" applyProtection="1">
      <alignment horizontal="center" vertical="center"/>
    </xf>
    <xf numFmtId="0" fontId="32" fillId="18" borderId="2" xfId="0" applyFont="1" applyFill="1" applyBorder="1" applyAlignment="1" applyProtection="1">
      <alignment horizontal="center" vertical="center"/>
    </xf>
    <xf numFmtId="0" fontId="34" fillId="21" borderId="2" xfId="0" applyFont="1" applyFill="1" applyBorder="1" applyAlignment="1" applyProtection="1">
      <alignment horizontal="center"/>
    </xf>
    <xf numFmtId="164" fontId="33" fillId="20" borderId="2" xfId="0" applyNumberFormat="1" applyFont="1" applyFill="1" applyBorder="1" applyAlignment="1" applyProtection="1">
      <alignment horizontal="center" vertical="center"/>
    </xf>
    <xf numFmtId="0" fontId="31" fillId="18" borderId="2" xfId="0" applyNumberFormat="1" applyFont="1" applyFill="1" applyBorder="1" applyAlignment="1" applyProtection="1">
      <alignment horizontal="center" vertical="center"/>
    </xf>
    <xf numFmtId="0" fontId="36" fillId="18" borderId="0" xfId="0" applyNumberFormat="1" applyFont="1" applyFill="1" applyBorder="1" applyAlignment="1" applyProtection="1">
      <alignment horizontal="center" vertical="center"/>
    </xf>
    <xf numFmtId="14" fontId="38" fillId="18" borderId="14" xfId="0" applyNumberFormat="1" applyFont="1" applyFill="1" applyBorder="1" applyAlignment="1" applyProtection="1">
      <alignment horizontal="center" vertical="center"/>
    </xf>
    <xf numFmtId="14" fontId="38" fillId="18" borderId="0" xfId="0" applyNumberFormat="1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6" fillId="0" borderId="0" xfId="0" applyFont="1" applyAlignment="1">
      <alignment horizontal="center"/>
    </xf>
    <xf numFmtId="0" fontId="22" fillId="9" borderId="2" xfId="0" applyFont="1" applyFill="1" applyBorder="1" applyAlignment="1">
      <alignment horizontal="center"/>
    </xf>
    <xf numFmtId="0" fontId="22" fillId="9" borderId="16" xfId="0" applyFont="1" applyFill="1" applyBorder="1" applyAlignment="1">
      <alignment horizontal="center"/>
    </xf>
  </cellXfs>
  <cellStyles count="8">
    <cellStyle name="Énfasis2" xfId="3" builtinId="33"/>
    <cellStyle name="Hipervínculo" xfId="6" builtinId="8"/>
    <cellStyle name="Moneda" xfId="7" builtinId="4"/>
    <cellStyle name="Normal" xfId="0" builtinId="0"/>
    <cellStyle name="Normal 2" xfId="1"/>
    <cellStyle name="Normal_Hoja1" xfId="4"/>
    <cellStyle name="Porcentaje" xfId="2" builtinId="5"/>
    <cellStyle name="Porcentaje 2" xfId="5"/>
  </cellStyles>
  <dxfs count="69">
    <dxf>
      <numFmt numFmtId="1" formatCode="0"/>
    </dxf>
    <dxf>
      <numFmt numFmtId="1" formatCode="0"/>
    </dxf>
    <dxf>
      <fill>
        <patternFill>
          <bgColor rgb="FFFF0000"/>
        </patternFill>
      </fill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[$$-240A]\ 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[$-F400]h:mm:ss\ AM/P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A-41A0-B7FE-71C43A124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A-41A0-B7FE-71C43A12436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0.37228752260397829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A-41A0-B7FE-71C43A124367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0.62771247739602165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A-41A0-B7FE-71C43A12436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7A-41A0-B7FE-71C43A124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C-4168-A1B2-1973ED259BA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C-4168-A1B2-1973ED259BA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0.37228752260397829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C-4168-A1B2-1973ED259BA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0.62771247739602165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CC-4168-A1B2-1973ED259B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CC-4168-A1B2-1973ED259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$P$3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fmlaLink="$T$4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firstButton="1" fmlaLink="$T$5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CheckBox" checked="Checked" fmlaLink="$T$14" lockText="1" noThreeD="1"/>
</file>

<file path=xl/ctrlProps/ctrlProp18.xml><?xml version="1.0" encoding="utf-8"?>
<formControlPr xmlns="http://schemas.microsoft.com/office/spreadsheetml/2009/9/main" objectType="CheckBox" checked="Checked" fmlaLink="$T$15" lockText="1" noThreeD="1"/>
</file>

<file path=xl/ctrlProps/ctrlProp19.xml><?xml version="1.0" encoding="utf-8"?>
<formControlPr xmlns="http://schemas.microsoft.com/office/spreadsheetml/2009/9/main" objectType="CheckBox" checked="Checked" fmlaLink="$T$16" lockText="1" noThreeD="1"/>
</file>

<file path=xl/ctrlProps/ctrlProp20.xml><?xml version="1.0" encoding="utf-8"?>
<formControlPr xmlns="http://schemas.microsoft.com/office/spreadsheetml/2009/9/main" objectType="CheckBox" checked="Checked" fmlaLink="$T$17" lockText="1" noThreeD="1"/>
</file>

<file path=xl/ctrlProps/ctrlProp21.xml><?xml version="1.0" encoding="utf-8"?>
<formControlPr xmlns="http://schemas.microsoft.com/office/spreadsheetml/2009/9/main" objectType="CheckBox" checked="Checked" fmlaLink="$T$18" lockText="1" noThreeD="1"/>
</file>

<file path=xl/ctrlProps/ctrlProp22.xml><?xml version="1.0" encoding="utf-8"?>
<formControlPr xmlns="http://schemas.microsoft.com/office/spreadsheetml/2009/9/main" objectType="CheckBox" checked="Checked" fmlaLink="$T$19" lockText="1" noThreeD="1"/>
</file>

<file path=xl/ctrlProps/ctrlProp23.xml><?xml version="1.0" encoding="utf-8"?>
<formControlPr xmlns="http://schemas.microsoft.com/office/spreadsheetml/2009/9/main" objectType="CheckBox" checked="Checked" fmlaLink="$T$20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List" dx="22" fmlaLink="$H$8" fmlaRange="$P$7:$P$34" noThreeD="1" sel="5" val="0"/>
</file>

<file path=xl/ctrlProps/ctrlProp26.xml><?xml version="1.0" encoding="utf-8"?>
<formControlPr xmlns="http://schemas.microsoft.com/office/spreadsheetml/2009/9/main" objectType="Spin" dx="16" fmlaLink="$M$9" max="30000" page="10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Spin" dx="16" fmlaLink="$I$25" max="30000" page="10" val="9"/>
</file>

<file path=xl/ctrlProps/ctrlProp30.xml><?xml version="1.0" encoding="utf-8"?>
<formControlPr xmlns="http://schemas.microsoft.com/office/spreadsheetml/2009/9/main" objectType="Radio" checked="Checked" firstButton="1" fmlaLink="'SALA DE MAQUINAS'!$AX$7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Spin" dx="22" fmlaLink="$I$6" max="30000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ALA DE MAQUINAS'!A1"/><Relationship Id="rId3" Type="http://schemas.openxmlformats.org/officeDocument/2006/relationships/hyperlink" Target="#PROPORCIONADOR!A1"/><Relationship Id="rId7" Type="http://schemas.openxmlformats.org/officeDocument/2006/relationships/hyperlink" Target="#ASIGNACION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11" Type="http://schemas.openxmlformats.org/officeDocument/2006/relationships/hyperlink" Target="#'Consolidad Codigo'!AA60"/><Relationship Id="rId5" Type="http://schemas.openxmlformats.org/officeDocument/2006/relationships/hyperlink" Target="#'Consolidad Codigo'!F5"/><Relationship Id="rId10" Type="http://schemas.openxmlformats.org/officeDocument/2006/relationships/hyperlink" Target="#'Consolidad Codigo'!A1"/><Relationship Id="rId4" Type="http://schemas.openxmlformats.org/officeDocument/2006/relationships/hyperlink" Target="#'COBRO EQUIPOS'!A1"/><Relationship Id="rId9" Type="http://schemas.openxmlformats.org/officeDocument/2006/relationships/hyperlink" Target="#SEGUIMIENT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7" Type="http://schemas.openxmlformats.org/officeDocument/2006/relationships/hyperlink" Target="#SEGUIMIENTOS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SALA DE MAQUINAS'!A1"/><Relationship Id="rId5" Type="http://schemas.openxmlformats.org/officeDocument/2006/relationships/hyperlink" Target="#ASIGNACION!A1"/><Relationship Id="rId4" Type="http://schemas.openxmlformats.org/officeDocument/2006/relationships/hyperlink" Target="#'Consolidad Codig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ROPORCIONADOR!A1"/><Relationship Id="rId3" Type="http://schemas.openxmlformats.org/officeDocument/2006/relationships/hyperlink" Target="#Asignacion!P1"/><Relationship Id="rId7" Type="http://schemas.openxmlformats.org/officeDocument/2006/relationships/hyperlink" Target="#'CALCULOS MANUALES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GENERADOR DE NOTAS'!A1"/><Relationship Id="rId11" Type="http://schemas.openxmlformats.org/officeDocument/2006/relationships/hyperlink" Target="#'SALA DE MAQUINAS'!A1"/><Relationship Id="rId5" Type="http://schemas.openxmlformats.org/officeDocument/2006/relationships/hyperlink" Target="#SEGUIMIENTOS!A1"/><Relationship Id="rId10" Type="http://schemas.openxmlformats.org/officeDocument/2006/relationships/hyperlink" Target="#'COBRO EQUIPOS'!A1"/><Relationship Id="rId4" Type="http://schemas.openxmlformats.org/officeDocument/2006/relationships/hyperlink" Target="#Asignacion!A1"/><Relationship Id="rId9" Type="http://schemas.openxmlformats.org/officeDocument/2006/relationships/hyperlink" Target="#'Consolidad Codig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SIGNACION!A1"/><Relationship Id="rId3" Type="http://schemas.openxmlformats.org/officeDocument/2006/relationships/hyperlink" Target="#'GENERADOR DE NOTAS'!A1"/><Relationship Id="rId7" Type="http://schemas.openxmlformats.org/officeDocument/2006/relationships/hyperlink" Target="#'COBRO EQUIPOS'!A1"/><Relationship Id="rId2" Type="http://schemas.openxmlformats.org/officeDocument/2006/relationships/hyperlink" Target="#'SALA DE MAQUINAS'!A1"/><Relationship Id="rId1" Type="http://schemas.openxmlformats.org/officeDocument/2006/relationships/hyperlink" Target="#'SALA DE MAQUINAS'!BM1"/><Relationship Id="rId6" Type="http://schemas.openxmlformats.org/officeDocument/2006/relationships/hyperlink" Target="#'Consolidad Codigo'!A1"/><Relationship Id="rId5" Type="http://schemas.openxmlformats.org/officeDocument/2006/relationships/hyperlink" Target="#PROPORCIONADOR!A1"/><Relationship Id="rId4" Type="http://schemas.openxmlformats.org/officeDocument/2006/relationships/hyperlink" Target="#'CALCULOS MANUALES'!A1"/><Relationship Id="rId9" Type="http://schemas.openxmlformats.org/officeDocument/2006/relationships/hyperlink" Target="#SEGUIMIENTO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SEGUIMIENTOS!A1"/><Relationship Id="rId3" Type="http://schemas.openxmlformats.org/officeDocument/2006/relationships/hyperlink" Target="#PROPORCIONADOR!A1"/><Relationship Id="rId7" Type="http://schemas.openxmlformats.org/officeDocument/2006/relationships/hyperlink" Target="#'SALA DE MAQUINAS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ASIGNACION!A1"/><Relationship Id="rId5" Type="http://schemas.openxmlformats.org/officeDocument/2006/relationships/hyperlink" Target="#'COBRO EQUIPOS'!A1"/><Relationship Id="rId4" Type="http://schemas.openxmlformats.org/officeDocument/2006/relationships/hyperlink" Target="#'Consolidad Codigo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9525</xdr:rowOff>
    </xdr:from>
    <xdr:to>
      <xdr:col>2</xdr:col>
      <xdr:colOff>342900</xdr:colOff>
      <xdr:row>2</xdr:row>
      <xdr:rowOff>180975</xdr:rowOff>
    </xdr:to>
    <xdr:sp macro="" textlink="">
      <xdr:nvSpPr>
        <xdr:cNvPr id="3" name="Rectángulo redondeado 2"/>
        <xdr:cNvSpPr/>
      </xdr:nvSpPr>
      <xdr:spPr>
        <a:xfrm>
          <a:off x="0" y="9525"/>
          <a:ext cx="1866900" cy="552450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333374</xdr:colOff>
      <xdr:row>0</xdr:row>
      <xdr:rowOff>9525</xdr:rowOff>
    </xdr:from>
    <xdr:to>
      <xdr:col>4</xdr:col>
      <xdr:colOff>428484</xdr:colOff>
      <xdr:row>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857374" y="9525"/>
          <a:ext cx="193343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438150</xdr:colOff>
      <xdr:row>0</xdr:row>
      <xdr:rowOff>0</xdr:rowOff>
    </xdr:from>
    <xdr:to>
      <xdr:col>4</xdr:col>
      <xdr:colOff>2335026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800475" y="0"/>
          <a:ext cx="189687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2343149</xdr:colOff>
      <xdr:row>0</xdr:row>
      <xdr:rowOff>0</xdr:rowOff>
    </xdr:from>
    <xdr:to>
      <xdr:col>5</xdr:col>
      <xdr:colOff>696865</xdr:colOff>
      <xdr:row>3</xdr:row>
      <xdr:rowOff>9525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705474" y="0"/>
          <a:ext cx="1563641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695325</xdr:colOff>
      <xdr:row>0</xdr:row>
      <xdr:rowOff>0</xdr:rowOff>
    </xdr:from>
    <xdr:to>
      <xdr:col>6</xdr:col>
      <xdr:colOff>1048590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7267575" y="0"/>
          <a:ext cx="1486740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8</xdr:col>
      <xdr:colOff>295274</xdr:colOff>
      <xdr:row>6</xdr:row>
      <xdr:rowOff>152400</xdr:rowOff>
    </xdr:from>
    <xdr:to>
      <xdr:col>10</xdr:col>
      <xdr:colOff>523875</xdr:colOff>
      <xdr:row>8</xdr:row>
      <xdr:rowOff>38099</xdr:rowOff>
    </xdr:to>
    <xdr:sp macro="[0]!APRUEBA" textlink="">
      <xdr:nvSpPr>
        <xdr:cNvPr id="2" name="Rectángulo redondeado 1"/>
        <xdr:cNvSpPr/>
      </xdr:nvSpPr>
      <xdr:spPr>
        <a:xfrm>
          <a:off x="12239624" y="1314450"/>
          <a:ext cx="1752601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8</xdr:col>
      <xdr:colOff>304800</xdr:colOff>
      <xdr:row>8</xdr:row>
      <xdr:rowOff>123825</xdr:rowOff>
    </xdr:from>
    <xdr:to>
      <xdr:col>10</xdr:col>
      <xdr:colOff>533399</xdr:colOff>
      <xdr:row>9</xdr:row>
      <xdr:rowOff>285750</xdr:rowOff>
    </xdr:to>
    <xdr:sp macro="[0]!CORRIGE" textlink="">
      <xdr:nvSpPr>
        <xdr:cNvPr id="13" name="Rectángulo redondeado 12"/>
        <xdr:cNvSpPr/>
      </xdr:nvSpPr>
      <xdr:spPr>
        <a:xfrm>
          <a:off x="12249150" y="1876425"/>
          <a:ext cx="1752599" cy="457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8</xdr:col>
      <xdr:colOff>314325</xdr:colOff>
      <xdr:row>9</xdr:row>
      <xdr:rowOff>400050</xdr:rowOff>
    </xdr:from>
    <xdr:to>
      <xdr:col>10</xdr:col>
      <xdr:colOff>542924</xdr:colOff>
      <xdr:row>10</xdr:row>
      <xdr:rowOff>257175</xdr:rowOff>
    </xdr:to>
    <xdr:sp macro="[0]!RECHAZA" textlink="">
      <xdr:nvSpPr>
        <xdr:cNvPr id="14" name="Rectángulo redondeado 13"/>
        <xdr:cNvSpPr/>
      </xdr:nvSpPr>
      <xdr:spPr>
        <a:xfrm>
          <a:off x="12258675" y="2447925"/>
          <a:ext cx="1752599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  <xdr:twoCellAnchor>
    <xdr:from>
      <xdr:col>6</xdr:col>
      <xdr:colOff>1047749</xdr:colOff>
      <xdr:row>0</xdr:row>
      <xdr:rowOff>0</xdr:rowOff>
    </xdr:from>
    <xdr:to>
      <xdr:col>6</xdr:col>
      <xdr:colOff>2790824</xdr:colOff>
      <xdr:row>3</xdr:row>
      <xdr:rowOff>0</xdr:rowOff>
    </xdr:to>
    <xdr:sp macro="" textlink="">
      <xdr:nvSpPr>
        <xdr:cNvPr id="4" name="Rectángulo redondeado 3">
          <a:hlinkClick xmlns:r="http://schemas.openxmlformats.org/officeDocument/2006/relationships" r:id="rId5"/>
        </xdr:cNvPr>
        <xdr:cNvSpPr/>
      </xdr:nvSpPr>
      <xdr:spPr>
        <a:xfrm>
          <a:off x="8753474" y="0"/>
          <a:ext cx="1743075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6</xdr:col>
      <xdr:colOff>2800349</xdr:colOff>
      <xdr:row>0</xdr:row>
      <xdr:rowOff>0</xdr:rowOff>
    </xdr:from>
    <xdr:to>
      <xdr:col>8</xdr:col>
      <xdr:colOff>522683</xdr:colOff>
      <xdr:row>3</xdr:row>
      <xdr:rowOff>0</xdr:rowOff>
    </xdr:to>
    <xdr:sp macro="" textlink="">
      <xdr:nvSpPr>
        <xdr:cNvPr id="15" name="Rectángulo redondeado 14">
          <a:hlinkClick xmlns:r="http://schemas.openxmlformats.org/officeDocument/2006/relationships" r:id="rId6"/>
        </xdr:cNvPr>
        <xdr:cNvSpPr/>
      </xdr:nvSpPr>
      <xdr:spPr>
        <a:xfrm>
          <a:off x="10506074" y="0"/>
          <a:ext cx="196095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8</xdr:col>
      <xdr:colOff>542924</xdr:colOff>
      <xdr:row>0</xdr:row>
      <xdr:rowOff>0</xdr:rowOff>
    </xdr:from>
    <xdr:to>
      <xdr:col>10</xdr:col>
      <xdr:colOff>761999</xdr:colOff>
      <xdr:row>2</xdr:row>
      <xdr:rowOff>180975</xdr:rowOff>
    </xdr:to>
    <xdr:sp macro="" textlink="">
      <xdr:nvSpPr>
        <xdr:cNvPr id="16" name="Rectángulo redondeado 15">
          <a:hlinkClick xmlns:r="http://schemas.openxmlformats.org/officeDocument/2006/relationships" r:id="rId7"/>
        </xdr:cNvPr>
        <xdr:cNvSpPr/>
      </xdr:nvSpPr>
      <xdr:spPr>
        <a:xfrm>
          <a:off x="12487274" y="0"/>
          <a:ext cx="1743075" cy="5619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  <xdr:twoCellAnchor>
    <xdr:from>
      <xdr:col>2</xdr:col>
      <xdr:colOff>1314450</xdr:colOff>
      <xdr:row>14</xdr:row>
      <xdr:rowOff>133350</xdr:rowOff>
    </xdr:from>
    <xdr:to>
      <xdr:col>4</xdr:col>
      <xdr:colOff>809625</xdr:colOff>
      <xdr:row>15</xdr:row>
      <xdr:rowOff>266700</xdr:rowOff>
    </xdr:to>
    <xdr:sp macro="[0]!CAMPAÑA" textlink="">
      <xdr:nvSpPr>
        <xdr:cNvPr id="5" name="Rectángulo redondeado 4"/>
        <xdr:cNvSpPr/>
      </xdr:nvSpPr>
      <xdr:spPr>
        <a:xfrm>
          <a:off x="2838450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CAMPAÑA</a:t>
          </a:r>
        </a:p>
      </xdr:txBody>
    </xdr:sp>
    <xdr:clientData/>
  </xdr:twoCellAnchor>
  <xdr:twoCellAnchor>
    <xdr:from>
      <xdr:col>4</xdr:col>
      <xdr:colOff>866775</xdr:colOff>
      <xdr:row>14</xdr:row>
      <xdr:rowOff>133350</xdr:rowOff>
    </xdr:from>
    <xdr:to>
      <xdr:col>4</xdr:col>
      <xdr:colOff>2200275</xdr:colOff>
      <xdr:row>15</xdr:row>
      <xdr:rowOff>266700</xdr:rowOff>
    </xdr:to>
    <xdr:sp macro="[0]!RENTA" textlink="">
      <xdr:nvSpPr>
        <xdr:cNvPr id="17" name="Rectángulo redondeado 16"/>
        <xdr:cNvSpPr/>
      </xdr:nvSpPr>
      <xdr:spPr>
        <a:xfrm>
          <a:off x="4229100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RENTA</a:t>
          </a:r>
        </a:p>
      </xdr:txBody>
    </xdr:sp>
    <xdr:clientData/>
  </xdr:twoCellAnchor>
  <xdr:twoCellAnchor>
    <xdr:from>
      <xdr:col>4</xdr:col>
      <xdr:colOff>2266950</xdr:colOff>
      <xdr:row>14</xdr:row>
      <xdr:rowOff>133350</xdr:rowOff>
    </xdr:from>
    <xdr:to>
      <xdr:col>5</xdr:col>
      <xdr:colOff>390525</xdr:colOff>
      <xdr:row>15</xdr:row>
      <xdr:rowOff>266700</xdr:rowOff>
    </xdr:to>
    <xdr:sp macro="[0]!SOPORTE" textlink="">
      <xdr:nvSpPr>
        <xdr:cNvPr id="18" name="Rectángulo redondeado 17"/>
        <xdr:cNvSpPr/>
      </xdr:nvSpPr>
      <xdr:spPr>
        <a:xfrm>
          <a:off x="5629275" y="438150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SIN</a:t>
          </a:r>
          <a:r>
            <a:rPr lang="es-CO" sz="1100" baseline="0"/>
            <a:t>  SOPORTES</a:t>
          </a:r>
          <a:endParaRPr lang="es-CO" sz="1100"/>
        </a:p>
      </xdr:txBody>
    </xdr:sp>
    <xdr:clientData/>
  </xdr:twoCellAnchor>
  <xdr:twoCellAnchor>
    <xdr:from>
      <xdr:col>5</xdr:col>
      <xdr:colOff>476250</xdr:colOff>
      <xdr:row>14</xdr:row>
      <xdr:rowOff>123825</xdr:rowOff>
    </xdr:from>
    <xdr:to>
      <xdr:col>6</xdr:col>
      <xdr:colOff>676275</xdr:colOff>
      <xdr:row>15</xdr:row>
      <xdr:rowOff>257175</xdr:rowOff>
    </xdr:to>
    <xdr:sp macro="[0]!APLICADO" textlink="">
      <xdr:nvSpPr>
        <xdr:cNvPr id="19" name="Rectángulo redondeado 18"/>
        <xdr:cNvSpPr/>
      </xdr:nvSpPr>
      <xdr:spPr>
        <a:xfrm>
          <a:off x="704850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YA APLICADO</a:t>
          </a:r>
        </a:p>
      </xdr:txBody>
    </xdr:sp>
    <xdr:clientData/>
  </xdr:twoCellAnchor>
  <xdr:twoCellAnchor>
    <xdr:from>
      <xdr:col>6</xdr:col>
      <xdr:colOff>733425</xdr:colOff>
      <xdr:row>14</xdr:row>
      <xdr:rowOff>123825</xdr:rowOff>
    </xdr:from>
    <xdr:to>
      <xdr:col>6</xdr:col>
      <xdr:colOff>2066925</xdr:colOff>
      <xdr:row>15</xdr:row>
      <xdr:rowOff>257175</xdr:rowOff>
    </xdr:to>
    <xdr:sp macro="[0]!SINPARAMETRO" textlink="">
      <xdr:nvSpPr>
        <xdr:cNvPr id="20" name="Rectángulo redondeado 19"/>
        <xdr:cNvSpPr/>
      </xdr:nvSpPr>
      <xdr:spPr>
        <a:xfrm>
          <a:off x="843915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SIN  PARAMETRO</a:t>
          </a:r>
        </a:p>
      </xdr:txBody>
    </xdr:sp>
    <xdr:clientData/>
  </xdr:twoCellAnchor>
  <xdr:twoCellAnchor>
    <xdr:from>
      <xdr:col>6</xdr:col>
      <xdr:colOff>2143125</xdr:colOff>
      <xdr:row>14</xdr:row>
      <xdr:rowOff>123825</xdr:rowOff>
    </xdr:from>
    <xdr:to>
      <xdr:col>7</xdr:col>
      <xdr:colOff>0</xdr:colOff>
      <xdr:row>15</xdr:row>
      <xdr:rowOff>257175</xdr:rowOff>
    </xdr:to>
    <xdr:sp macro="[0]!MATERIALIZACION" textlink="">
      <xdr:nvSpPr>
        <xdr:cNvPr id="21" name="Rectángulo redondeado 20"/>
        <xdr:cNvSpPr/>
      </xdr:nvSpPr>
      <xdr:spPr>
        <a:xfrm>
          <a:off x="984885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MATERIALIZACION</a:t>
          </a:r>
        </a:p>
      </xdr:txBody>
    </xdr:sp>
    <xdr:clientData/>
  </xdr:twoCellAnchor>
  <xdr:twoCellAnchor>
    <xdr:from>
      <xdr:col>7</xdr:col>
      <xdr:colOff>95250</xdr:colOff>
      <xdr:row>14</xdr:row>
      <xdr:rowOff>123825</xdr:rowOff>
    </xdr:from>
    <xdr:to>
      <xdr:col>8</xdr:col>
      <xdr:colOff>666750</xdr:colOff>
      <xdr:row>15</xdr:row>
      <xdr:rowOff>257175</xdr:rowOff>
    </xdr:to>
    <xdr:sp macro="[0]!ENCERO" textlink="">
      <xdr:nvSpPr>
        <xdr:cNvPr id="28" name="Rectángulo redondeado 27"/>
        <xdr:cNvSpPr/>
      </xdr:nvSpPr>
      <xdr:spPr>
        <a:xfrm>
          <a:off x="11277600" y="43719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CUENTA EN CERO</a:t>
          </a:r>
        </a:p>
      </xdr:txBody>
    </xdr:sp>
    <xdr:clientData/>
  </xdr:twoCellAnchor>
  <xdr:twoCellAnchor>
    <xdr:from>
      <xdr:col>8</xdr:col>
      <xdr:colOff>742950</xdr:colOff>
      <xdr:row>14</xdr:row>
      <xdr:rowOff>114300</xdr:rowOff>
    </xdr:from>
    <xdr:to>
      <xdr:col>10</xdr:col>
      <xdr:colOff>552450</xdr:colOff>
      <xdr:row>15</xdr:row>
      <xdr:rowOff>247650</xdr:rowOff>
    </xdr:to>
    <xdr:sp macro="[0]!SERVICIO" textlink="">
      <xdr:nvSpPr>
        <xdr:cNvPr id="22" name="Rectángulo redondeado 21"/>
        <xdr:cNvSpPr/>
      </xdr:nvSpPr>
      <xdr:spPr>
        <a:xfrm>
          <a:off x="12687300" y="436245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SERVICIO</a:t>
          </a:r>
        </a:p>
      </xdr:txBody>
    </xdr:sp>
    <xdr:clientData/>
  </xdr:twoCellAnchor>
  <xdr:twoCellAnchor>
    <xdr:from>
      <xdr:col>8</xdr:col>
      <xdr:colOff>704850</xdr:colOff>
      <xdr:row>13</xdr:row>
      <xdr:rowOff>352425</xdr:rowOff>
    </xdr:from>
    <xdr:to>
      <xdr:col>10</xdr:col>
      <xdr:colOff>514350</xdr:colOff>
      <xdr:row>14</xdr:row>
      <xdr:rowOff>38100</xdr:rowOff>
    </xdr:to>
    <xdr:sp macro="[0]!TARIFAS" textlink="">
      <xdr:nvSpPr>
        <xdr:cNvPr id="23" name="Rectángulo redondeado 22"/>
        <xdr:cNvSpPr/>
      </xdr:nvSpPr>
      <xdr:spPr>
        <a:xfrm>
          <a:off x="12649200" y="385762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TARIFA</a:t>
          </a:r>
        </a:p>
      </xdr:txBody>
    </xdr:sp>
    <xdr:clientData/>
  </xdr:twoCellAnchor>
  <xdr:twoCellAnchor>
    <xdr:from>
      <xdr:col>7</xdr:col>
      <xdr:colOff>76200</xdr:colOff>
      <xdr:row>13</xdr:row>
      <xdr:rowOff>361950</xdr:rowOff>
    </xdr:from>
    <xdr:to>
      <xdr:col>8</xdr:col>
      <xdr:colOff>647700</xdr:colOff>
      <xdr:row>14</xdr:row>
      <xdr:rowOff>47625</xdr:rowOff>
    </xdr:to>
    <xdr:sp macro="[0]!NOPROCEDE" textlink="">
      <xdr:nvSpPr>
        <xdr:cNvPr id="24" name="Rectángulo redondeado 23"/>
        <xdr:cNvSpPr/>
      </xdr:nvSpPr>
      <xdr:spPr>
        <a:xfrm>
          <a:off x="11258550" y="3867150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NO PROCEDE</a:t>
          </a:r>
        </a:p>
      </xdr:txBody>
    </xdr:sp>
    <xdr:clientData/>
  </xdr:twoCellAnchor>
  <xdr:twoCellAnchor>
    <xdr:from>
      <xdr:col>6</xdr:col>
      <xdr:colOff>2133600</xdr:colOff>
      <xdr:row>13</xdr:row>
      <xdr:rowOff>371475</xdr:rowOff>
    </xdr:from>
    <xdr:to>
      <xdr:col>6</xdr:col>
      <xdr:colOff>3467100</xdr:colOff>
      <xdr:row>14</xdr:row>
      <xdr:rowOff>57150</xdr:rowOff>
    </xdr:to>
    <xdr:sp macro="[0]!ULTRAWIFI" textlink="">
      <xdr:nvSpPr>
        <xdr:cNvPr id="25" name="Rectángulo redondeado 24"/>
        <xdr:cNvSpPr/>
      </xdr:nvSpPr>
      <xdr:spPr>
        <a:xfrm>
          <a:off x="9839325" y="3876675"/>
          <a:ext cx="1333500" cy="428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ULTRAWIFI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3</xdr:row>
          <xdr:rowOff>152400</xdr:rowOff>
        </xdr:from>
        <xdr:to>
          <xdr:col>10</xdr:col>
          <xdr:colOff>723900</xdr:colOff>
          <xdr:row>6</xdr:row>
          <xdr:rowOff>9525</xdr:rowOff>
        </xdr:to>
        <xdr:sp macro="" textlink="">
          <xdr:nvSpPr>
            <xdr:cNvPr id="1596" name="Button 572" hidden="1">
              <a:extLst>
                <a:ext uri="{63B3BB69-23CF-44E3-9099-C40C66FF867C}">
                  <a14:compatExt spid="_x0000_s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3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200025</xdr:colOff>
      <xdr:row>0</xdr:row>
      <xdr:rowOff>0</xdr:rowOff>
    </xdr:from>
    <xdr:to>
      <xdr:col>3</xdr:col>
      <xdr:colOff>914400</xdr:colOff>
      <xdr:row>2</xdr:row>
      <xdr:rowOff>190499</xdr:rowOff>
    </xdr:to>
    <xdr:sp macro="" textlink="">
      <xdr:nvSpPr>
        <xdr:cNvPr id="3" name="Rectángulo redondeado 2"/>
        <xdr:cNvSpPr/>
      </xdr:nvSpPr>
      <xdr:spPr>
        <a:xfrm>
          <a:off x="1724025" y="0"/>
          <a:ext cx="1847850" cy="695324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chemeClr val="bg1"/>
              </a:solidFill>
            </a:rPr>
            <a:t>MANUALES</a:t>
          </a:r>
        </a:p>
      </xdr:txBody>
    </xdr:sp>
    <xdr:clientData/>
  </xdr:twoCellAnchor>
  <xdr:twoCellAnchor>
    <xdr:from>
      <xdr:col>3</xdr:col>
      <xdr:colOff>933450</xdr:colOff>
      <xdr:row>0</xdr:row>
      <xdr:rowOff>0</xdr:rowOff>
    </xdr:from>
    <xdr:to>
      <xdr:col>4</xdr:col>
      <xdr:colOff>1190625</xdr:colOff>
      <xdr:row>2</xdr:row>
      <xdr:rowOff>180974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590925" y="0"/>
          <a:ext cx="1409700" cy="68579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1200149</xdr:colOff>
      <xdr:row>0</xdr:row>
      <xdr:rowOff>0</xdr:rowOff>
    </xdr:from>
    <xdr:to>
      <xdr:col>5</xdr:col>
      <xdr:colOff>952499</xdr:colOff>
      <xdr:row>3</xdr:row>
      <xdr:rowOff>0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5010149" y="0"/>
          <a:ext cx="14954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971550</xdr:colOff>
      <xdr:row>0</xdr:row>
      <xdr:rowOff>0</xdr:rowOff>
    </xdr:from>
    <xdr:to>
      <xdr:col>7</xdr:col>
      <xdr:colOff>76200</xdr:colOff>
      <xdr:row>3</xdr:row>
      <xdr:rowOff>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6524625" y="0"/>
          <a:ext cx="1323975" cy="7048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0</xdr:rowOff>
        </xdr:from>
        <xdr:to>
          <xdr:col>15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628650</xdr:colOff>
          <xdr:row>0</xdr:row>
          <xdr:rowOff>0</xdr:rowOff>
        </xdr:from>
        <xdr:to>
          <xdr:col>15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</xdr:colOff>
      <xdr:row>0</xdr:row>
      <xdr:rowOff>9525</xdr:rowOff>
    </xdr:from>
    <xdr:to>
      <xdr:col>9</xdr:col>
      <xdr:colOff>114300</xdr:colOff>
      <xdr:row>2</xdr:row>
      <xdr:rowOff>171450</xdr:rowOff>
    </xdr:to>
    <xdr:sp macro="" textlink="">
      <xdr:nvSpPr>
        <xdr:cNvPr id="9" name="Rectángulo redondeado 8">
          <a:hlinkClick xmlns:r="http://schemas.openxmlformats.org/officeDocument/2006/relationships" r:id="rId5"/>
        </xdr:cNvPr>
        <xdr:cNvSpPr/>
      </xdr:nvSpPr>
      <xdr:spPr>
        <a:xfrm>
          <a:off x="7867650" y="9525"/>
          <a:ext cx="1543050" cy="666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9</xdr:col>
      <xdr:colOff>114300</xdr:colOff>
      <xdr:row>0</xdr:row>
      <xdr:rowOff>0</xdr:rowOff>
    </xdr:from>
    <xdr:to>
      <xdr:col>11</xdr:col>
      <xdr:colOff>47625</xdr:colOff>
      <xdr:row>3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6"/>
        </xdr:cNvPr>
        <xdr:cNvSpPr/>
      </xdr:nvSpPr>
      <xdr:spPr>
        <a:xfrm>
          <a:off x="9410700" y="0"/>
          <a:ext cx="145732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11</xdr:col>
      <xdr:colOff>57150</xdr:colOff>
      <xdr:row>0</xdr:row>
      <xdr:rowOff>0</xdr:rowOff>
    </xdr:from>
    <xdr:to>
      <xdr:col>12</xdr:col>
      <xdr:colOff>590550</xdr:colOff>
      <xdr:row>2</xdr:row>
      <xdr:rowOff>171450</xdr:rowOff>
    </xdr:to>
    <xdr:sp macro="" textlink="">
      <xdr:nvSpPr>
        <xdr:cNvPr id="11" name="Rectángulo redondeado 10">
          <a:hlinkClick xmlns:r="http://schemas.openxmlformats.org/officeDocument/2006/relationships" r:id="rId7"/>
        </xdr:cNvPr>
        <xdr:cNvSpPr/>
      </xdr:nvSpPr>
      <xdr:spPr>
        <a:xfrm>
          <a:off x="10877550" y="0"/>
          <a:ext cx="1295400" cy="6762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38100</xdr:rowOff>
        </xdr:from>
        <xdr:to>
          <xdr:col>17</xdr:col>
          <xdr:colOff>1238250</xdr:colOff>
          <xdr:row>1</xdr:row>
          <xdr:rowOff>295275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 BLANCO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2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5429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3</xdr:row>
      <xdr:rowOff>8658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5801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3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5715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580159</xdr:colOff>
      <xdr:row>3</xdr:row>
      <xdr:rowOff>0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489364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588819</xdr:colOff>
      <xdr:row>0</xdr:row>
      <xdr:rowOff>0</xdr:rowOff>
    </xdr:from>
    <xdr:to>
      <xdr:col>10</xdr:col>
      <xdr:colOff>467591</xdr:colOff>
      <xdr:row>2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6234546" y="0"/>
          <a:ext cx="1402772" cy="5628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10</xdr:col>
      <xdr:colOff>450273</xdr:colOff>
      <xdr:row>0</xdr:row>
      <xdr:rowOff>0</xdr:rowOff>
    </xdr:from>
    <xdr:to>
      <xdr:col>12</xdr:col>
      <xdr:colOff>377536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5"/>
        </xdr:cNvPr>
        <xdr:cNvSpPr/>
      </xdr:nvSpPr>
      <xdr:spPr>
        <a:xfrm>
          <a:off x="7620000" y="0"/>
          <a:ext cx="1451263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12</xdr:col>
      <xdr:colOff>398318</xdr:colOff>
      <xdr:row>0</xdr:row>
      <xdr:rowOff>0</xdr:rowOff>
    </xdr:from>
    <xdr:to>
      <xdr:col>14</xdr:col>
      <xdr:colOff>304800</xdr:colOff>
      <xdr:row>3</xdr:row>
      <xdr:rowOff>0</xdr:rowOff>
    </xdr:to>
    <xdr:sp macro="" textlink="">
      <xdr:nvSpPr>
        <xdr:cNvPr id="26" name="Rectángulo redondeado 25">
          <a:hlinkClick xmlns:r="http://schemas.openxmlformats.org/officeDocument/2006/relationships" r:id="rId6"/>
        </xdr:cNvPr>
        <xdr:cNvSpPr/>
      </xdr:nvSpPr>
      <xdr:spPr>
        <a:xfrm>
          <a:off x="9092045" y="0"/>
          <a:ext cx="1430482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</a:t>
          </a:r>
          <a:r>
            <a:rPr lang="es-CO" sz="1100" baseline="0"/>
            <a:t> DE MAQUINAS</a:t>
          </a:r>
          <a:endParaRPr lang="es-CO" sz="1100"/>
        </a:p>
      </xdr:txBody>
    </xdr:sp>
    <xdr:clientData/>
  </xdr:twoCellAnchor>
  <xdr:twoCellAnchor>
    <xdr:from>
      <xdr:col>14</xdr:col>
      <xdr:colOff>297873</xdr:colOff>
      <xdr:row>0</xdr:row>
      <xdr:rowOff>0</xdr:rowOff>
    </xdr:from>
    <xdr:to>
      <xdr:col>16</xdr:col>
      <xdr:colOff>0</xdr:colOff>
      <xdr:row>2</xdr:row>
      <xdr:rowOff>173182</xdr:rowOff>
    </xdr:to>
    <xdr:sp macro="" textlink="">
      <xdr:nvSpPr>
        <xdr:cNvPr id="27" name="Rectángulo redondeado 26">
          <a:hlinkClick xmlns:r="http://schemas.openxmlformats.org/officeDocument/2006/relationships" r:id="rId7"/>
        </xdr:cNvPr>
        <xdr:cNvSpPr/>
      </xdr:nvSpPr>
      <xdr:spPr>
        <a:xfrm>
          <a:off x="10515600" y="0"/>
          <a:ext cx="1295400" cy="55418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4</xdr:row>
      <xdr:rowOff>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3</xdr:row>
      <xdr:rowOff>248478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3</xdr:row>
      <xdr:rowOff>248478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103532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10</xdr:col>
      <xdr:colOff>483152</xdr:colOff>
      <xdr:row>4</xdr:row>
      <xdr:rowOff>13805</xdr:rowOff>
    </xdr:to>
    <xdr:sp macro="" textlink="">
      <xdr:nvSpPr>
        <xdr:cNvPr id="10" name="Rectángulo redondeado 9"/>
        <xdr:cNvSpPr/>
      </xdr:nvSpPr>
      <xdr:spPr>
        <a:xfrm>
          <a:off x="7495762" y="0"/>
          <a:ext cx="2498586" cy="1062935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dk1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10</xdr:col>
      <xdr:colOff>460791</xdr:colOff>
      <xdr:row>0</xdr:row>
      <xdr:rowOff>0</xdr:rowOff>
    </xdr:from>
    <xdr:to>
      <xdr:col>10</xdr:col>
      <xdr:colOff>2940325</xdr:colOff>
      <xdr:row>4</xdr:row>
      <xdr:rowOff>0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971987" y="0"/>
          <a:ext cx="2479534" cy="10491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96630</xdr:colOff>
      <xdr:row>3</xdr:row>
      <xdr:rowOff>234673</xdr:rowOff>
    </xdr:from>
    <xdr:to>
      <xdr:col>6</xdr:col>
      <xdr:colOff>2940326</xdr:colOff>
      <xdr:row>5</xdr:row>
      <xdr:rowOff>27609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658152" y="1021521"/>
          <a:ext cx="2843696" cy="33130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ABAJO</a:t>
          </a:r>
          <a:endParaRPr lang="es-CO" sz="2800" b="1"/>
        </a:p>
      </xdr:txBody>
    </xdr:sp>
    <xdr:clientData/>
  </xdr:twoCellAnchor>
  <xdr:twoCellAnchor>
    <xdr:from>
      <xdr:col>10</xdr:col>
      <xdr:colOff>2940326</xdr:colOff>
      <xdr:row>0</xdr:row>
      <xdr:rowOff>0</xdr:rowOff>
    </xdr:from>
    <xdr:to>
      <xdr:col>11</xdr:col>
      <xdr:colOff>1835979</xdr:colOff>
      <xdr:row>3</xdr:row>
      <xdr:rowOff>237020</xdr:rowOff>
    </xdr:to>
    <xdr:sp macro="" textlink="">
      <xdr:nvSpPr>
        <xdr:cNvPr id="12" name="Rectángulo redondeado 11">
          <a:hlinkClick xmlns:r="http://schemas.openxmlformats.org/officeDocument/2006/relationships" r:id="rId7"/>
        </xdr:cNvPr>
        <xdr:cNvSpPr/>
      </xdr:nvSpPr>
      <xdr:spPr>
        <a:xfrm>
          <a:off x="12451522" y="0"/>
          <a:ext cx="2222500" cy="10238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ASIGNACION</a:t>
          </a:r>
        </a:p>
      </xdr:txBody>
    </xdr:sp>
    <xdr:clientData/>
  </xdr:twoCellAnchor>
  <xdr:twoCellAnchor>
    <xdr:from>
      <xdr:col>11</xdr:col>
      <xdr:colOff>1835979</xdr:colOff>
      <xdr:row>0</xdr:row>
      <xdr:rowOff>0</xdr:rowOff>
    </xdr:from>
    <xdr:to>
      <xdr:col>13</xdr:col>
      <xdr:colOff>276088</xdr:colOff>
      <xdr:row>3</xdr:row>
      <xdr:rowOff>220869</xdr:rowOff>
    </xdr:to>
    <xdr:sp macro="" textlink="">
      <xdr:nvSpPr>
        <xdr:cNvPr id="13" name="Rectángulo redondeado 12">
          <a:hlinkClick xmlns:r="http://schemas.openxmlformats.org/officeDocument/2006/relationships" r:id="rId8"/>
        </xdr:cNvPr>
        <xdr:cNvSpPr/>
      </xdr:nvSpPr>
      <xdr:spPr>
        <a:xfrm>
          <a:off x="14674022" y="0"/>
          <a:ext cx="2250109" cy="100771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SALA DE MAQUINAS</a:t>
          </a:r>
        </a:p>
      </xdr:txBody>
    </xdr:sp>
    <xdr:clientData/>
  </xdr:twoCellAnchor>
  <xdr:twoCellAnchor>
    <xdr:from>
      <xdr:col>13</xdr:col>
      <xdr:colOff>262282</xdr:colOff>
      <xdr:row>0</xdr:row>
      <xdr:rowOff>0</xdr:rowOff>
    </xdr:from>
    <xdr:to>
      <xdr:col>16</xdr:col>
      <xdr:colOff>358912</xdr:colOff>
      <xdr:row>3</xdr:row>
      <xdr:rowOff>220870</xdr:rowOff>
    </xdr:to>
    <xdr:sp macro="" textlink="">
      <xdr:nvSpPr>
        <xdr:cNvPr id="14" name="Rectángulo redondeado 13">
          <a:hlinkClick xmlns:r="http://schemas.openxmlformats.org/officeDocument/2006/relationships" r:id="rId9"/>
        </xdr:cNvPr>
        <xdr:cNvSpPr/>
      </xdr:nvSpPr>
      <xdr:spPr>
        <a:xfrm>
          <a:off x="16910325" y="0"/>
          <a:ext cx="2015435" cy="100771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SEGUIMIENTOS</a:t>
          </a:r>
        </a:p>
      </xdr:txBody>
    </xdr:sp>
    <xdr:clientData/>
  </xdr:twoCellAnchor>
  <xdr:twoCellAnchor>
    <xdr:from>
      <xdr:col>24</xdr:col>
      <xdr:colOff>386523</xdr:colOff>
      <xdr:row>55</xdr:row>
      <xdr:rowOff>386521</xdr:rowOff>
    </xdr:from>
    <xdr:to>
      <xdr:col>26</xdr:col>
      <xdr:colOff>496959</xdr:colOff>
      <xdr:row>61</xdr:row>
      <xdr:rowOff>96631</xdr:rowOff>
    </xdr:to>
    <xdr:sp macro="" textlink="">
      <xdr:nvSpPr>
        <xdr:cNvPr id="15" name="Flecha derecha 14">
          <a:hlinkClick xmlns:r="http://schemas.openxmlformats.org/officeDocument/2006/relationships" r:id="rId10"/>
        </xdr:cNvPr>
        <xdr:cNvSpPr/>
      </xdr:nvSpPr>
      <xdr:spPr>
        <a:xfrm rot="16200000">
          <a:off x="29706958" y="17144999"/>
          <a:ext cx="1684132" cy="135282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289891</xdr:colOff>
      <xdr:row>100</xdr:row>
      <xdr:rowOff>96630</xdr:rowOff>
    </xdr:from>
    <xdr:to>
      <xdr:col>10</xdr:col>
      <xdr:colOff>1808369</xdr:colOff>
      <xdr:row>103</xdr:row>
      <xdr:rowOff>138043</xdr:rowOff>
    </xdr:to>
    <xdr:sp macro="" textlink="">
      <xdr:nvSpPr>
        <xdr:cNvPr id="3" name="Flecha derecha 2">
          <a:hlinkClick xmlns:r="http://schemas.openxmlformats.org/officeDocument/2006/relationships" r:id="rId11"/>
        </xdr:cNvPr>
        <xdr:cNvSpPr/>
      </xdr:nvSpPr>
      <xdr:spPr>
        <a:xfrm>
          <a:off x="9801087" y="30535217"/>
          <a:ext cx="1518478" cy="82826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180975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5524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3</xdr:row>
      <xdr:rowOff>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3</xdr:row>
      <xdr:rowOff>0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3</xdr:row>
      <xdr:rowOff>9525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5810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3</xdr:row>
      <xdr:rowOff>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5715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  <xdr:twoCellAnchor>
    <xdr:from>
      <xdr:col>9</xdr:col>
      <xdr:colOff>552450</xdr:colOff>
      <xdr:row>0</xdr:row>
      <xdr:rowOff>0</xdr:rowOff>
    </xdr:from>
    <xdr:to>
      <xdr:col>11</xdr:col>
      <xdr:colOff>323850</xdr:colOff>
      <xdr:row>3</xdr:row>
      <xdr:rowOff>9524</xdr:rowOff>
    </xdr:to>
    <xdr:sp macro="" textlink="">
      <xdr:nvSpPr>
        <xdr:cNvPr id="12" name="Rectángulo redondeado 11">
          <a:hlinkClick xmlns:r="http://schemas.openxmlformats.org/officeDocument/2006/relationships" r:id="rId5"/>
        </xdr:cNvPr>
        <xdr:cNvSpPr/>
      </xdr:nvSpPr>
      <xdr:spPr>
        <a:xfrm>
          <a:off x="7410450" y="0"/>
          <a:ext cx="1295400" cy="5810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ASIGNACION</a:t>
          </a:r>
        </a:p>
      </xdr:txBody>
    </xdr:sp>
    <xdr:clientData/>
  </xdr:twoCellAnchor>
  <xdr:twoCellAnchor>
    <xdr:from>
      <xdr:col>11</xdr:col>
      <xdr:colOff>333375</xdr:colOff>
      <xdr:row>0</xdr:row>
      <xdr:rowOff>0</xdr:rowOff>
    </xdr:from>
    <xdr:to>
      <xdr:col>13</xdr:col>
      <xdr:colOff>257174</xdr:colOff>
      <xdr:row>3</xdr:row>
      <xdr:rowOff>0</xdr:rowOff>
    </xdr:to>
    <xdr:sp macro="" textlink="">
      <xdr:nvSpPr>
        <xdr:cNvPr id="13" name="Rectángulo redondeado 12">
          <a:hlinkClick xmlns:r="http://schemas.openxmlformats.org/officeDocument/2006/relationships" r:id="rId6"/>
        </xdr:cNvPr>
        <xdr:cNvSpPr/>
      </xdr:nvSpPr>
      <xdr:spPr>
        <a:xfrm>
          <a:off x="8715375" y="0"/>
          <a:ext cx="1447799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SALA DE MAQUINAS</a:t>
          </a:r>
        </a:p>
      </xdr:txBody>
    </xdr:sp>
    <xdr:clientData/>
  </xdr:twoCellAnchor>
  <xdr:twoCellAnchor>
    <xdr:from>
      <xdr:col>13</xdr:col>
      <xdr:colOff>228600</xdr:colOff>
      <xdr:row>0</xdr:row>
      <xdr:rowOff>0</xdr:rowOff>
    </xdr:from>
    <xdr:to>
      <xdr:col>15</xdr:col>
      <xdr:colOff>0</xdr:colOff>
      <xdr:row>2</xdr:row>
      <xdr:rowOff>180974</xdr:rowOff>
    </xdr:to>
    <xdr:sp macro="" textlink="">
      <xdr:nvSpPr>
        <xdr:cNvPr id="14" name="Rectángulo redondeado 13">
          <a:hlinkClick xmlns:r="http://schemas.openxmlformats.org/officeDocument/2006/relationships" r:id="rId7"/>
        </xdr:cNvPr>
        <xdr:cNvSpPr/>
      </xdr:nvSpPr>
      <xdr:spPr>
        <a:xfrm>
          <a:off x="10134600" y="0"/>
          <a:ext cx="1295400" cy="5619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SEGUIMIENTOS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712305</xdr:colOff>
      <xdr:row>0</xdr:row>
      <xdr:rowOff>8281</xdr:rowOff>
    </xdr:from>
    <xdr:to>
      <xdr:col>7</xdr:col>
      <xdr:colOff>1151283</xdr:colOff>
      <xdr:row>1</xdr:row>
      <xdr:rowOff>173935</xdr:rowOff>
    </xdr:to>
    <xdr:sp macro="[0]!DATAOFF" textlink="">
      <xdr:nvSpPr>
        <xdr:cNvPr id="2" name="Rectángulo redondeado 1"/>
        <xdr:cNvSpPr/>
      </xdr:nvSpPr>
      <xdr:spPr>
        <a:xfrm>
          <a:off x="11421718" y="8281"/>
          <a:ext cx="1490869" cy="35615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6</xdr:col>
      <xdr:colOff>704023</xdr:colOff>
      <xdr:row>0</xdr:row>
      <xdr:rowOff>24848</xdr:rowOff>
    </xdr:from>
    <xdr:to>
      <xdr:col>7</xdr:col>
      <xdr:colOff>1151284</xdr:colOff>
      <xdr:row>1</xdr:row>
      <xdr:rowOff>173935</xdr:rowOff>
    </xdr:to>
    <xdr:sp macro="[0]!DATAON" textlink="">
      <xdr:nvSpPr>
        <xdr:cNvPr id="3" name="Rectángulo redondeado 2"/>
        <xdr:cNvSpPr/>
      </xdr:nvSpPr>
      <xdr:spPr>
        <a:xfrm>
          <a:off x="11413436" y="24848"/>
          <a:ext cx="1499152" cy="33958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19</xdr:row>
      <xdr:rowOff>62533</xdr:rowOff>
    </xdr:from>
    <xdr:to>
      <xdr:col>5</xdr:col>
      <xdr:colOff>1424608</xdr:colOff>
      <xdr:row>22</xdr:row>
      <xdr:rowOff>24433</xdr:rowOff>
    </xdr:to>
    <xdr:sp macro="" textlink="'SALA DE MAQUINAS'!I8">
      <xdr:nvSpPr>
        <xdr:cNvPr id="4" name="Rectángulo redondeado 3"/>
        <xdr:cNvSpPr/>
      </xdr:nvSpPr>
      <xdr:spPr>
        <a:xfrm>
          <a:off x="6784699" y="3491533"/>
          <a:ext cx="1659834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37%</a:t>
          </a:fld>
          <a:endParaRPr lang="es-CO" sz="4400" b="1"/>
        </a:p>
      </xdr:txBody>
    </xdr:sp>
    <xdr:clientData/>
  </xdr:twoCellAnchor>
  <xdr:twoCellAnchor>
    <xdr:from>
      <xdr:col>4</xdr:col>
      <xdr:colOff>1948068</xdr:colOff>
      <xdr:row>7</xdr:row>
      <xdr:rowOff>24434</xdr:rowOff>
    </xdr:from>
    <xdr:to>
      <xdr:col>5</xdr:col>
      <xdr:colOff>1987825</xdr:colOff>
      <xdr:row>19</xdr:row>
      <xdr:rowOff>110159</xdr:rowOff>
    </xdr:to>
    <xdr:graphicFrame macro="">
      <xdr:nvGraphicFramePr>
        <xdr:cNvPr id="5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8</xdr:row>
      <xdr:rowOff>0</xdr:rowOff>
    </xdr:from>
    <xdr:to>
      <xdr:col>12</xdr:col>
      <xdr:colOff>4629150</xdr:colOff>
      <xdr:row>20</xdr:row>
      <xdr:rowOff>142875</xdr:rowOff>
    </xdr:to>
    <xdr:graphicFrame macro="">
      <xdr:nvGraphicFramePr>
        <xdr:cNvPr id="6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20</xdr:row>
      <xdr:rowOff>82827</xdr:rowOff>
    </xdr:from>
    <xdr:to>
      <xdr:col>12</xdr:col>
      <xdr:colOff>3892825</xdr:colOff>
      <xdr:row>22</xdr:row>
      <xdr:rowOff>157371</xdr:rowOff>
    </xdr:to>
    <xdr:sp macro="" textlink="'SALA DE MAQUINAS'!I8">
      <xdr:nvSpPr>
        <xdr:cNvPr id="7" name="Rectángulo redondeado 6"/>
        <xdr:cNvSpPr/>
      </xdr:nvSpPr>
      <xdr:spPr>
        <a:xfrm>
          <a:off x="21119410" y="37023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37%</a:t>
          </a:fld>
          <a:endParaRPr lang="es-CO" sz="4000" b="1"/>
        </a:p>
      </xdr:txBody>
    </xdr:sp>
    <xdr:clientData/>
  </xdr:twoCellAnchor>
  <xdr:twoCellAnchor>
    <xdr:from>
      <xdr:col>5</xdr:col>
      <xdr:colOff>1905000</xdr:colOff>
      <xdr:row>5</xdr:row>
      <xdr:rowOff>8282</xdr:rowOff>
    </xdr:from>
    <xdr:to>
      <xdr:col>5</xdr:col>
      <xdr:colOff>2319130</xdr:colOff>
      <xdr:row>6</xdr:row>
      <xdr:rowOff>82826</xdr:rowOff>
    </xdr:to>
    <xdr:sp macro="" textlink="">
      <xdr:nvSpPr>
        <xdr:cNvPr id="11" name="Flecha derecha 10">
          <a:hlinkClick xmlns:r="http://schemas.openxmlformats.org/officeDocument/2006/relationships" r:id="rId3"/>
        </xdr:cNvPr>
        <xdr:cNvSpPr/>
      </xdr:nvSpPr>
      <xdr:spPr>
        <a:xfrm>
          <a:off x="8920370" y="98563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4</xdr:row>
      <xdr:rowOff>99390</xdr:rowOff>
    </xdr:from>
    <xdr:to>
      <xdr:col>15</xdr:col>
      <xdr:colOff>828261</xdr:colOff>
      <xdr:row>5</xdr:row>
      <xdr:rowOff>140803</xdr:rowOff>
    </xdr:to>
    <xdr:sp macro="" textlink="">
      <xdr:nvSpPr>
        <xdr:cNvPr id="12" name="Flecha izquierda 11">
          <a:hlinkClick xmlns:r="http://schemas.openxmlformats.org/officeDocument/2006/relationships" r:id="rId4"/>
        </xdr:cNvPr>
        <xdr:cNvSpPr/>
      </xdr:nvSpPr>
      <xdr:spPr>
        <a:xfrm>
          <a:off x="28254049" y="6708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7</xdr:row>
          <xdr:rowOff>161925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8</xdr:row>
          <xdr:rowOff>180975</xdr:rowOff>
        </xdr:from>
        <xdr:to>
          <xdr:col>3</xdr:col>
          <xdr:colOff>161925</xdr:colOff>
          <xdr:row>10</xdr:row>
          <xdr:rowOff>28575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16566</xdr:colOff>
      <xdr:row>18</xdr:row>
      <xdr:rowOff>33132</xdr:rowOff>
    </xdr:from>
    <xdr:to>
      <xdr:col>8</xdr:col>
      <xdr:colOff>1</xdr:colOff>
      <xdr:row>22</xdr:row>
      <xdr:rowOff>173935</xdr:rowOff>
    </xdr:to>
    <xdr:sp macro="" textlink="$H$19">
      <xdr:nvSpPr>
        <xdr:cNvPr id="15" name="Rectángulo 14">
          <a:hlinkClick xmlns:r="http://schemas.openxmlformats.org/officeDocument/2006/relationships" r:id="rId5"/>
        </xdr:cNvPr>
        <xdr:cNvSpPr/>
      </xdr:nvSpPr>
      <xdr:spPr>
        <a:xfrm>
          <a:off x="11779941" y="3271632"/>
          <a:ext cx="1393135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18</xdr:row>
      <xdr:rowOff>24849</xdr:rowOff>
    </xdr:from>
    <xdr:to>
      <xdr:col>9</xdr:col>
      <xdr:colOff>16567</xdr:colOff>
      <xdr:row>22</xdr:row>
      <xdr:rowOff>165653</xdr:rowOff>
    </xdr:to>
    <xdr:sp macro="" textlink="$I$19">
      <xdr:nvSpPr>
        <xdr:cNvPr id="16" name="Rectángulo 15">
          <a:hlinkClick xmlns:r="http://schemas.openxmlformats.org/officeDocument/2006/relationships" r:id="rId5"/>
        </xdr:cNvPr>
        <xdr:cNvSpPr/>
      </xdr:nvSpPr>
      <xdr:spPr>
        <a:xfrm>
          <a:off x="13189641" y="3263349"/>
          <a:ext cx="1390651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0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18</xdr:row>
      <xdr:rowOff>16566</xdr:rowOff>
    </xdr:from>
    <xdr:to>
      <xdr:col>10</xdr:col>
      <xdr:colOff>8284</xdr:colOff>
      <xdr:row>22</xdr:row>
      <xdr:rowOff>173935</xdr:rowOff>
    </xdr:to>
    <xdr:sp macro="" textlink="$J$19">
      <xdr:nvSpPr>
        <xdr:cNvPr id="17" name="Rectángulo 16">
          <a:hlinkClick xmlns:r="http://schemas.openxmlformats.org/officeDocument/2006/relationships" r:id="rId5"/>
        </xdr:cNvPr>
        <xdr:cNvSpPr/>
      </xdr:nvSpPr>
      <xdr:spPr>
        <a:xfrm>
          <a:off x="14588574" y="3255066"/>
          <a:ext cx="1335985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6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18</xdr:row>
      <xdr:rowOff>0</xdr:rowOff>
    </xdr:from>
    <xdr:to>
      <xdr:col>10</xdr:col>
      <xdr:colOff>1093306</xdr:colOff>
      <xdr:row>22</xdr:row>
      <xdr:rowOff>182218</xdr:rowOff>
    </xdr:to>
    <xdr:sp macro="" textlink="$K$19">
      <xdr:nvSpPr>
        <xdr:cNvPr id="18" name="Rectángulo 17">
          <a:hlinkClick xmlns:r="http://schemas.openxmlformats.org/officeDocument/2006/relationships" r:id="rId5"/>
        </xdr:cNvPr>
        <xdr:cNvSpPr/>
      </xdr:nvSpPr>
      <xdr:spPr>
        <a:xfrm>
          <a:off x="15897226" y="3238500"/>
          <a:ext cx="1112355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18</xdr:row>
      <xdr:rowOff>3312</xdr:rowOff>
    </xdr:from>
    <xdr:to>
      <xdr:col>12</xdr:col>
      <xdr:colOff>0</xdr:colOff>
      <xdr:row>22</xdr:row>
      <xdr:rowOff>185530</xdr:rowOff>
    </xdr:to>
    <xdr:sp macro="" textlink="$L$21">
      <xdr:nvSpPr>
        <xdr:cNvPr id="19" name="Rectángulo 18">
          <a:hlinkClick xmlns:r="http://schemas.openxmlformats.org/officeDocument/2006/relationships" r:id="rId5"/>
        </xdr:cNvPr>
        <xdr:cNvSpPr/>
      </xdr:nvSpPr>
      <xdr:spPr>
        <a:xfrm>
          <a:off x="17004611" y="3241812"/>
          <a:ext cx="1654864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</xdr:colOff>
      <xdr:row>0</xdr:row>
      <xdr:rowOff>33543</xdr:rowOff>
    </xdr:from>
    <xdr:to>
      <xdr:col>1</xdr:col>
      <xdr:colOff>629479</xdr:colOff>
      <xdr:row>3</xdr:row>
      <xdr:rowOff>49696</xdr:rowOff>
    </xdr:to>
    <xdr:sp macro="" textlink="">
      <xdr:nvSpPr>
        <xdr:cNvPr id="20" name="Rectángulo redondeado 19">
          <a:hlinkClick xmlns:r="http://schemas.openxmlformats.org/officeDocument/2006/relationships" r:id="rId6"/>
        </xdr:cNvPr>
        <xdr:cNvSpPr/>
      </xdr:nvSpPr>
      <xdr:spPr>
        <a:xfrm>
          <a:off x="1" y="33543"/>
          <a:ext cx="1639956" cy="58765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612085</xdr:colOff>
      <xdr:row>0</xdr:row>
      <xdr:rowOff>1</xdr:rowOff>
    </xdr:from>
    <xdr:to>
      <xdr:col>2</xdr:col>
      <xdr:colOff>737152</xdr:colOff>
      <xdr:row>3</xdr:row>
      <xdr:rowOff>57978</xdr:rowOff>
    </xdr:to>
    <xdr:sp macro="" textlink="">
      <xdr:nvSpPr>
        <xdr:cNvPr id="21" name="Rectángulo redondeado 20">
          <a:hlinkClick xmlns:r="http://schemas.openxmlformats.org/officeDocument/2006/relationships" r:id="rId7"/>
        </xdr:cNvPr>
        <xdr:cNvSpPr/>
      </xdr:nvSpPr>
      <xdr:spPr>
        <a:xfrm>
          <a:off x="1622563" y="1"/>
          <a:ext cx="1582806" cy="62947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2</xdr:col>
      <xdr:colOff>737152</xdr:colOff>
      <xdr:row>0</xdr:row>
      <xdr:rowOff>1</xdr:rowOff>
    </xdr:from>
    <xdr:to>
      <xdr:col>4</xdr:col>
      <xdr:colOff>505238</xdr:colOff>
      <xdr:row>3</xdr:row>
      <xdr:rowOff>49697</xdr:rowOff>
    </xdr:to>
    <xdr:sp macro="" textlink="">
      <xdr:nvSpPr>
        <xdr:cNvPr id="22" name="Rectángulo redondeado 21">
          <a:hlinkClick xmlns:r="http://schemas.openxmlformats.org/officeDocument/2006/relationships" r:id="rId8"/>
        </xdr:cNvPr>
        <xdr:cNvSpPr/>
      </xdr:nvSpPr>
      <xdr:spPr>
        <a:xfrm>
          <a:off x="3205369" y="1"/>
          <a:ext cx="1432891" cy="62119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516835</xdr:colOff>
      <xdr:row>0</xdr:row>
      <xdr:rowOff>0</xdr:rowOff>
    </xdr:from>
    <xdr:to>
      <xdr:col>4</xdr:col>
      <xdr:colOff>1812235</xdr:colOff>
      <xdr:row>3</xdr:row>
      <xdr:rowOff>57978</xdr:rowOff>
    </xdr:to>
    <xdr:sp macro="" textlink="">
      <xdr:nvSpPr>
        <xdr:cNvPr id="23" name="Rectángulo redondeado 22">
          <a:hlinkClick xmlns:r="http://schemas.openxmlformats.org/officeDocument/2006/relationships" r:id="rId9"/>
        </xdr:cNvPr>
        <xdr:cNvSpPr/>
      </xdr:nvSpPr>
      <xdr:spPr>
        <a:xfrm>
          <a:off x="4649857" y="0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4</xdr:col>
      <xdr:colOff>1828799</xdr:colOff>
      <xdr:row>0</xdr:row>
      <xdr:rowOff>1</xdr:rowOff>
    </xdr:from>
    <xdr:to>
      <xdr:col>5</xdr:col>
      <xdr:colOff>241851</xdr:colOff>
      <xdr:row>3</xdr:row>
      <xdr:rowOff>57979</xdr:rowOff>
    </xdr:to>
    <xdr:sp macro="" textlink="">
      <xdr:nvSpPr>
        <xdr:cNvPr id="24" name="Rectángulo redondeado 23">
          <a:hlinkClick xmlns:r="http://schemas.openxmlformats.org/officeDocument/2006/relationships" r:id="rId10"/>
        </xdr:cNvPr>
        <xdr:cNvSpPr/>
      </xdr:nvSpPr>
      <xdr:spPr>
        <a:xfrm>
          <a:off x="596182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5</xdr:col>
      <xdr:colOff>256760</xdr:colOff>
      <xdr:row>0</xdr:row>
      <xdr:rowOff>1</xdr:rowOff>
    </xdr:from>
    <xdr:to>
      <xdr:col>5</xdr:col>
      <xdr:colOff>1552160</xdr:colOff>
      <xdr:row>3</xdr:row>
      <xdr:rowOff>49696</xdr:rowOff>
    </xdr:to>
    <xdr:sp macro="" textlink="">
      <xdr:nvSpPr>
        <xdr:cNvPr id="25" name="Rectángulo redondeado 24"/>
        <xdr:cNvSpPr/>
      </xdr:nvSpPr>
      <xdr:spPr>
        <a:xfrm>
          <a:off x="7272130" y="1"/>
          <a:ext cx="1295400" cy="62119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5</xdr:col>
      <xdr:colOff>1552161</xdr:colOff>
      <xdr:row>0</xdr:row>
      <xdr:rowOff>1</xdr:rowOff>
    </xdr:from>
    <xdr:to>
      <xdr:col>5</xdr:col>
      <xdr:colOff>2847561</xdr:colOff>
      <xdr:row>3</xdr:row>
      <xdr:rowOff>57979</xdr:rowOff>
    </xdr:to>
    <xdr:sp macro="" textlink="">
      <xdr:nvSpPr>
        <xdr:cNvPr id="26" name="Rectángulo redondeado 25">
          <a:hlinkClick xmlns:r="http://schemas.openxmlformats.org/officeDocument/2006/relationships" r:id="rId11"/>
        </xdr:cNvPr>
        <xdr:cNvSpPr/>
      </xdr:nvSpPr>
      <xdr:spPr>
        <a:xfrm>
          <a:off x="8567531" y="1"/>
          <a:ext cx="1295400" cy="62947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5</xdr:col>
      <xdr:colOff>2830996</xdr:colOff>
      <xdr:row>0</xdr:row>
      <xdr:rowOff>0</xdr:rowOff>
    </xdr:from>
    <xdr:to>
      <xdr:col>6</xdr:col>
      <xdr:colOff>432353</xdr:colOff>
      <xdr:row>3</xdr:row>
      <xdr:rowOff>66261</xdr:rowOff>
    </xdr:to>
    <xdr:sp macro="" textlink="">
      <xdr:nvSpPr>
        <xdr:cNvPr id="27" name="Rectángulo redondeado 26">
          <a:hlinkClick xmlns:r="http://schemas.openxmlformats.org/officeDocument/2006/relationships" r:id="rId5"/>
        </xdr:cNvPr>
        <xdr:cNvSpPr/>
      </xdr:nvSpPr>
      <xdr:spPr>
        <a:xfrm>
          <a:off x="9846366" y="0"/>
          <a:ext cx="1295400" cy="6377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6" name="Flecha derecha 5">
          <a:hlinkClick xmlns:r="http://schemas.openxmlformats.org/officeDocument/2006/relationships" r:id="rId1"/>
        </xdr:cNvPr>
        <xdr:cNvSpPr/>
      </xdr:nvSpPr>
      <xdr:spPr>
        <a:xfrm>
          <a:off x="10163175" y="38100"/>
          <a:ext cx="5048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7" name="Flecha izquierda 6">
          <a:hlinkClick xmlns:r="http://schemas.openxmlformats.org/officeDocument/2006/relationships" r:id="rId2"/>
        </xdr:cNvPr>
        <xdr:cNvSpPr/>
      </xdr:nvSpPr>
      <xdr:spPr>
        <a:xfrm>
          <a:off x="47291625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0</xdr:colOff>
      <xdr:row>0</xdr:row>
      <xdr:rowOff>33543</xdr:rowOff>
    </xdr:from>
    <xdr:to>
      <xdr:col>1</xdr:col>
      <xdr:colOff>268356</xdr:colOff>
      <xdr:row>2</xdr:row>
      <xdr:rowOff>182216</xdr:rowOff>
    </xdr:to>
    <xdr:sp macro="" textlink="">
      <xdr:nvSpPr>
        <xdr:cNvPr id="24" name="Rectángulo redondeado 23">
          <a:hlinkClick xmlns:r="http://schemas.openxmlformats.org/officeDocument/2006/relationships" r:id="rId3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250962</xdr:colOff>
      <xdr:row>0</xdr:row>
      <xdr:rowOff>0</xdr:rowOff>
    </xdr:from>
    <xdr:to>
      <xdr:col>3</xdr:col>
      <xdr:colOff>38100</xdr:colOff>
      <xdr:row>3</xdr:row>
      <xdr:rowOff>0</xdr:rowOff>
    </xdr:to>
    <xdr:sp macro="" textlink="">
      <xdr:nvSpPr>
        <xdr:cNvPr id="25" name="Rectángulo redondeado 24">
          <a:hlinkClick xmlns:r="http://schemas.openxmlformats.org/officeDocument/2006/relationships" r:id="rId4"/>
        </xdr:cNvPr>
        <xdr:cNvSpPr/>
      </xdr:nvSpPr>
      <xdr:spPr>
        <a:xfrm>
          <a:off x="1422537" y="0"/>
          <a:ext cx="1920738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52593</xdr:colOff>
      <xdr:row>0</xdr:row>
      <xdr:rowOff>0</xdr:rowOff>
    </xdr:from>
    <xdr:to>
      <xdr:col>4</xdr:col>
      <xdr:colOff>723484</xdr:colOff>
      <xdr:row>2</xdr:row>
      <xdr:rowOff>173934</xdr:rowOff>
    </xdr:to>
    <xdr:sp macro="" textlink="">
      <xdr:nvSpPr>
        <xdr:cNvPr id="26" name="Rectángulo redondeado 25">
          <a:hlinkClick xmlns:r="http://schemas.openxmlformats.org/officeDocument/2006/relationships" r:id="rId5"/>
        </xdr:cNvPr>
        <xdr:cNvSpPr/>
      </xdr:nvSpPr>
      <xdr:spPr>
        <a:xfrm>
          <a:off x="33577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735081</xdr:colOff>
      <xdr:row>0</xdr:row>
      <xdr:rowOff>0</xdr:rowOff>
    </xdr:from>
    <xdr:to>
      <xdr:col>6</xdr:col>
      <xdr:colOff>96906</xdr:colOff>
      <xdr:row>3</xdr:row>
      <xdr:rowOff>0</xdr:rowOff>
    </xdr:to>
    <xdr:sp macro="" textlink="">
      <xdr:nvSpPr>
        <xdr:cNvPr id="27" name="Rectángulo redondeado 26">
          <a:hlinkClick xmlns:r="http://schemas.openxmlformats.org/officeDocument/2006/relationships" r:id="rId6"/>
        </xdr:cNvPr>
        <xdr:cNvSpPr/>
      </xdr:nvSpPr>
      <xdr:spPr>
        <a:xfrm>
          <a:off x="48022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103945</xdr:colOff>
      <xdr:row>0</xdr:row>
      <xdr:rowOff>0</xdr:rowOff>
    </xdr:from>
    <xdr:to>
      <xdr:col>6</xdr:col>
      <xdr:colOff>1399345</xdr:colOff>
      <xdr:row>3</xdr:row>
      <xdr:rowOff>0</xdr:rowOff>
    </xdr:to>
    <xdr:sp macro="" textlink="">
      <xdr:nvSpPr>
        <xdr:cNvPr id="28" name="Rectángulo redondeado 27">
          <a:hlinkClick xmlns:r="http://schemas.openxmlformats.org/officeDocument/2006/relationships" r:id="rId7"/>
        </xdr:cNvPr>
        <xdr:cNvSpPr/>
      </xdr:nvSpPr>
      <xdr:spPr>
        <a:xfrm>
          <a:off x="61046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6</xdr:col>
      <xdr:colOff>1404729</xdr:colOff>
      <xdr:row>0</xdr:row>
      <xdr:rowOff>0</xdr:rowOff>
    </xdr:from>
    <xdr:to>
      <xdr:col>8</xdr:col>
      <xdr:colOff>109329</xdr:colOff>
      <xdr:row>3</xdr:row>
      <xdr:rowOff>0</xdr:rowOff>
    </xdr:to>
    <xdr:sp macro="" textlink="">
      <xdr:nvSpPr>
        <xdr:cNvPr id="29" name="Rectángulo redondeado 28">
          <a:hlinkClick xmlns:r="http://schemas.openxmlformats.org/officeDocument/2006/relationships" r:id="rId8"/>
        </xdr:cNvPr>
        <xdr:cNvSpPr/>
      </xdr:nvSpPr>
      <xdr:spPr>
        <a:xfrm>
          <a:off x="740547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8</xdr:col>
      <xdr:colOff>118855</xdr:colOff>
      <xdr:row>0</xdr:row>
      <xdr:rowOff>0</xdr:rowOff>
    </xdr:from>
    <xdr:to>
      <xdr:col>9</xdr:col>
      <xdr:colOff>652255</xdr:colOff>
      <xdr:row>3</xdr:row>
      <xdr:rowOff>0</xdr:rowOff>
    </xdr:to>
    <xdr:sp macro="" textlink="">
      <xdr:nvSpPr>
        <xdr:cNvPr id="30" name="Rectángulo redondeado 29">
          <a:hlinkClick xmlns:r="http://schemas.openxmlformats.org/officeDocument/2006/relationships" r:id="rId2"/>
        </xdr:cNvPr>
        <xdr:cNvSpPr/>
      </xdr:nvSpPr>
      <xdr:spPr>
        <a:xfrm>
          <a:off x="871040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dk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9</xdr:col>
      <xdr:colOff>678345</xdr:colOff>
      <xdr:row>0</xdr:row>
      <xdr:rowOff>0</xdr:rowOff>
    </xdr:from>
    <xdr:to>
      <xdr:col>11</xdr:col>
      <xdr:colOff>449745</xdr:colOff>
      <xdr:row>3</xdr:row>
      <xdr:rowOff>0</xdr:rowOff>
    </xdr:to>
    <xdr:sp macro="" textlink="">
      <xdr:nvSpPr>
        <xdr:cNvPr id="31" name="Rectángulo redondeado 30">
          <a:hlinkClick xmlns:r="http://schemas.openxmlformats.org/officeDocument/2006/relationships" r:id="rId9"/>
        </xdr:cNvPr>
        <xdr:cNvSpPr/>
      </xdr:nvSpPr>
      <xdr:spPr>
        <a:xfrm>
          <a:off x="10031895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33543</xdr:rowOff>
    </xdr:from>
    <xdr:to>
      <xdr:col>1</xdr:col>
      <xdr:colOff>877956</xdr:colOff>
      <xdr:row>2</xdr:row>
      <xdr:rowOff>182216</xdr:rowOff>
    </xdr:to>
    <xdr:sp macro="" textlink="">
      <xdr:nvSpPr>
        <xdr:cNvPr id="13" name="Rectángulo redondeado 12">
          <a:hlinkClick xmlns:r="http://schemas.openxmlformats.org/officeDocument/2006/relationships" r:id="rId1"/>
        </xdr:cNvPr>
        <xdr:cNvSpPr/>
      </xdr:nvSpPr>
      <xdr:spPr>
        <a:xfrm>
          <a:off x="0" y="33543"/>
          <a:ext cx="1639956" cy="52967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GENERADOR</a:t>
          </a:r>
          <a:r>
            <a:rPr lang="es-CO" sz="1100" b="1" baseline="0"/>
            <a:t> DE NOTAS</a:t>
          </a:r>
          <a:endParaRPr lang="es-CO" sz="1100" b="1"/>
        </a:p>
      </xdr:txBody>
    </xdr:sp>
    <xdr:clientData/>
  </xdr:twoCellAnchor>
  <xdr:twoCellAnchor>
    <xdr:from>
      <xdr:col>1</xdr:col>
      <xdr:colOff>860562</xdr:colOff>
      <xdr:row>0</xdr:row>
      <xdr:rowOff>0</xdr:rowOff>
    </xdr:from>
    <xdr:to>
      <xdr:col>3</xdr:col>
      <xdr:colOff>509793</xdr:colOff>
      <xdr:row>3</xdr:row>
      <xdr:rowOff>0</xdr:rowOff>
    </xdr:to>
    <xdr:sp macro="" textlink="">
      <xdr:nvSpPr>
        <xdr:cNvPr id="14" name="Rectángulo redondeado 13">
          <a:hlinkClick xmlns:r="http://schemas.openxmlformats.org/officeDocument/2006/relationships" r:id="rId2"/>
        </xdr:cNvPr>
        <xdr:cNvSpPr/>
      </xdr:nvSpPr>
      <xdr:spPr>
        <a:xfrm>
          <a:off x="1622562" y="0"/>
          <a:ext cx="1582806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CALCULOS MANUALES</a:t>
          </a:r>
        </a:p>
      </xdr:txBody>
    </xdr:sp>
    <xdr:clientData/>
  </xdr:twoCellAnchor>
  <xdr:twoCellAnchor>
    <xdr:from>
      <xdr:col>3</xdr:col>
      <xdr:colOff>509793</xdr:colOff>
      <xdr:row>0</xdr:row>
      <xdr:rowOff>0</xdr:rowOff>
    </xdr:from>
    <xdr:to>
      <xdr:col>4</xdr:col>
      <xdr:colOff>1180684</xdr:colOff>
      <xdr:row>2</xdr:row>
      <xdr:rowOff>173934</xdr:rowOff>
    </xdr:to>
    <xdr:sp macro="" textlink="">
      <xdr:nvSpPr>
        <xdr:cNvPr id="15" name="Rectángulo redondeado 14">
          <a:hlinkClick xmlns:r="http://schemas.openxmlformats.org/officeDocument/2006/relationships" r:id="rId3"/>
        </xdr:cNvPr>
        <xdr:cNvSpPr/>
      </xdr:nvSpPr>
      <xdr:spPr>
        <a:xfrm>
          <a:off x="3205368" y="0"/>
          <a:ext cx="1432891" cy="55493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PROPORCIONADOR</a:t>
          </a:r>
        </a:p>
      </xdr:txBody>
    </xdr:sp>
    <xdr:clientData/>
  </xdr:twoCellAnchor>
  <xdr:twoCellAnchor>
    <xdr:from>
      <xdr:col>4</xdr:col>
      <xdr:colOff>1192281</xdr:colOff>
      <xdr:row>0</xdr:row>
      <xdr:rowOff>0</xdr:rowOff>
    </xdr:from>
    <xdr:to>
      <xdr:col>6</xdr:col>
      <xdr:colOff>287406</xdr:colOff>
      <xdr:row>3</xdr:row>
      <xdr:rowOff>0</xdr:rowOff>
    </xdr:to>
    <xdr:sp macro="" textlink="">
      <xdr:nvSpPr>
        <xdr:cNvPr id="16" name="Rectángulo redondeado 15">
          <a:hlinkClick xmlns:r="http://schemas.openxmlformats.org/officeDocument/2006/relationships" r:id="rId4"/>
        </xdr:cNvPr>
        <xdr:cNvSpPr/>
      </xdr:nvSpPr>
      <xdr:spPr>
        <a:xfrm>
          <a:off x="4649856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CODIGOS</a:t>
          </a:r>
        </a:p>
      </xdr:txBody>
    </xdr:sp>
    <xdr:clientData/>
  </xdr:twoCellAnchor>
  <xdr:twoCellAnchor>
    <xdr:from>
      <xdr:col>6</xdr:col>
      <xdr:colOff>303970</xdr:colOff>
      <xdr:row>0</xdr:row>
      <xdr:rowOff>0</xdr:rowOff>
    </xdr:from>
    <xdr:to>
      <xdr:col>8</xdr:col>
      <xdr:colOff>75370</xdr:colOff>
      <xdr:row>3</xdr:row>
      <xdr:rowOff>0</xdr:rowOff>
    </xdr:to>
    <xdr:sp macro="" textlink="">
      <xdr:nvSpPr>
        <xdr:cNvPr id="17" name="Rectángulo redondeado 16">
          <a:hlinkClick xmlns:r="http://schemas.openxmlformats.org/officeDocument/2006/relationships" r:id="rId5"/>
        </xdr:cNvPr>
        <xdr:cNvSpPr/>
      </xdr:nvSpPr>
      <xdr:spPr>
        <a:xfrm>
          <a:off x="596182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EQUIPOS</a:t>
          </a:r>
        </a:p>
      </xdr:txBody>
    </xdr:sp>
    <xdr:clientData/>
  </xdr:twoCellAnchor>
  <xdr:twoCellAnchor>
    <xdr:from>
      <xdr:col>8</xdr:col>
      <xdr:colOff>90279</xdr:colOff>
      <xdr:row>0</xdr:row>
      <xdr:rowOff>0</xdr:rowOff>
    </xdr:from>
    <xdr:to>
      <xdr:col>9</xdr:col>
      <xdr:colOff>623679</xdr:colOff>
      <xdr:row>3</xdr:row>
      <xdr:rowOff>0</xdr:rowOff>
    </xdr:to>
    <xdr:sp macro="" textlink="">
      <xdr:nvSpPr>
        <xdr:cNvPr id="18" name="Rectángulo redondeado 17">
          <a:hlinkClick xmlns:r="http://schemas.openxmlformats.org/officeDocument/2006/relationships" r:id="rId6"/>
        </xdr:cNvPr>
        <xdr:cNvSpPr/>
      </xdr:nvSpPr>
      <xdr:spPr>
        <a:xfrm>
          <a:off x="7272129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9</xdr:col>
      <xdr:colOff>623680</xdr:colOff>
      <xdr:row>0</xdr:row>
      <xdr:rowOff>0</xdr:rowOff>
    </xdr:from>
    <xdr:to>
      <xdr:col>11</xdr:col>
      <xdr:colOff>395080</xdr:colOff>
      <xdr:row>3</xdr:row>
      <xdr:rowOff>0</xdr:rowOff>
    </xdr:to>
    <xdr:sp macro="" textlink="">
      <xdr:nvSpPr>
        <xdr:cNvPr id="19" name="Rectángulo redondeado 18">
          <a:hlinkClick xmlns:r="http://schemas.openxmlformats.org/officeDocument/2006/relationships" r:id="rId7"/>
        </xdr:cNvPr>
        <xdr:cNvSpPr/>
      </xdr:nvSpPr>
      <xdr:spPr>
        <a:xfrm>
          <a:off x="8567530" y="0"/>
          <a:ext cx="1295400" cy="571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11</xdr:col>
      <xdr:colOff>411645</xdr:colOff>
      <xdr:row>0</xdr:row>
      <xdr:rowOff>0</xdr:rowOff>
    </xdr:from>
    <xdr:to>
      <xdr:col>13</xdr:col>
      <xdr:colOff>183045</xdr:colOff>
      <xdr:row>3</xdr:row>
      <xdr:rowOff>0</xdr:rowOff>
    </xdr:to>
    <xdr:sp macro="" textlink="">
      <xdr:nvSpPr>
        <xdr:cNvPr id="20" name="Rectángulo redondeado 19">
          <a:hlinkClick xmlns:r="http://schemas.openxmlformats.org/officeDocument/2006/relationships" r:id="rId8"/>
        </xdr:cNvPr>
        <xdr:cNvSpPr/>
      </xdr:nvSpPr>
      <xdr:spPr>
        <a:xfrm>
          <a:off x="9879495" y="0"/>
          <a:ext cx="1295400" cy="571500"/>
        </a:xfrm>
        <a:prstGeom prst="roundRect">
          <a:avLst/>
        </a:prstGeom>
      </xdr:spPr>
      <xdr:style>
        <a:lnRef idx="0">
          <a:schemeClr val="accent3"/>
        </a:lnRef>
        <a:fillRef idx="1002">
          <a:schemeClr val="lt2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SEGUIMIENTOS</a:t>
          </a:r>
          <a:r>
            <a:rPr lang="es-CO" sz="1100" b="1"/>
            <a:t>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6</xdr:row>
      <xdr:rowOff>0</xdr:rowOff>
    </xdr:from>
    <xdr:ext cx="1333500" cy="283029"/>
    <xdr:sp macro="" textlink="">
      <xdr:nvSpPr>
        <xdr:cNvPr id="2" name="Imagen 1"/>
        <xdr:cNvSpPr>
          <a:spLocks noChangeAspect="1" noChangeArrowheads="1"/>
        </xdr:cNvSpPr>
      </xdr:nvSpPr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6</xdr:row>
      <xdr:rowOff>0</xdr:rowOff>
    </xdr:from>
    <xdr:ext cx="1333500" cy="283029"/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43000"/>
          <a:ext cx="1333500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24</xdr:col>
      <xdr:colOff>0</xdr:colOff>
      <xdr:row>7</xdr:row>
      <xdr:rowOff>0</xdr:rowOff>
    </xdr:from>
    <xdr:ext cx="1333500" cy="302079"/>
    <xdr:sp macro="" textlink="">
      <xdr:nvSpPr>
        <xdr:cNvPr id="4" name="Imagen 1"/>
        <xdr:cNvSpPr>
          <a:spLocks noChangeAspect="1" noChangeArrowheads="1"/>
        </xdr:cNvSpPr>
      </xdr:nvSpPr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24</xdr:col>
      <xdr:colOff>0</xdr:colOff>
      <xdr:row>7</xdr:row>
      <xdr:rowOff>0</xdr:rowOff>
    </xdr:from>
    <xdr:ext cx="1333500" cy="302079"/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333500"/>
          <a:ext cx="1333500" cy="302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is Angel Gaitan Esquivel" refreshedDate="44939.643888773149" createdVersion="6" refreshedVersion="6" minRefreshableVersion="3" recordCount="2498">
  <cacheSource type="worksheet">
    <worksheetSource name="TIPIFIED"/>
  </cacheSource>
  <cacheFields count="16">
    <cacheField name="Nº _ PQR" numFmtId="0">
      <sharedItems containsString="0" containsBlank="1" containsNumber="1" containsInteger="1" minValue="943895150" maxValue="945793785"/>
    </cacheField>
    <cacheField name="USUARIO REMITENTE" numFmtId="0">
      <sharedItems containsBlank="1"/>
    </cacheField>
    <cacheField name="CUENTA" numFmtId="0">
      <sharedItems containsString="0" containsBlank="1" containsNumber="1" containsInteger="1" minValue="599395" maxValue="98004423"/>
    </cacheField>
    <cacheField name="RESPUESTA" numFmtId="0">
      <sharedItems containsBlank="1" count="4">
        <s v="CORREGIDO"/>
        <s v="RECHAZADO"/>
        <s v="ACEPTADO"/>
        <m/>
      </sharedItems>
    </cacheField>
    <cacheField name="MOTIVO" numFmtId="0">
      <sharedItems containsBlank="1"/>
    </cacheField>
    <cacheField name="SUB_ MOTVIO" numFmtId="0">
      <sharedItems containsBlank="1"/>
    </cacheField>
    <cacheField name="RAZON TICKET" numFmtId="0">
      <sharedItems containsBlank="1"/>
    </cacheField>
    <cacheField name="SUB RAZON TICKET" numFmtId="0">
      <sharedItems containsBlank="1" count="31">
        <s v="CLL"/>
        <s v="CEC"/>
        <s v="PQR"/>
        <s v="CAV"/>
        <s v="PRF"/>
        <s v="AEC"/>
        <s v="RDA"/>
        <s v="DCC"/>
        <m/>
        <s v="DX1" u="1"/>
        <s v="ITT" u="1"/>
        <s v="ICP" u="1"/>
        <s v="NTR" u="1"/>
        <s v="CDS" u="1"/>
        <s v="DDD" u="1"/>
        <s v="IDC" u="1"/>
        <s v="PAY" u="1"/>
        <s v="SGL" u="1"/>
        <s v="RNE" u="1"/>
        <s v="FRE" u="1"/>
        <s v="GES" u="1"/>
        <s v="AIB" u="1"/>
        <s v="CRS" u="1"/>
        <s v="TNR" u="1"/>
        <s v="CRX" u="1"/>
        <s v="WEB" u="1"/>
        <s v="COP" u="1"/>
        <s v="CSS" u="1"/>
        <s v="PRT" u="1"/>
        <s v="AMS" u="1"/>
        <s v="CRC" u="1"/>
      </sharedItems>
    </cacheField>
    <cacheField name="FECHA ASIGNACION" numFmtId="14">
      <sharedItems containsSemiMixedTypes="0" containsNonDate="0" containsDate="1" containsString="0" minDate="2023-01-13T00:00:00" maxDate="2023-01-14T00:00:00"/>
    </cacheField>
    <cacheField name="HORA ASIGNACION" numFmtId="21">
      <sharedItems containsSemiMixedTypes="0" containsNonDate="0" containsDate="1" containsString="0" minDate="1899-12-30T08:00:00" maxDate="1899-12-30T09:00:00"/>
    </cacheField>
    <cacheField name="USUARIO BACK" numFmtId="0">
      <sharedItems/>
    </cacheField>
    <cacheField name="GERENCIA CODIGOS" numFmtId="0">
      <sharedItems containsBlank="1"/>
    </cacheField>
    <cacheField name="MOTIVO2" numFmtId="0">
      <sharedItems containsBlank="1"/>
    </cacheField>
    <cacheField name="SOLICITUD DE CANCELACION" numFmtId="0">
      <sharedItems containsNonDate="0" containsDate="1" containsString="0" containsBlank="1" minDate="2022-11-26T00:00:00" maxDate="2022-11-27T00:00:00"/>
    </cacheField>
    <cacheField name="ALIADO" numFmtId="0">
      <sharedItems containsNonDate="0" containsBlank="1" count="2">
        <m/>
        <s v="CAV" u="1"/>
      </sharedItems>
    </cacheField>
    <cacheField name="TRANSACCIONES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8">
  <r>
    <n v="945629452"/>
    <s v="ECM1755B"/>
    <n v="31976067"/>
    <x v="0"/>
    <s v="C_CALCULO_ERRADO_SEGÚN_SOPORTES"/>
    <s v="SE CORRIGE EL CALCULO DE DISPONIBILIDAD DEL SERVICIO SEGUN LOS SOPORTES ADJUNTOS."/>
    <s v="AJU"/>
    <x v="0"/>
    <d v="2023-01-13T00:00:00"/>
    <d v="1899-12-30T09:00:00"/>
    <s v="ECF5927A"/>
    <s v="NOVEDAD_NO_AGENDADA"/>
    <s v="TRASLADOS NO EFECTUADOS A TIEMPO SEGÚN PROCESO"/>
    <m/>
    <x v="0"/>
    <n v="5"/>
  </r>
  <r>
    <n v="945614322"/>
    <s v="EC1079E"/>
    <n v="87637492"/>
    <x v="0"/>
    <s v="C_CALCULO_ERRADO_SEGÚN_SOPORTES"/>
    <s v="SE CORRIGE EL CALCULO DE DISPONIBILIDAD DEL SERVICIO SEGUN LOS SOPORTES ADJUNTOS."/>
    <s v="AJU"/>
    <x v="1"/>
    <d v="2023-01-13T00:00:00"/>
    <d v="1899-12-30T09:00:00"/>
    <s v="ECF5927A"/>
    <s v="CREER_EN_EL_CLIENTE"/>
    <s v="TARIFA MAYOR A LA PACTADA"/>
    <m/>
    <x v="0"/>
    <n v="1"/>
  </r>
  <r>
    <n v="945603121"/>
    <s v="ECF0273F"/>
    <n v="599395"/>
    <x v="1"/>
    <s v="R_FACTURACIÓN_CORRECTA_SEGÚN_PROCESO"/>
    <s v="AJUSTE YA APLICADO EN TICKET ANTERIOR"/>
    <s v="AJU"/>
    <x v="1"/>
    <d v="2023-01-13T00:00:00"/>
    <d v="1899-12-30T09:00:00"/>
    <s v="ECF5927A"/>
    <m/>
    <m/>
    <m/>
    <x v="0"/>
    <n v="1"/>
  </r>
  <r>
    <n v="945793785"/>
    <s v="EIQ1991A"/>
    <n v="34404715"/>
    <x v="1"/>
    <s v="R_FACTURACIÓN_CORRECTA_SEGÚN_PROCESO"/>
    <s v="NO SE HACE AJUSTE  SIENDO QUE NO SE EVIDENCIA SOPORTE"/>
    <s v="AJU"/>
    <x v="2"/>
    <d v="2023-01-13T00:00:00"/>
    <d v="1899-12-30T09:00:00"/>
    <s v="ECF5927A"/>
    <m/>
    <m/>
    <m/>
    <x v="0"/>
    <n v="1"/>
  </r>
  <r>
    <n v="945782529"/>
    <s v="ECF3672C"/>
    <n v="50890371"/>
    <x v="0"/>
    <s v="C_CALCULO_ERRADO_SEGÚN_SOPORTES"/>
    <s v="SE CORRIGE EL CALCULO DE DISPONIBILIDAD DEL SERVICIO SEGUN LOS SOPORTES ADJUNTOS."/>
    <s v="AJU"/>
    <x v="0"/>
    <d v="2023-01-13T00:00:00"/>
    <d v="1899-12-30T09:00:00"/>
    <s v="ECF5927A"/>
    <s v="FACTURACION"/>
    <s v="ASEGURAMIENTO GESTIÓN TICKETS / CIERRE DE LA EXPERIENCIA BAJO INFORMACIÓN SUMINISTRADA  "/>
    <m/>
    <x v="0"/>
    <n v="5"/>
  </r>
  <r>
    <n v="944942772"/>
    <s v="EC5972K"/>
    <n v="3482094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COMERCIAL"/>
    <s v="OFRECIMIENTOS COMERCIALES - NO HAY CONTRATO EN BD"/>
    <m/>
    <x v="0"/>
    <n v="3"/>
  </r>
  <r>
    <n v="944614541"/>
    <s v="ECF1224B"/>
    <n v="77147106"/>
    <x v="1"/>
    <s v="R_FACTURACIÓN_CORRECTA_SEGÚN_PROCESO"/>
    <s v="NO SE EVIDENCIA ERROR DE FACTURA"/>
    <s v="AJU"/>
    <x v="2"/>
    <d v="2023-01-13T00:00:00"/>
    <d v="1899-12-30T09:00:00"/>
    <s v="ECF5927A"/>
    <m/>
    <m/>
    <m/>
    <x v="0"/>
    <n v="1"/>
  </r>
  <r>
    <n v="944650117"/>
    <s v="EC0067F"/>
    <n v="43154216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m/>
    <m/>
    <m/>
    <x v="0"/>
    <n v="3"/>
  </r>
  <r>
    <n v="945766714"/>
    <s v="EC8308F"/>
    <n v="30003913"/>
    <x v="1"/>
    <s v="R_FACTURACIÓN_CORRECTA_SEGÚN_PROCESO"/>
    <s v="NO SE HACE AJUSTE  SIENDO QUE NO SE EVIDENCIA SOPORTE"/>
    <s v="AJU"/>
    <x v="0"/>
    <d v="2023-01-13T00:00:00"/>
    <d v="1899-12-30T09:00:00"/>
    <s v="ECF5927A"/>
    <m/>
    <m/>
    <m/>
    <x v="0"/>
    <n v="1"/>
  </r>
  <r>
    <n v="945755914"/>
    <s v="ECF3069E"/>
    <n v="95559767"/>
    <x v="0"/>
    <s v="C_CALCULO_ERRADO_SEGÚN_SOPORTES"/>
    <s v="SE CORRIGE EL CALCULO DE DISPONIBILIDAD DEL SERVICIO SEGUN LOS SOPORTES ADJUNTOS."/>
    <s v="AJU"/>
    <x v="0"/>
    <d v="2023-01-13T00:00:00"/>
    <d v="1899-12-30T09:00:00"/>
    <s v="ECF5927A"/>
    <s v="FACTURACION"/>
    <s v="ASEGURAMIENTO GESTIÓN TICKETS / CIERRE DE LA EXPERIENCIA BAJO INFORMACIÓN SUMINISTRADA  "/>
    <m/>
    <x v="0"/>
    <n v="5"/>
  </r>
  <r>
    <n v="945743459"/>
    <s v="ICM8821A"/>
    <n v="70762828"/>
    <x v="1"/>
    <s v="R_FACTURACIÓN_CORRECTA_SEGÚN_PROCESO"/>
    <s v="NO SE HACE AJUSTE  SIENDO QUE NO SE EVIDENCIA SOPORTE"/>
    <s v="AJU"/>
    <x v="3"/>
    <d v="2023-01-13T00:00:00"/>
    <d v="1899-12-30T09:00:00"/>
    <s v="ECF5927A"/>
    <m/>
    <m/>
    <m/>
    <x v="0"/>
    <n v="1"/>
  </r>
  <r>
    <n v="945731403"/>
    <s v="EC1392F"/>
    <n v="40170318"/>
    <x v="0"/>
    <s v="C_FALTO_DISPUTAR_PRODUCTO_O_NO_CALCULA_VALOR_EN_DISPUTA"/>
    <s v="CONCILIA O NO RELACIONA NINGUNA DISPUTA "/>
    <s v="AJU"/>
    <x v="0"/>
    <d v="2023-01-13T00:00:00"/>
    <d v="1899-12-30T09:00:00"/>
    <s v="ECF5927A"/>
    <s v="EQUIPOS"/>
    <s v="REVERSIÓN COSTO ENVIÓ"/>
    <m/>
    <x v="0"/>
    <n v="1"/>
  </r>
  <r>
    <n v="945723272"/>
    <s v="ECM6618E"/>
    <n v="88157462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FACTURACION_PQR "/>
    <s v="CARTA PROYECTADA"/>
    <m/>
    <x v="0"/>
    <n v="4"/>
  </r>
  <r>
    <n v="945714139"/>
    <s v="ECF8520E"/>
    <n v="37833585"/>
    <x v="0"/>
    <s v="C_CALCULO_ERRADO_SEGÚN_SOPORTES"/>
    <s v="SE CORRIGE EL CALCULO DE DISPONIBILIDAD DEL SERVICIO SEGUN LOS SOPORTES ADJUNTOS."/>
    <s v="AJU"/>
    <x v="0"/>
    <d v="2023-01-13T00:00:00"/>
    <d v="1899-12-30T09:00:00"/>
    <s v="ECF5927A"/>
    <s v="FACTURACION"/>
    <s v="ASEGURAMIENTO GESTIÓN TICKETS / CIERRE DE LA EXPERIENCIA BAJO INFORMACIÓN SUMINISTRADA  "/>
    <m/>
    <x v="0"/>
    <n v="3"/>
  </r>
  <r>
    <n v="945289976"/>
    <s v="EC4592F"/>
    <n v="9223861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PRESTACION_DE_SERVICIO"/>
    <s v="FALLAS DE SERVICIO DAÑOS DISPOSITIVOS"/>
    <m/>
    <x v="0"/>
    <n v="3"/>
  </r>
  <r>
    <n v="945554827"/>
    <s v="ECM0547B"/>
    <n v="86759491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FACTURACION"/>
    <s v="AJUSTE POR INCREMENTO DE TARIFAS"/>
    <m/>
    <x v="0"/>
    <n v="3"/>
  </r>
  <r>
    <n v="945203188"/>
    <s v="EC5364E"/>
    <n v="9336176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PRESTACION_DE_SERVICIO"/>
    <s v="FALLAS DEL SERVICIO SUS CONFIRMA SEÑAL OK "/>
    <m/>
    <x v="0"/>
    <n v="4"/>
  </r>
  <r>
    <n v="943968906"/>
    <s v="EC0587AA"/>
    <n v="43643447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FACTURACION"/>
    <s v="ASEGURAMIENTO GESTIÓN TICKETS / CIERRE DE LA EXPERIENCIA BAJO INFORMACIÓN SUMINISTRADA  "/>
    <m/>
    <x v="0"/>
    <n v="4"/>
  </r>
  <r>
    <n v="944984635"/>
    <s v="ECF0330F"/>
    <n v="46699917"/>
    <x v="0"/>
    <s v="C_FALTO_DISPUTAR_PRODUCTO_O_NO_CALCULA_VALOR_EN_DISPUTA"/>
    <s v="CONCILIA O NO RELACIONA NINGUNA DISPUTA "/>
    <s v="AJU"/>
    <x v="2"/>
    <d v="2023-01-13T00:00:00"/>
    <d v="1899-12-30T09:00:00"/>
    <s v="ECF5927A"/>
    <s v="TOMAS_ADICIONALES"/>
    <s v="TOMA NO FUE INSTALADA"/>
    <m/>
    <x v="0"/>
    <n v="1"/>
  </r>
  <r>
    <n v="944265574"/>
    <s v="EC0067F"/>
    <n v="62147125"/>
    <x v="1"/>
    <s v="R_FACTURACIÓN_CORRECTA_SEGÚN_PROCESO"/>
    <s v="PENDIENTE FALLA O CORRECCIÓN FACTURA"/>
    <s v="AJU"/>
    <x v="4"/>
    <d v="2023-01-13T00:00:00"/>
    <d v="1899-12-30T09:00:00"/>
    <s v="ECF5927A"/>
    <m/>
    <m/>
    <m/>
    <x v="0"/>
    <n v="1"/>
  </r>
  <r>
    <n v="945320611"/>
    <s v="EC6562G"/>
    <n v="26307405"/>
    <x v="1"/>
    <s v="R_FACTURACIÓN_CORRECTA_SEGÚN_PROCESO"/>
    <s v="NO SE HACE AJUSTE  SIENDO QUE NO SE EVIDENCIA SOPORTE"/>
    <s v="AJU"/>
    <x v="2"/>
    <d v="2023-01-13T00:00:00"/>
    <d v="1899-12-30T09:00:00"/>
    <s v="ECF5927A"/>
    <m/>
    <m/>
    <m/>
    <x v="0"/>
    <n v="1"/>
  </r>
  <r>
    <n v="945317568"/>
    <s v="EC4080G"/>
    <n v="65578536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SSEE"/>
    <s v="DX MESES DESPUES DEL PREAVISO"/>
    <d v="2022-11-26T00:00:00"/>
    <x v="0"/>
    <n v="3"/>
  </r>
  <r>
    <n v="945475932"/>
    <s v="EC7963V"/>
    <n v="90740479"/>
    <x v="1"/>
    <s v="R_FACTURACIÓN_CORRECTA_SEGÚN_PROCESO"/>
    <s v="NO SE EVIDENCIA ERROR DE FACTURA"/>
    <s v="AJU"/>
    <x v="4"/>
    <d v="2023-01-13T00:00:00"/>
    <d v="1899-12-30T09:00:00"/>
    <s v="ECF5927A"/>
    <m/>
    <m/>
    <m/>
    <x v="0"/>
    <n v="1"/>
  </r>
  <r>
    <n v="945432940"/>
    <s v="EC2782H"/>
    <n v="38503278"/>
    <x v="1"/>
    <s v="R_FACTURACIÓN_CORRECTA_SEGÚN_PROCESO"/>
    <s v="NO SE HACE AJUSTE  SIENDO QUE NO SE EVIDENCIA SOPORTE"/>
    <s v="AJU"/>
    <x v="2"/>
    <d v="2023-01-13T00:00:00"/>
    <d v="1899-12-30T09:00:00"/>
    <s v="ECF5927A"/>
    <m/>
    <m/>
    <m/>
    <x v="0"/>
    <n v="1"/>
  </r>
  <r>
    <n v="943895150"/>
    <s v="EC0587AA"/>
    <n v="90682402"/>
    <x v="1"/>
    <s v="R_FACTURACIÓN_CORRECTA_SEGÚN_PROCESO"/>
    <s v="NO SE EVIDENCIA ERROR DE FACTURA"/>
    <s v="AJU"/>
    <x v="2"/>
    <d v="2023-01-13T00:00:00"/>
    <d v="1899-12-30T09:00:00"/>
    <s v="ECF5927A"/>
    <m/>
    <m/>
    <m/>
    <x v="0"/>
    <n v="1"/>
  </r>
  <r>
    <n v="945651701"/>
    <s v="ECF0416A"/>
    <n v="65733616"/>
    <x v="0"/>
    <s v="C_CALCULO_ERRADO_SEGÚN_SOPORTES"/>
    <s v="SE CORRIGE EL CALCULO DE DISPONIBILIDAD DEL SERVICIO SEGUN LOS SOPORTES ADJUNTOS."/>
    <s v="AJU"/>
    <x v="5"/>
    <d v="2023-01-13T00:00:00"/>
    <d v="1899-12-30T09:00:00"/>
    <s v="ECF5927A"/>
    <s v="FACTURACION_PQR "/>
    <s v="FAVORABILIDAD PQR / RECURSOS REPOSICIÓN BAJO INFORMACIÓN SUMINISTRADA"/>
    <m/>
    <x v="0"/>
    <n v="1"/>
  </r>
  <r>
    <n v="945653797"/>
    <s v="ECF4190B"/>
    <n v="96807375"/>
    <x v="1"/>
    <s v="R_FACTURACIÓN_CORRECTA_SEGÚN_PROCESO"/>
    <s v="NO SE HACE AJUSTE  SIENDO QUE NO SE EVIDENCIA SOPORTE"/>
    <s v="CAR"/>
    <x v="6"/>
    <d v="2023-01-13T00:00:00"/>
    <d v="1899-12-30T09:00:00"/>
    <s v="ECF5927A"/>
    <m/>
    <m/>
    <m/>
    <x v="0"/>
    <n v="1"/>
  </r>
  <r>
    <n v="945655320"/>
    <s v="EC8116U"/>
    <n v="12436948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m/>
    <m/>
    <m/>
    <x v="0"/>
    <n v="1"/>
  </r>
  <r>
    <n v="945660774"/>
    <s v="ECF3267C"/>
    <n v="72224757"/>
    <x v="0"/>
    <s v="C_CALCULO_ERRADO_SEGÚN_SOPORTES"/>
    <s v="SE CORRIGE EL CALCULO DE DISPONIBILIDAD DEL SERVICIO SEGUN LOS SOPORTES ADJUNTOS."/>
    <s v="AJU"/>
    <x v="2"/>
    <d v="2023-01-13T00:00:00"/>
    <d v="1899-12-30T09:00:00"/>
    <s v="ECF5927A"/>
    <s v="FACTURACION_PQR "/>
    <s v="CARTA PROYECTADA"/>
    <m/>
    <x v="0"/>
    <n v="5"/>
  </r>
  <r>
    <n v="945669225"/>
    <s v="EIQ8559A"/>
    <n v="77549467"/>
    <x v="2"/>
    <s v="APROBADO"/>
    <s v="SOLICITUD AJUSTE COMPLETA SEGÚN EXIGENCIA DE POLITICA"/>
    <s v="EVE"/>
    <x v="7"/>
    <d v="2023-01-13T00:00:00"/>
    <d v="1899-12-30T09:00:00"/>
    <s v="ECF5927A"/>
    <s v="EQUIPOS"/>
    <s v="COBRO EQUIPOS"/>
    <m/>
    <x v="0"/>
    <n v="1"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9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n v="945642841"/>
    <s v="ECM9737J"/>
    <n v="45373784"/>
    <x v="3"/>
    <m/>
    <m/>
    <s v="AJU"/>
    <x v="2"/>
    <d v="2023-01-13T00:00:00"/>
    <d v="1899-12-30T08:00:00"/>
    <s v="ECF5927A"/>
    <m/>
    <m/>
    <m/>
    <x v="0"/>
    <m/>
  </r>
  <r>
    <n v="945631182"/>
    <s v="ECF7812D"/>
    <n v="58550571"/>
    <x v="3"/>
    <m/>
    <m/>
    <s v="AJU"/>
    <x v="1"/>
    <d v="2023-01-13T00:00:00"/>
    <d v="1899-12-30T08:00:00"/>
    <s v="ECF5927A"/>
    <m/>
    <m/>
    <m/>
    <x v="0"/>
    <m/>
  </r>
  <r>
    <n v="945623260"/>
    <s v="EC0942E"/>
    <n v="92630110"/>
    <x v="3"/>
    <m/>
    <m/>
    <s v="AJU"/>
    <x v="1"/>
    <d v="2023-01-13T00:00:00"/>
    <d v="1899-12-30T08:00:00"/>
    <s v="ECF5927A"/>
    <m/>
    <m/>
    <m/>
    <x v="0"/>
    <m/>
  </r>
  <r>
    <n v="945613969"/>
    <s v="EC1661S"/>
    <n v="38320103"/>
    <x v="3"/>
    <m/>
    <m/>
    <s v="AJU"/>
    <x v="1"/>
    <d v="2023-01-13T00:00:00"/>
    <d v="1899-12-30T08:00:00"/>
    <s v="ECF5927A"/>
    <m/>
    <m/>
    <m/>
    <x v="0"/>
    <m/>
  </r>
  <r>
    <n v="945609859"/>
    <s v="EC5454I"/>
    <n v="98004423"/>
    <x v="3"/>
    <m/>
    <m/>
    <s v="AJU"/>
    <x v="0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m/>
    <x v="8"/>
    <d v="2023-01-13T00:00:00"/>
    <d v="1899-12-30T08:00:00"/>
    <s v="ECF5927A"/>
    <m/>
    <m/>
    <m/>
    <x v="0"/>
    <m/>
  </r>
  <r>
    <m/>
    <m/>
    <m/>
    <x v="3"/>
    <m/>
    <m/>
    <s v="AJU"/>
    <x v="1"/>
    <d v="2023-01-13T00:00:00"/>
    <d v="1899-12-30T08:00:00"/>
    <s v="ECF5927A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5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Z16:AB31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3"/>
        <item x="2"/>
        <item t="default"/>
      </items>
    </pivotField>
    <pivotField showAll="0"/>
    <pivotField showAll="0"/>
    <pivotField showAll="0"/>
    <pivotField axis="axisRow" dataField="1" showAll="0">
      <items count="32">
        <item x="5"/>
        <item m="1" x="13"/>
        <item x="0"/>
        <item x="2"/>
        <item h="1" x="8"/>
        <item x="3"/>
        <item x="1"/>
        <item x="4"/>
        <item m="1" x="30"/>
        <item m="1" x="21"/>
        <item x="7"/>
        <item m="1" x="14"/>
        <item m="1" x="9"/>
        <item m="1" x="24"/>
        <item m="1" x="16"/>
        <item m="1" x="26"/>
        <item m="1" x="22"/>
        <item m="1" x="15"/>
        <item m="1" x="19"/>
        <item m="1" x="29"/>
        <item m="1" x="27"/>
        <item m="1" x="10"/>
        <item h="1" m="1" x="11"/>
        <item h="1" m="1" x="17"/>
        <item h="1" m="1" x="25"/>
        <item h="1" m="1" x="28"/>
        <item h="1" m="1" x="18"/>
        <item m="1" x="20"/>
        <item h="1" m="1" x="23"/>
        <item m="1" x="12"/>
        <item h="1" x="6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x="0"/>
        <item m="1" x="1"/>
        <item t="default"/>
      </items>
    </pivotField>
    <pivotField showAll="0"/>
  </pivotFields>
  <rowFields count="2">
    <field x="7"/>
    <field x="14"/>
  </rowFields>
  <rowItems count="15">
    <i>
      <x/>
    </i>
    <i r="1">
      <x/>
    </i>
    <i>
      <x v="2"/>
    </i>
    <i r="1">
      <x/>
    </i>
    <i>
      <x v="3"/>
    </i>
    <i r="1">
      <x/>
    </i>
    <i>
      <x v="5"/>
    </i>
    <i r="1">
      <x/>
    </i>
    <i>
      <x v="6"/>
    </i>
    <i r="1">
      <x/>
    </i>
    <i>
      <x v="7"/>
    </i>
    <i r="1">
      <x/>
    </i>
    <i>
      <x v="10"/>
    </i>
    <i r="1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4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R22:AS29" firstHeaderRow="1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3"/>
        <item h="1" x="2"/>
        <item t="default"/>
      </items>
    </pivotField>
    <pivotField showAll="0"/>
    <pivotField showAll="0"/>
    <pivotField showAll="0"/>
    <pivotField axis="axisRow" dataField="1" showAll="0" sortType="descending">
      <items count="32">
        <item x="5"/>
        <item m="1" x="13"/>
        <item x="0"/>
        <item x="2"/>
        <item h="1" x="8"/>
        <item x="3"/>
        <item x="1"/>
        <item x="4"/>
        <item m="1" x="30"/>
        <item m="1" x="21"/>
        <item x="7"/>
        <item m="1" x="14"/>
        <item m="1" x="9"/>
        <item m="1" x="24"/>
        <item m="1" x="16"/>
        <item m="1" x="26"/>
        <item m="1" x="22"/>
        <item m="1" x="15"/>
        <item m="1" x="19"/>
        <item h="1" m="1" x="29"/>
        <item h="1" m="1" x="27"/>
        <item h="1" m="1" x="10"/>
        <item h="1" m="1" x="11"/>
        <item h="1" m="1" x="17"/>
        <item h="1" m="1" x="25"/>
        <item h="1" m="1" x="28"/>
        <item h="1" m="1" x="18"/>
        <item h="1" m="1" x="20"/>
        <item h="1" m="1" x="23"/>
        <item h="1" m="1" x="12"/>
        <item h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7">
    <i>
      <x v="3"/>
    </i>
    <i>
      <x v="2"/>
    </i>
    <i>
      <x v="6"/>
    </i>
    <i>
      <x v="7"/>
    </i>
    <i>
      <x/>
    </i>
    <i>
      <x v="5"/>
    </i>
    <i t="grand">
      <x/>
    </i>
  </rowItems>
  <colItems count="1">
    <i/>
  </colItems>
  <pageFields count="1">
    <pageField fld="3" hier="-1"/>
  </pageFields>
  <dataFields count="1">
    <dataField name="Cuenta de SUB RAZON TICKET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3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E17:AG28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3"/>
        <item x="2"/>
        <item t="default"/>
      </items>
    </pivotField>
    <pivotField showAll="0"/>
    <pivotField showAll="0"/>
    <pivotField showAll="0"/>
    <pivotField axis="axisRow" dataField="1" showAll="0">
      <items count="32">
        <item h="1" x="5"/>
        <item h="1" m="1" x="13"/>
        <item x="0"/>
        <item x="2"/>
        <item h="1" x="8"/>
        <item x="3"/>
        <item x="1"/>
        <item x="4"/>
        <item h="1" m="1" x="30"/>
        <item m="1" x="21"/>
        <item h="1" x="7"/>
        <item h="1" m="1" x="14"/>
        <item h="1" m="1" x="9"/>
        <item h="1" m="1" x="24"/>
        <item h="1" m="1" x="16"/>
        <item h="1" m="1" x="26"/>
        <item h="1" m="1" x="22"/>
        <item h="1" m="1" x="15"/>
        <item h="1" m="1" x="19"/>
        <item m="1" x="29"/>
        <item h="1" m="1" x="27"/>
        <item h="1" m="1" x="10"/>
        <item h="1" m="1" x="11"/>
        <item h="1" m="1" x="17"/>
        <item m="1" x="25"/>
        <item h="1" m="1" x="28"/>
        <item h="1" m="1" x="18"/>
        <item h="1" m="1" x="20"/>
        <item h="1" m="1" x="23"/>
        <item h="1" m="1" x="12"/>
        <item h="1" x="6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11">
    <i>
      <x v="2"/>
    </i>
    <i r="1">
      <x v="1"/>
    </i>
    <i>
      <x v="3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2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N16:P19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0"/>
        <item x="1"/>
        <item h="1" x="3"/>
        <item x="2"/>
        <item t="default"/>
      </items>
    </pivotField>
    <pivotField showAll="0"/>
    <pivotField showAll="0"/>
    <pivotField showAll="0"/>
    <pivotField axis="axisRow" dataField="1" showAll="0">
      <items count="32">
        <item x="5"/>
        <item h="1" m="1" x="13"/>
        <item h="1" x="0"/>
        <item h="1" x="2"/>
        <item h="1" x="8"/>
        <item h="1" x="3"/>
        <item h="1" x="1"/>
        <item h="1" x="4"/>
        <item h="1" m="1" x="30"/>
        <item h="1" m="1" x="21"/>
        <item h="1" x="7"/>
        <item h="1" m="1" x="14"/>
        <item h="1" m="1" x="9"/>
        <item h="1" m="1" x="24"/>
        <item h="1" m="1" x="16"/>
        <item h="1" m="1" x="26"/>
        <item h="1" m="1" x="22"/>
        <item h="1" m="1" x="15"/>
        <item h="1" m="1" x="19"/>
        <item h="1" m="1" x="29"/>
        <item h="1" m="1" x="27"/>
        <item h="1" m="1" x="10"/>
        <item h="1" m="1" x="11"/>
        <item h="1" m="1" x="17"/>
        <item h="1" m="1" x="25"/>
        <item h="1" m="1" x="28"/>
        <item h="1" m="1" x="18"/>
        <item h="1" m="1" x="20"/>
        <item h="1" m="1" x="23"/>
        <item h="1" m="1" x="12"/>
        <item h="1" x="6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3">
    <i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6:B20" firstHeaderRow="1" firstDataRow="1" firstDataCol="1"/>
  <pivotFields count="16">
    <pivotField showAll="0"/>
    <pivotField showAll="0"/>
    <pivotField showAll="0"/>
    <pivotField axis="axisRow" dataField="1" showAll="0">
      <items count="5">
        <item x="0"/>
        <item x="1"/>
        <item h="1" x="3"/>
        <item x="2"/>
        <item t="default"/>
      </items>
    </pivotField>
    <pivotField showAll="0"/>
    <pivotField showAll="0"/>
    <pivotField showAll="0"/>
    <pivotField showAll="0"/>
    <pivotField numFmtId="14" showAll="0"/>
    <pivotField numFmtId="2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Cuenta de RESPUESTA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6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S15:U18" firstHeaderRow="0" firstDataRow="1" firstDataCol="1" rowPageCount="1" colPageCount="1"/>
  <pivotFields count="16">
    <pivotField showAll="0"/>
    <pivotField showAll="0"/>
    <pivotField showAll="0"/>
    <pivotField axis="axisPage" multipleItemSelectionAllowed="1" showAll="0">
      <items count="5">
        <item x="2"/>
        <item x="0"/>
        <item x="1"/>
        <item h="1" x="3"/>
        <item t="default"/>
      </items>
    </pivotField>
    <pivotField showAll="0"/>
    <pivotField showAll="0"/>
    <pivotField showAll="0"/>
    <pivotField axis="axisRow" dataField="1" showAll="0">
      <items count="32">
        <item h="1" x="5"/>
        <item m="1" x="13"/>
        <item h="1" x="0"/>
        <item h="1" x="2"/>
        <item h="1" x="8"/>
        <item h="1" x="3"/>
        <item h="1" x="1"/>
        <item h="1" x="4"/>
        <item m="1" x="30"/>
        <item h="1" m="1" x="21"/>
        <item x="7"/>
        <item m="1" x="14"/>
        <item h="1" m="1" x="9"/>
        <item h="1" m="1" x="24"/>
        <item h="1" m="1" x="16"/>
        <item h="1" m="1" x="26"/>
        <item h="1" m="1" x="22"/>
        <item h="1" m="1" x="15"/>
        <item h="1" m="1" x="19"/>
        <item h="1" m="1" x="29"/>
        <item h="1" m="1" x="27"/>
        <item h="1" m="1" x="10"/>
        <item h="1" m="1" x="11"/>
        <item m="1" x="17"/>
        <item h="1" m="1" x="25"/>
        <item m="1" x="28"/>
        <item m="1" x="18"/>
        <item h="1" m="1" x="20"/>
        <item h="1" m="1" x="23"/>
        <item h="1" m="1" x="12"/>
        <item h="1" x="6"/>
        <item t="default"/>
      </items>
    </pivotField>
    <pivotField numFmtId="14" showAll="0"/>
    <pivotField numFmtId="21" showAll="0"/>
    <pivotField showAll="0"/>
    <pivotField showAll="0"/>
    <pivotField showAll="0"/>
    <pivotField showAll="0"/>
    <pivotField axis="axisRow" dataField="1" showAll="0">
      <items count="3">
        <item h="1" m="1" x="1"/>
        <item x="0"/>
        <item t="default"/>
      </items>
    </pivotField>
    <pivotField showAll="0"/>
  </pivotFields>
  <rowFields count="2">
    <field x="7"/>
    <field x="14"/>
  </rowFields>
  <rowItems count="3">
    <i>
      <x v="10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Cuenta de SUB RAZON TICKET" fld="7" subtotal="count" baseField="0" baseItem="0"/>
    <dataField name="Cuenta de ALIADO" fld="1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7" name="TIPOLOGIAS." displayName="TIPOLOGIAS." ref="W6:W31" totalsRowShown="0" dataDxfId="68">
  <autoFilter ref="W6:W31"/>
  <tableColumns count="1">
    <tableColumn id="1" name="TIPOLOGIAS" dataDxfId="6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66" dataDxfId="65">
  <autoFilter ref="C29:C56"/>
  <sortState ref="C27:C51">
    <sortCondition ref="C27"/>
  </sortState>
  <tableColumns count="1">
    <tableColumn id="1" name="Columna1" dataDxfId="6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6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62" headerRowBorderDxfId="61" tableBorderDxfId="60">
  <autoFilter ref="P6:R34"/>
  <tableColumns count="3">
    <tableColumn id="1" name="EQUIPO" dataDxfId="59"/>
    <tableColumn id="2" name="VALOR CON IVA" dataDxfId="58"/>
    <tableColumn id="3" name="VALOR SIN IVA" dataDxfId="5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5" totalsRowShown="0" dataDxfId="0">
  <autoFilter ref="C4:C5"/>
  <tableColumns count="1">
    <tableColumn id="1" name="VALOR" dataDxfId="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IPIFIED" displayName="TIPIFIED" ref="A24:P2522" totalsRowShown="0" headerRowDxfId="56" dataDxfId="55">
  <autoFilter ref="A24:P2522"/>
  <tableColumns count="16">
    <tableColumn id="1" name="Nº _ PQR" dataDxfId="54"/>
    <tableColumn id="2" name="USUARIO REMITENTE" dataDxfId="53"/>
    <tableColumn id="3" name="CUENTA" dataDxfId="52"/>
    <tableColumn id="4" name="RESPUESTA" dataDxfId="51"/>
    <tableColumn id="5" name="MOTIVO" dataDxfId="50"/>
    <tableColumn id="6" name="SUB_ MOTVIO" dataDxfId="49"/>
    <tableColumn id="7" name="RAZON TICKET" dataDxfId="48"/>
    <tableColumn id="8" name="SUB RAZON TICKET" dataDxfId="47"/>
    <tableColumn id="9" name="FECHA ASIGNACION" dataDxfId="46">
      <calculatedColumnFormula>TODAY()</calculatedColumnFormula>
    </tableColumn>
    <tableColumn id="10" name="HORA ASIGNACION" dataDxfId="45"/>
    <tableColumn id="11" name="USUARIO BACK" dataDxfId="44"/>
    <tableColumn id="12" name="GERENCIA CODIGOS" dataDxfId="43"/>
    <tableColumn id="13" name="MOTIVO2" dataDxfId="42"/>
    <tableColumn id="14" name="SOLICITUD DE CANCELACION" dataDxfId="41"/>
    <tableColumn id="15" name="ALIADO" dataDxfId="40"/>
    <tableColumn id="16" name="TRANSACCIONES" dataDxfId="39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4" name="Tabla26" displayName="Tabla26" ref="AN7:AR13" totalsRowShown="0" headerRowDxfId="38" headerRowBorderDxfId="37" tableBorderDxfId="36" totalsRowBorderDxfId="35">
  <autoFilter ref="AN7:AR13"/>
  <tableColumns count="5">
    <tableColumn id="1" name="Columna1" dataDxfId="34"/>
    <tableColumn id="2" name="Columna2" dataDxfId="33"/>
    <tableColumn id="3" name="Columna3" dataDxfId="32"/>
    <tableColumn id="4" name="Columna4" dataDxfId="31"/>
    <tableColumn id="5" name="Columna5" dataDxfId="3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Tabla3" displayName="Tabla3" ref="BA6:BE12" totalsRowShown="0" headerRowDxfId="29" dataDxfId="27" headerRowBorderDxfId="28" tableBorderDxfId="26" totalsRowBorderDxfId="25" headerRowCellStyle="Porcentaje" dataCellStyle="Porcentaje">
  <autoFilter ref="BA6:BE12"/>
  <tableColumns count="5">
    <tableColumn id="1" name="Columna1" dataDxfId="24" dataCellStyle="Porcentaje"/>
    <tableColumn id="2" name="Columna2" dataDxfId="23" dataCellStyle="Porcentaje"/>
    <tableColumn id="3" name="Columna3" dataDxfId="22" dataCellStyle="Porcentaje"/>
    <tableColumn id="4" name="Columna4" dataDxfId="21" dataCellStyle="Porcentaje"/>
    <tableColumn id="5" name="Columna5" dataDxfId="20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9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8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GridLines="0" showRowColHeaders="0" workbookViewId="0">
      <pane ySplit="3" topLeftCell="A4" activePane="bottomLeft" state="frozen"/>
      <selection pane="bottomLeft" activeCell="K13" sqref="K13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x14ac:dyDescent="0.25">
      <c r="A1" s="137">
        <v>137902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>
        <v>1</v>
      </c>
      <c r="N1">
        <v>3</v>
      </c>
    </row>
    <row r="2" spans="1:23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>
        <v>2</v>
      </c>
    </row>
    <row r="3" spans="1:23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>
        <v>3</v>
      </c>
      <c r="P3" s="100"/>
    </row>
    <row r="4" spans="1:23" ht="21" x14ac:dyDescent="0.35">
      <c r="A4" s="257" t="s">
        <v>1029</v>
      </c>
      <c r="B4" s="258"/>
      <c r="C4" s="258"/>
      <c r="D4" s="123"/>
      <c r="E4" s="123"/>
      <c r="F4" s="123"/>
      <c r="G4" s="124" t="e">
        <f>VLOOKUP(F10,J4:K6,2,FALSE)</f>
        <v>#N/A</v>
      </c>
      <c r="H4" s="124"/>
      <c r="I4" s="124"/>
      <c r="J4" s="124" t="s">
        <v>612</v>
      </c>
      <c r="K4" s="124">
        <v>1</v>
      </c>
      <c r="M4" s="99"/>
      <c r="O4" s="100"/>
      <c r="P4" s="100"/>
      <c r="Q4" s="100"/>
    </row>
    <row r="5" spans="1:23" x14ac:dyDescent="0.25">
      <c r="A5" s="123"/>
      <c r="B5" s="123"/>
      <c r="C5" s="123"/>
      <c r="D5" s="123"/>
      <c r="E5" s="123"/>
      <c r="F5" s="123"/>
      <c r="G5" s="124"/>
      <c r="H5" s="124"/>
      <c r="I5" s="124"/>
      <c r="J5" s="124" t="s">
        <v>611</v>
      </c>
      <c r="K5" s="124">
        <v>2</v>
      </c>
      <c r="M5" s="99"/>
      <c r="O5" s="100"/>
      <c r="P5" s="100"/>
      <c r="Q5" s="146" t="s">
        <v>740</v>
      </c>
    </row>
    <row r="6" spans="1:23" x14ac:dyDescent="0.25">
      <c r="A6" s="123"/>
      <c r="B6" s="123"/>
      <c r="C6" s="123"/>
      <c r="D6" s="123"/>
      <c r="E6" s="123"/>
      <c r="F6" s="123"/>
      <c r="G6" s="124"/>
      <c r="H6" s="124"/>
      <c r="I6" s="124"/>
      <c r="J6" s="124" t="s">
        <v>613</v>
      </c>
      <c r="K6" s="124">
        <v>3</v>
      </c>
      <c r="M6" s="99"/>
      <c r="O6" s="100"/>
      <c r="P6" s="100"/>
      <c r="Q6" s="146" t="s">
        <v>741</v>
      </c>
      <c r="W6" t="s">
        <v>643</v>
      </c>
    </row>
    <row r="7" spans="1:23" ht="23.25" x14ac:dyDescent="0.35">
      <c r="A7" s="123"/>
      <c r="B7" s="123"/>
      <c r="C7" s="123"/>
      <c r="D7" s="123"/>
      <c r="E7" s="123"/>
      <c r="F7" s="123"/>
      <c r="G7" s="124"/>
      <c r="H7" s="124"/>
      <c r="I7" s="124"/>
      <c r="J7" s="124"/>
      <c r="K7" s="124"/>
      <c r="M7" s="99"/>
      <c r="O7" s="100"/>
      <c r="P7" s="100"/>
      <c r="Q7" s="146" t="s">
        <v>742</v>
      </c>
      <c r="W7" s="121" t="s">
        <v>624</v>
      </c>
    </row>
    <row r="8" spans="1:23" ht="23.25" x14ac:dyDescent="0.35">
      <c r="A8" s="123"/>
      <c r="B8" s="123"/>
      <c r="C8" s="123"/>
      <c r="D8" s="123"/>
      <c r="E8" s="259" t="s">
        <v>1031</v>
      </c>
      <c r="F8" s="260"/>
      <c r="G8" s="261"/>
      <c r="H8" s="123"/>
      <c r="I8" s="123"/>
      <c r="J8" s="123"/>
      <c r="K8" s="123"/>
      <c r="M8" s="99"/>
      <c r="O8" s="100"/>
      <c r="P8" s="100"/>
      <c r="Q8" s="146" t="s">
        <v>743</v>
      </c>
      <c r="W8" s="121" t="s">
        <v>625</v>
      </c>
    </row>
    <row r="9" spans="1:23" ht="23.25" customHeight="1" x14ac:dyDescent="0.35">
      <c r="A9" s="123"/>
      <c r="B9" s="123"/>
      <c r="C9" s="123"/>
      <c r="D9" s="123"/>
      <c r="E9" s="267" t="str">
        <f>IF(N1=1,"SE APRUEBA GESTION ASESOR,",IF(N1=2,"SE CORRIGE GESTION ASESOR,","SE RECHAZA GESTION ASESOR,"))</f>
        <v>SE RECHAZA GESTION ASESOR,</v>
      </c>
      <c r="F9" s="269" t="s">
        <v>1036</v>
      </c>
      <c r="G9" s="270"/>
      <c r="H9" s="123" t="s">
        <v>739</v>
      </c>
      <c r="I9" s="123"/>
      <c r="J9" s="123"/>
      <c r="K9" s="123"/>
      <c r="M9" s="99"/>
      <c r="P9" s="100"/>
      <c r="Q9" s="146"/>
      <c r="W9" s="121" t="s">
        <v>626</v>
      </c>
    </row>
    <row r="10" spans="1:23" ht="48.75" customHeight="1" x14ac:dyDescent="0.35">
      <c r="A10" s="123"/>
      <c r="B10" s="123"/>
      <c r="C10" s="123"/>
      <c r="D10" s="123"/>
      <c r="E10" s="268"/>
      <c r="F10" s="271"/>
      <c r="G10" s="272"/>
      <c r="H10" s="124">
        <v>20</v>
      </c>
      <c r="I10" s="123"/>
      <c r="J10" s="123"/>
      <c r="K10" s="123"/>
      <c r="P10" s="100"/>
      <c r="Q10" s="100"/>
      <c r="W10" s="121" t="s">
        <v>627</v>
      </c>
    </row>
    <row r="11" spans="1:23" ht="23.25" customHeight="1" x14ac:dyDescent="0.35">
      <c r="A11" s="123"/>
      <c r="B11" s="123"/>
      <c r="C11" s="123"/>
      <c r="D11" s="123"/>
      <c r="E11" s="147" t="str">
        <f>IF(N1=2,"SE CORRIGE PORQUE","")</f>
        <v/>
      </c>
      <c r="F11" s="262"/>
      <c r="G11" s="263"/>
      <c r="H11" s="123"/>
      <c r="I11" s="123"/>
      <c r="J11" s="123"/>
      <c r="K11" s="123"/>
      <c r="P11" s="100"/>
      <c r="Q11" s="100"/>
      <c r="W11" s="121" t="s">
        <v>628</v>
      </c>
    </row>
    <row r="12" spans="1:23" ht="15" customHeight="1" x14ac:dyDescent="0.35">
      <c r="A12" s="123"/>
      <c r="B12" s="123"/>
      <c r="C12" s="123"/>
      <c r="D12" s="123"/>
      <c r="E12" s="264" t="str">
        <f>INDEX(Hoja3!E4:E13,D14,1)</f>
        <v>.</v>
      </c>
      <c r="F12" s="265"/>
      <c r="G12" s="266"/>
      <c r="H12" s="123"/>
      <c r="I12" s="123"/>
      <c r="J12" s="123"/>
      <c r="K12" s="123"/>
      <c r="L12">
        <v>52648</v>
      </c>
      <c r="P12" s="100"/>
      <c r="Q12" s="100"/>
      <c r="W12" s="121" t="s">
        <v>629</v>
      </c>
    </row>
    <row r="13" spans="1:23" ht="23.25" x14ac:dyDescent="0.35">
      <c r="A13" s="123"/>
      <c r="B13" s="123"/>
      <c r="C13" s="123" t="s">
        <v>619</v>
      </c>
      <c r="D13" s="123"/>
      <c r="E13" s="123"/>
      <c r="F13" s="123"/>
      <c r="G13" s="123"/>
      <c r="H13" s="123"/>
      <c r="I13" s="123"/>
      <c r="J13" s="123"/>
      <c r="K13" s="123"/>
      <c r="P13" s="100"/>
      <c r="Q13" s="100"/>
      <c r="W13" s="121" t="s">
        <v>630</v>
      </c>
    </row>
    <row r="14" spans="1:23" ht="58.5" customHeight="1" x14ac:dyDescent="0.35">
      <c r="A14" s="123"/>
      <c r="B14" s="123"/>
      <c r="C14" s="123"/>
      <c r="D14" s="125">
        <v>4</v>
      </c>
      <c r="E14" s="123"/>
      <c r="F14" s="254" t="s">
        <v>1039</v>
      </c>
      <c r="G14" s="123"/>
      <c r="H14" s="123"/>
      <c r="I14" s="123"/>
      <c r="J14" s="123"/>
      <c r="K14" s="123"/>
      <c r="P14" s="100"/>
      <c r="Q14" s="100"/>
      <c r="W14" s="121" t="s">
        <v>631</v>
      </c>
    </row>
    <row r="15" spans="1:23" ht="23.25" x14ac:dyDescent="0.3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W15" s="121" t="s">
        <v>632</v>
      </c>
    </row>
    <row r="16" spans="1:23" ht="23.25" x14ac:dyDescent="0.3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W16" s="121" t="s">
        <v>633</v>
      </c>
    </row>
    <row r="17" spans="1:23" ht="23.25" hidden="1" x14ac:dyDescent="0.35">
      <c r="A17" s="140"/>
      <c r="B17" s="140"/>
      <c r="C17" s="140"/>
      <c r="D17" s="141"/>
      <c r="E17" s="140"/>
      <c r="F17" s="140"/>
      <c r="G17" s="140"/>
      <c r="H17" s="140"/>
      <c r="I17" s="140"/>
      <c r="J17" s="140"/>
      <c r="K17" s="140"/>
      <c r="W17" s="121" t="s">
        <v>634</v>
      </c>
    </row>
    <row r="18" spans="1:23" ht="23.25" hidden="1" customHeight="1" x14ac:dyDescent="0.35">
      <c r="A18" s="137"/>
      <c r="B18" s="137"/>
      <c r="C18" s="142"/>
      <c r="D18" s="142"/>
      <c r="E18" s="143"/>
      <c r="F18" s="137"/>
      <c r="G18" s="253" t="s">
        <v>1048</v>
      </c>
      <c r="H18" s="144"/>
      <c r="I18" s="144"/>
      <c r="J18" s="144"/>
      <c r="K18" s="144"/>
      <c r="M18" s="103"/>
      <c r="W18" s="121" t="s">
        <v>635</v>
      </c>
    </row>
    <row r="19" spans="1:23" ht="23.25" hidden="1" x14ac:dyDescent="0.35">
      <c r="A19" s="137"/>
      <c r="B19" s="137"/>
      <c r="C19" s="142"/>
      <c r="D19" s="142"/>
      <c r="E19" s="143"/>
      <c r="F19" s="144"/>
      <c r="G19" s="253" t="s">
        <v>1034</v>
      </c>
      <c r="H19" s="144"/>
      <c r="I19" s="144"/>
      <c r="J19" s="144"/>
      <c r="K19" s="144"/>
      <c r="W19" s="121" t="s">
        <v>636</v>
      </c>
    </row>
    <row r="20" spans="1:23" ht="23.25" hidden="1" x14ac:dyDescent="0.35">
      <c r="A20" s="137"/>
      <c r="B20" s="137"/>
      <c r="C20" s="142"/>
      <c r="D20" s="142"/>
      <c r="E20" s="145"/>
      <c r="F20" s="144"/>
      <c r="G20" s="253" t="s">
        <v>1035</v>
      </c>
      <c r="H20" s="144"/>
      <c r="I20" s="144"/>
      <c r="J20" s="144"/>
      <c r="K20" s="144"/>
      <c r="L20" s="101"/>
      <c r="M20" s="102"/>
      <c r="N20" s="102"/>
      <c r="O20" s="102"/>
      <c r="W20" s="121" t="s">
        <v>637</v>
      </c>
    </row>
    <row r="21" spans="1:23" ht="23.25" hidden="1" x14ac:dyDescent="0.35">
      <c r="A21" s="137"/>
      <c r="B21" s="137"/>
      <c r="C21" s="142"/>
      <c r="D21" s="142"/>
      <c r="E21" s="137"/>
      <c r="F21" s="144"/>
      <c r="G21" s="253" t="s">
        <v>1036</v>
      </c>
      <c r="H21" s="144"/>
      <c r="I21" s="144"/>
      <c r="J21" s="144"/>
      <c r="K21" s="144"/>
      <c r="L21" s="101"/>
      <c r="O21" s="102"/>
      <c r="W21" s="121" t="s">
        <v>638</v>
      </c>
    </row>
    <row r="22" spans="1:23" ht="23.25" hidden="1" x14ac:dyDescent="0.35">
      <c r="A22" s="137"/>
      <c r="B22" s="137"/>
      <c r="C22" s="142"/>
      <c r="D22" s="142"/>
      <c r="E22" s="137"/>
      <c r="F22" s="144"/>
      <c r="G22" s="253" t="s">
        <v>1037</v>
      </c>
      <c r="H22" s="144"/>
      <c r="I22" s="144"/>
      <c r="J22" s="144"/>
      <c r="K22" s="144"/>
      <c r="W22" s="121" t="s">
        <v>639</v>
      </c>
    </row>
    <row r="23" spans="1:23" ht="23.25" hidden="1" x14ac:dyDescent="0.35">
      <c r="A23" s="137"/>
      <c r="B23" s="137"/>
      <c r="C23" s="142"/>
      <c r="D23" s="142"/>
      <c r="E23" s="137"/>
      <c r="F23" s="144"/>
      <c r="G23" s="253" t="s">
        <v>1038</v>
      </c>
      <c r="H23" s="144"/>
      <c r="I23" s="144"/>
      <c r="J23" s="144"/>
      <c r="K23" s="144"/>
      <c r="W23" s="121" t="s">
        <v>640</v>
      </c>
    </row>
    <row r="24" spans="1:23" ht="23.25" hidden="1" x14ac:dyDescent="0.35">
      <c r="A24" s="137"/>
      <c r="B24" s="137"/>
      <c r="C24" s="142"/>
      <c r="D24" s="142"/>
      <c r="E24" s="137"/>
      <c r="F24" s="137"/>
      <c r="G24" s="253" t="s">
        <v>1041</v>
      </c>
      <c r="H24" s="144"/>
      <c r="I24" s="144"/>
      <c r="J24" s="144"/>
      <c r="K24" s="144"/>
      <c r="W24" s="121" t="s">
        <v>641</v>
      </c>
    </row>
    <row r="25" spans="1:23" ht="23.25" hidden="1" x14ac:dyDescent="0.35">
      <c r="A25" s="137"/>
      <c r="B25" s="137"/>
      <c r="C25" s="142"/>
      <c r="D25" s="142"/>
      <c r="E25" s="137"/>
      <c r="F25" s="137"/>
      <c r="G25" s="253" t="s">
        <v>1040</v>
      </c>
      <c r="H25" s="144"/>
      <c r="I25" s="144"/>
      <c r="J25" s="144"/>
      <c r="K25" s="137"/>
      <c r="O25" s="101"/>
      <c r="S25" s="101"/>
      <c r="T25" s="101"/>
      <c r="W25" s="121" t="s">
        <v>642</v>
      </c>
    </row>
    <row r="26" spans="1:23" ht="23.25" hidden="1" x14ac:dyDescent="0.35">
      <c r="A26" s="137"/>
      <c r="B26" s="137"/>
      <c r="C26" s="142"/>
      <c r="D26" s="142"/>
      <c r="E26" s="137"/>
      <c r="F26" s="144"/>
      <c r="G26" s="253" t="s">
        <v>1043</v>
      </c>
      <c r="H26" s="144"/>
      <c r="I26" s="144"/>
      <c r="J26" s="144"/>
      <c r="K26" s="137"/>
      <c r="O26" s="101"/>
      <c r="T26" s="101"/>
      <c r="W26" s="121" t="s">
        <v>644</v>
      </c>
    </row>
    <row r="27" spans="1:23" ht="23.25" hidden="1" x14ac:dyDescent="0.35">
      <c r="A27" s="137"/>
      <c r="B27" s="137"/>
      <c r="C27" s="142"/>
      <c r="D27" s="142"/>
      <c r="E27" s="137"/>
      <c r="F27" s="137"/>
      <c r="G27" s="253" t="s">
        <v>1046</v>
      </c>
      <c r="H27" s="144"/>
      <c r="I27" s="144"/>
      <c r="J27" s="137"/>
      <c r="K27" s="144"/>
      <c r="M27" s="101"/>
      <c r="N27" s="101"/>
      <c r="O27" s="101"/>
      <c r="T27" s="101"/>
      <c r="W27" s="121" t="s">
        <v>645</v>
      </c>
    </row>
    <row r="28" spans="1:23" ht="23.25" hidden="1" x14ac:dyDescent="0.35">
      <c r="A28" s="137"/>
      <c r="B28" s="137"/>
      <c r="C28" s="142"/>
      <c r="D28" s="142"/>
      <c r="E28" s="137"/>
      <c r="F28" s="137"/>
      <c r="G28" s="253" t="s">
        <v>1047</v>
      </c>
      <c r="H28" s="144"/>
      <c r="I28" s="144"/>
      <c r="J28" s="144"/>
      <c r="K28" s="144"/>
      <c r="M28" s="101"/>
      <c r="N28" s="101"/>
      <c r="O28" s="101"/>
      <c r="P28" s="101"/>
      <c r="T28" s="101"/>
      <c r="W28" s="121" t="s">
        <v>646</v>
      </c>
    </row>
    <row r="29" spans="1:23" ht="23.25" hidden="1" x14ac:dyDescent="0.35">
      <c r="A29" s="137"/>
      <c r="B29" s="137"/>
      <c r="C29" s="142" t="s">
        <v>699</v>
      </c>
      <c r="D29" s="137"/>
      <c r="E29" s="137" t="s">
        <v>718</v>
      </c>
      <c r="F29" s="137"/>
      <c r="G29" s="144"/>
      <c r="H29" s="144"/>
      <c r="I29" s="144"/>
      <c r="J29" s="137"/>
      <c r="K29" s="144"/>
      <c r="M29" s="101"/>
      <c r="N29" s="101"/>
      <c r="O29" s="101"/>
      <c r="T29" s="101"/>
      <c r="W29" s="121" t="s">
        <v>647</v>
      </c>
    </row>
    <row r="30" spans="1:23" ht="23.25" hidden="1" x14ac:dyDescent="0.35">
      <c r="A30" s="137"/>
      <c r="B30" s="137"/>
      <c r="C30" s="142" t="s">
        <v>700</v>
      </c>
      <c r="D30" s="137"/>
      <c r="E30" s="137"/>
      <c r="F30" s="137"/>
      <c r="G30" s="144"/>
      <c r="H30" s="144"/>
      <c r="I30" s="144"/>
      <c r="J30" s="137"/>
      <c r="K30" s="144"/>
      <c r="M30" s="101"/>
      <c r="N30" s="101"/>
      <c r="O30" s="101"/>
      <c r="T30" s="101"/>
      <c r="W30" s="121" t="s">
        <v>648</v>
      </c>
    </row>
    <row r="31" spans="1:23" ht="23.25" hidden="1" x14ac:dyDescent="0.35">
      <c r="A31" s="137"/>
      <c r="B31" s="137"/>
      <c r="C31" s="142" t="s">
        <v>701</v>
      </c>
      <c r="D31" s="137"/>
      <c r="E31" s="137"/>
      <c r="F31" s="137"/>
      <c r="G31" s="144"/>
      <c r="H31" s="137"/>
      <c r="I31" s="144"/>
      <c r="J31" s="137"/>
      <c r="K31" s="144"/>
      <c r="M31" s="101"/>
      <c r="N31" s="101"/>
      <c r="O31" s="101"/>
      <c r="P31" s="101"/>
      <c r="T31" s="101"/>
      <c r="W31" s="121" t="s">
        <v>696</v>
      </c>
    </row>
    <row r="32" spans="1:23" hidden="1" x14ac:dyDescent="0.25">
      <c r="A32" s="137"/>
      <c r="B32" s="137"/>
      <c r="C32" s="142" t="s">
        <v>702</v>
      </c>
      <c r="D32" s="137"/>
      <c r="E32" s="137"/>
      <c r="F32" s="137"/>
      <c r="G32" s="137"/>
      <c r="H32" s="137"/>
      <c r="I32" s="137"/>
      <c r="J32" s="137"/>
      <c r="K32" s="137"/>
    </row>
    <row r="33" spans="1:11" hidden="1" x14ac:dyDescent="0.25">
      <c r="A33" s="137"/>
      <c r="B33" s="137"/>
      <c r="C33" s="142" t="s">
        <v>703</v>
      </c>
      <c r="D33" s="137"/>
      <c r="E33" s="137"/>
      <c r="F33" s="137"/>
      <c r="G33" s="137"/>
      <c r="H33" s="137"/>
      <c r="I33" s="137"/>
      <c r="J33" s="137"/>
      <c r="K33" s="137"/>
    </row>
    <row r="34" spans="1:11" hidden="1" x14ac:dyDescent="0.25">
      <c r="A34" s="137"/>
      <c r="B34" s="137"/>
      <c r="C34" s="142" t="s">
        <v>731</v>
      </c>
      <c r="D34" s="137"/>
      <c r="E34" s="137"/>
      <c r="F34" s="137"/>
      <c r="G34" s="137"/>
      <c r="H34" s="137"/>
      <c r="I34" s="137"/>
      <c r="J34" s="137"/>
      <c r="K34" s="137"/>
    </row>
    <row r="35" spans="1:11" hidden="1" x14ac:dyDescent="0.25">
      <c r="A35" s="137"/>
      <c r="B35" s="137"/>
      <c r="C35" s="142" t="s">
        <v>704</v>
      </c>
      <c r="D35" s="137"/>
      <c r="E35" s="137"/>
      <c r="F35" s="137"/>
      <c r="G35" s="137"/>
      <c r="H35" s="137"/>
      <c r="I35" s="137"/>
      <c r="J35" s="137"/>
      <c r="K35" s="137"/>
    </row>
    <row r="36" spans="1:11" hidden="1" x14ac:dyDescent="0.25">
      <c r="A36" s="137"/>
      <c r="B36" s="137"/>
      <c r="C36" s="142" t="s">
        <v>705</v>
      </c>
      <c r="D36" s="137"/>
      <c r="E36" s="137"/>
      <c r="F36" s="137"/>
      <c r="G36" s="137"/>
      <c r="H36" s="144"/>
      <c r="I36" s="137"/>
      <c r="J36" s="137"/>
      <c r="K36" s="137"/>
    </row>
    <row r="37" spans="1:11" hidden="1" x14ac:dyDescent="0.25">
      <c r="A37" s="137"/>
      <c r="B37" s="137"/>
      <c r="C37" s="142" t="s">
        <v>736</v>
      </c>
      <c r="D37" s="137"/>
      <c r="E37" s="137"/>
      <c r="F37" s="137"/>
      <c r="G37" s="137"/>
      <c r="H37" s="144"/>
      <c r="I37" s="137"/>
      <c r="J37" s="137"/>
      <c r="K37" s="137"/>
    </row>
    <row r="38" spans="1:11" hidden="1" x14ac:dyDescent="0.25">
      <c r="A38" s="137"/>
      <c r="B38" s="137"/>
      <c r="C38" s="142" t="s">
        <v>706</v>
      </c>
      <c r="D38" s="137"/>
      <c r="E38" s="137"/>
      <c r="F38" s="137"/>
      <c r="G38" s="137"/>
      <c r="H38" s="144"/>
      <c r="I38" s="137"/>
      <c r="J38" s="137"/>
      <c r="K38" s="137"/>
    </row>
    <row r="39" spans="1:11" hidden="1" x14ac:dyDescent="0.25">
      <c r="A39" s="137"/>
      <c r="B39" s="137"/>
      <c r="C39" s="142" t="s">
        <v>711</v>
      </c>
      <c r="D39" s="137"/>
      <c r="E39" s="137"/>
      <c r="F39" s="137"/>
      <c r="G39" s="137"/>
      <c r="H39" s="144"/>
      <c r="I39" s="137"/>
      <c r="J39" s="137"/>
      <c r="K39" s="137"/>
    </row>
    <row r="40" spans="1:11" hidden="1" x14ac:dyDescent="0.25">
      <c r="A40" s="137"/>
      <c r="B40" s="137"/>
      <c r="C40" s="142" t="s">
        <v>732</v>
      </c>
      <c r="D40" s="137"/>
      <c r="E40" s="137"/>
      <c r="F40" s="137"/>
      <c r="G40" s="137"/>
      <c r="H40" s="144"/>
      <c r="I40" s="137"/>
      <c r="J40" s="137"/>
      <c r="K40" s="137"/>
    </row>
    <row r="41" spans="1:11" hidden="1" x14ac:dyDescent="0.25">
      <c r="A41" s="137"/>
      <c r="B41" s="137"/>
      <c r="C41" s="142" t="s">
        <v>715</v>
      </c>
      <c r="D41" s="137"/>
      <c r="E41" s="137"/>
      <c r="F41" s="137"/>
      <c r="G41" s="137"/>
      <c r="H41" s="144"/>
      <c r="I41" s="137"/>
      <c r="J41" s="137"/>
      <c r="K41" s="137"/>
    </row>
    <row r="42" spans="1:11" hidden="1" x14ac:dyDescent="0.25">
      <c r="A42" s="137"/>
      <c r="B42" s="137"/>
      <c r="C42" s="142" t="s">
        <v>712</v>
      </c>
      <c r="D42" s="137"/>
      <c r="E42" s="137"/>
      <c r="F42" s="137"/>
      <c r="G42" s="137"/>
      <c r="H42" s="144"/>
      <c r="I42" s="137"/>
      <c r="J42" s="137"/>
      <c r="K42" s="137"/>
    </row>
    <row r="43" spans="1:11" hidden="1" x14ac:dyDescent="0.25">
      <c r="A43" s="137"/>
      <c r="B43" s="137"/>
      <c r="C43" s="142" t="s">
        <v>713</v>
      </c>
      <c r="D43" s="137"/>
      <c r="E43" s="137"/>
      <c r="F43" s="137"/>
      <c r="G43" s="137"/>
      <c r="H43" s="144"/>
      <c r="I43" s="137"/>
      <c r="J43" s="137"/>
      <c r="K43" s="137"/>
    </row>
    <row r="44" spans="1:11" hidden="1" x14ac:dyDescent="0.25">
      <c r="A44" s="137"/>
      <c r="B44" s="137"/>
      <c r="C44" s="142" t="s">
        <v>714</v>
      </c>
      <c r="D44" s="137"/>
      <c r="E44" s="137"/>
      <c r="F44" s="137"/>
      <c r="G44" s="137"/>
      <c r="H44" s="137"/>
      <c r="I44" s="137"/>
      <c r="J44" s="137"/>
      <c r="K44" s="137"/>
    </row>
    <row r="45" spans="1:11" hidden="1" x14ac:dyDescent="0.25">
      <c r="A45" s="137"/>
      <c r="B45" s="137"/>
      <c r="C45" s="142" t="s">
        <v>716</v>
      </c>
      <c r="D45" s="137"/>
      <c r="E45" s="137"/>
      <c r="F45" s="137"/>
      <c r="G45" s="137"/>
      <c r="H45" s="137"/>
      <c r="I45" s="137"/>
      <c r="J45" s="137"/>
      <c r="K45" s="137"/>
    </row>
    <row r="46" spans="1:11" hidden="1" x14ac:dyDescent="0.25">
      <c r="A46" s="137"/>
      <c r="B46" s="137"/>
      <c r="C46" s="142" t="s">
        <v>137</v>
      </c>
      <c r="D46" s="137"/>
      <c r="E46" s="137"/>
      <c r="F46" s="137"/>
      <c r="G46" s="137"/>
      <c r="H46" s="137"/>
      <c r="I46" s="137"/>
      <c r="J46" s="137"/>
      <c r="K46" s="137"/>
    </row>
    <row r="47" spans="1:11" hidden="1" x14ac:dyDescent="0.25">
      <c r="A47" s="137"/>
      <c r="B47" s="137"/>
      <c r="C47" s="142" t="s">
        <v>707</v>
      </c>
      <c r="D47" s="137"/>
      <c r="E47" s="137"/>
      <c r="F47" s="137"/>
      <c r="G47" s="137"/>
      <c r="H47" s="137"/>
      <c r="I47" s="137"/>
      <c r="J47" s="137"/>
      <c r="K47" s="137"/>
    </row>
    <row r="48" spans="1:11" hidden="1" x14ac:dyDescent="0.25">
      <c r="A48" s="137"/>
      <c r="B48" s="137"/>
      <c r="C48" s="142" t="s">
        <v>708</v>
      </c>
      <c r="D48" s="137"/>
      <c r="E48" s="137"/>
      <c r="F48" s="137"/>
      <c r="G48" s="137"/>
      <c r="H48" s="137"/>
      <c r="I48" s="137"/>
      <c r="J48" s="137"/>
      <c r="K48" s="137"/>
    </row>
    <row r="49" spans="1:11" hidden="1" x14ac:dyDescent="0.25">
      <c r="A49" s="137"/>
      <c r="B49" s="137"/>
      <c r="C49" s="142" t="s">
        <v>709</v>
      </c>
      <c r="D49" s="137"/>
      <c r="E49" s="137"/>
      <c r="F49" s="137"/>
      <c r="G49" s="137"/>
      <c r="H49" s="137"/>
      <c r="I49" s="137"/>
      <c r="J49" s="137"/>
      <c r="K49" s="137"/>
    </row>
    <row r="50" spans="1:11" hidden="1" x14ac:dyDescent="0.25">
      <c r="A50" s="137"/>
      <c r="B50" s="137"/>
      <c r="C50" s="142" t="s">
        <v>710</v>
      </c>
      <c r="D50" s="137"/>
      <c r="E50" s="137"/>
      <c r="F50" s="137"/>
      <c r="G50" s="137"/>
      <c r="H50" s="137"/>
      <c r="I50" s="137"/>
      <c r="J50" s="137"/>
      <c r="K50" s="137"/>
    </row>
    <row r="51" spans="1:11" hidden="1" x14ac:dyDescent="0.25">
      <c r="A51" s="137"/>
      <c r="B51" s="137"/>
      <c r="C51" s="142" t="s">
        <v>543</v>
      </c>
      <c r="D51" s="137"/>
      <c r="E51" s="137"/>
      <c r="F51" s="137"/>
      <c r="G51" s="137"/>
      <c r="H51" s="137"/>
      <c r="I51" s="137"/>
      <c r="J51" s="137"/>
      <c r="K51" s="137"/>
    </row>
    <row r="52" spans="1:11" hidden="1" x14ac:dyDescent="0.25">
      <c r="A52" s="137"/>
      <c r="B52" s="137"/>
      <c r="C52" s="142" t="s">
        <v>717</v>
      </c>
      <c r="D52" s="137"/>
      <c r="E52" s="137"/>
      <c r="F52" s="137"/>
      <c r="G52" s="137"/>
      <c r="H52" s="137"/>
      <c r="I52" s="137"/>
      <c r="J52" s="137"/>
      <c r="K52" s="137"/>
    </row>
    <row r="53" spans="1:11" hidden="1" x14ac:dyDescent="0.25">
      <c r="A53" s="137"/>
      <c r="B53" s="137"/>
      <c r="C53" s="142" t="s">
        <v>730</v>
      </c>
      <c r="D53" s="137"/>
      <c r="E53" s="137"/>
      <c r="F53" s="137"/>
      <c r="G53" s="137"/>
      <c r="H53" s="137"/>
      <c r="I53" s="137"/>
      <c r="J53" s="137"/>
      <c r="K53" s="137"/>
    </row>
    <row r="54" spans="1:11" hidden="1" x14ac:dyDescent="0.25">
      <c r="A54" s="137"/>
      <c r="B54" s="137"/>
      <c r="C54" s="142" t="s">
        <v>724</v>
      </c>
      <c r="D54" s="137"/>
      <c r="E54" s="137"/>
      <c r="F54" s="137"/>
      <c r="G54" s="137"/>
      <c r="H54" s="137"/>
      <c r="I54" s="137"/>
      <c r="J54" s="137"/>
      <c r="K54" s="137"/>
    </row>
    <row r="55" spans="1:11" hidden="1" x14ac:dyDescent="0.25">
      <c r="A55" s="137"/>
      <c r="B55" s="137"/>
      <c r="C55" s="142" t="s">
        <v>729</v>
      </c>
      <c r="D55" s="137"/>
      <c r="E55" s="137"/>
      <c r="F55" s="137"/>
      <c r="G55" s="137"/>
      <c r="H55" s="137"/>
      <c r="I55" s="137"/>
      <c r="J55" s="137"/>
      <c r="K55" s="137"/>
    </row>
    <row r="56" spans="1:11" hidden="1" x14ac:dyDescent="0.25">
      <c r="A56" s="137"/>
      <c r="B56" s="137"/>
      <c r="C56" s="142" t="s">
        <v>620</v>
      </c>
      <c r="D56" s="137"/>
      <c r="E56" s="137"/>
      <c r="F56" s="137"/>
      <c r="G56" s="137"/>
      <c r="H56" s="137"/>
      <c r="I56" s="137"/>
      <c r="J56" s="137"/>
      <c r="K56" s="137"/>
    </row>
    <row r="57" spans="1:11" hidden="1" x14ac:dyDescent="0.25">
      <c r="A57" s="137"/>
      <c r="B57" s="137"/>
      <c r="C57" s="142"/>
      <c r="D57" s="137"/>
      <c r="E57" s="137"/>
      <c r="F57" s="137"/>
      <c r="G57" s="137"/>
      <c r="H57" s="137"/>
      <c r="I57" s="137"/>
      <c r="J57" s="137"/>
      <c r="K57" s="137"/>
    </row>
    <row r="58" spans="1:11" hidden="1" x14ac:dyDescent="0.25">
      <c r="A58" s="137"/>
      <c r="B58" s="137"/>
      <c r="C58" s="142"/>
      <c r="D58" s="137"/>
      <c r="E58" s="137"/>
      <c r="F58" s="137"/>
      <c r="G58" s="137"/>
      <c r="H58" s="137"/>
      <c r="I58" s="137"/>
      <c r="J58" s="137"/>
      <c r="K58" s="137"/>
    </row>
    <row r="59" spans="1:11" hidden="1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</row>
  </sheetData>
  <sheetProtection formatCells="0" formatColumns="0" formatRows="0" insertColumns="0" insertRows="0" insertHyperlinks="0" deleteColumns="0" deleteRows="0" sort="0" autoFilter="0" pivotTables="0"/>
  <dataConsolidate/>
  <mergeCells count="6">
    <mergeCell ref="A4:C4"/>
    <mergeCell ref="E8:G8"/>
    <mergeCell ref="F11:G11"/>
    <mergeCell ref="E12:G12"/>
    <mergeCell ref="E9:E10"/>
    <mergeCell ref="F9:G10"/>
  </mergeCells>
  <dataValidations disablePrompts="1" count="4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12:G12">
      <formula1>0</formula1>
      <formula2>0</formula2>
    </dataValidation>
    <dataValidation type="textLength" allowBlank="1" showInputMessage="1" showErrorMessage="1" errorTitle="ALTO" error="CELDA CON FORMULA" promptTitle="ALTO" prompt="NO EDITAR CELDA" sqref="E11 E9:E10">
      <formula1>0</formula1>
      <formula2>0</formula2>
    </dataValidation>
  </dataValidations>
  <hyperlinks>
    <hyperlink ref="A4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7" name="Button 572">
              <controlPr defaultSize="0" print="0" autoFill="0" autoPict="0" macro="[0]!_xludf.COPY">
                <anchor moveWithCells="1" sizeWithCells="1">
                  <from>
                    <xdr:col>9</xdr:col>
                    <xdr:colOff>523875</xdr:colOff>
                    <xdr:row>3</xdr:row>
                    <xdr:rowOff>152400</xdr:rowOff>
                  </from>
                  <to>
                    <xdr:col>10</xdr:col>
                    <xdr:colOff>723900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E21" sqref="E2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643</v>
      </c>
      <c r="M1" t="s">
        <v>94</v>
      </c>
    </row>
    <row r="2" spans="4:13" x14ac:dyDescent="0.25">
      <c r="K2" t="s">
        <v>624</v>
      </c>
      <c r="M2" t="b">
        <f>ISNUMBER(SEARCH($M$1,$K$2:$K$22))</f>
        <v>0</v>
      </c>
    </row>
    <row r="3" spans="4:13" x14ac:dyDescent="0.25">
      <c r="D3" t="s">
        <v>616</v>
      </c>
      <c r="E3" t="s">
        <v>617</v>
      </c>
      <c r="K3" t="s">
        <v>625</v>
      </c>
      <c r="M3" t="b">
        <f t="shared" ref="M3:M22" si="0">ISNUMBER(SEARCH($M$1,$K$2:$K$22))</f>
        <v>0</v>
      </c>
    </row>
    <row r="4" spans="4:13" x14ac:dyDescent="0.25">
      <c r="D4" s="104" t="s">
        <v>618</v>
      </c>
      <c r="E4" t="s">
        <v>1054</v>
      </c>
      <c r="K4" t="s">
        <v>626</v>
      </c>
      <c r="M4" t="b">
        <f t="shared" si="0"/>
        <v>0</v>
      </c>
    </row>
    <row r="5" spans="4:13" x14ac:dyDescent="0.25">
      <c r="D5" s="105" t="s">
        <v>734</v>
      </c>
      <c r="E5" s="105" t="s">
        <v>735</v>
      </c>
      <c r="K5" t="s">
        <v>627</v>
      </c>
      <c r="M5" t="b">
        <f t="shared" si="0"/>
        <v>0</v>
      </c>
    </row>
    <row r="6" spans="4:13" x14ac:dyDescent="0.25">
      <c r="D6" s="107" t="s">
        <v>615</v>
      </c>
      <c r="E6" s="107" t="s">
        <v>614</v>
      </c>
      <c r="K6" t="s">
        <v>628</v>
      </c>
      <c r="M6" t="b">
        <f t="shared" si="0"/>
        <v>0</v>
      </c>
    </row>
    <row r="7" spans="4:13" x14ac:dyDescent="0.25">
      <c r="D7" s="105" t="s">
        <v>620</v>
      </c>
      <c r="E7" s="105" t="s">
        <v>621</v>
      </c>
      <c r="K7" t="s">
        <v>629</v>
      </c>
      <c r="M7" t="b">
        <f t="shared" si="0"/>
        <v>0</v>
      </c>
    </row>
    <row r="8" spans="4:13" x14ac:dyDescent="0.25">
      <c r="D8" s="106" t="s">
        <v>622</v>
      </c>
      <c r="E8" s="100" t="s">
        <v>623</v>
      </c>
      <c r="K8" t="s">
        <v>630</v>
      </c>
      <c r="M8" t="b">
        <f t="shared" si="0"/>
        <v>0</v>
      </c>
    </row>
    <row r="9" spans="4:13" x14ac:dyDescent="0.25">
      <c r="D9" s="106" t="s">
        <v>692</v>
      </c>
      <c r="E9" s="100" t="s">
        <v>693</v>
      </c>
      <c r="K9" t="s">
        <v>631</v>
      </c>
      <c r="M9" t="b">
        <f t="shared" si="0"/>
        <v>0</v>
      </c>
    </row>
    <row r="10" spans="4:13" x14ac:dyDescent="0.25">
      <c r="D10" s="106" t="s">
        <v>720</v>
      </c>
      <c r="E10" s="100" t="s">
        <v>721</v>
      </c>
      <c r="K10" t="s">
        <v>632</v>
      </c>
      <c r="M10" t="b">
        <f t="shared" si="0"/>
        <v>0</v>
      </c>
    </row>
    <row r="11" spans="4:13" x14ac:dyDescent="0.25">
      <c r="D11" s="106" t="s">
        <v>725</v>
      </c>
      <c r="E11" s="100" t="s">
        <v>728</v>
      </c>
      <c r="K11" t="s">
        <v>633</v>
      </c>
      <c r="M11" t="b">
        <f t="shared" si="0"/>
        <v>0</v>
      </c>
    </row>
    <row r="12" spans="4:13" x14ac:dyDescent="0.25">
      <c r="D12" s="106" t="s">
        <v>726</v>
      </c>
      <c r="E12" s="100" t="s">
        <v>727</v>
      </c>
      <c r="K12" t="s">
        <v>634</v>
      </c>
      <c r="M12" t="b">
        <f t="shared" si="0"/>
        <v>0</v>
      </c>
    </row>
    <row r="13" spans="4:13" x14ac:dyDescent="0.25">
      <c r="D13" s="106" t="s">
        <v>737</v>
      </c>
      <c r="E13" s="100" t="s">
        <v>738</v>
      </c>
      <c r="K13" t="s">
        <v>635</v>
      </c>
      <c r="M13" t="b">
        <f t="shared" si="0"/>
        <v>1</v>
      </c>
    </row>
    <row r="14" spans="4:13" x14ac:dyDescent="0.25">
      <c r="K14" t="s">
        <v>636</v>
      </c>
      <c r="M14" t="b">
        <f t="shared" si="0"/>
        <v>0</v>
      </c>
    </row>
    <row r="15" spans="4:13" x14ac:dyDescent="0.25">
      <c r="K15" t="s">
        <v>637</v>
      </c>
      <c r="M15" t="b">
        <f t="shared" si="0"/>
        <v>0</v>
      </c>
    </row>
    <row r="16" spans="4:13" x14ac:dyDescent="0.25">
      <c r="K16" t="s">
        <v>638</v>
      </c>
      <c r="M16" t="b">
        <f t="shared" si="0"/>
        <v>0</v>
      </c>
    </row>
    <row r="17" spans="11:13" x14ac:dyDescent="0.25">
      <c r="K17" t="s">
        <v>639</v>
      </c>
      <c r="M17" t="b">
        <f t="shared" si="0"/>
        <v>0</v>
      </c>
    </row>
    <row r="18" spans="11:13" x14ac:dyDescent="0.25">
      <c r="K18" t="s">
        <v>640</v>
      </c>
      <c r="M18" t="b">
        <f t="shared" si="0"/>
        <v>0</v>
      </c>
    </row>
    <row r="19" spans="11:13" x14ac:dyDescent="0.25">
      <c r="K19" t="s">
        <v>641</v>
      </c>
      <c r="M19" t="b">
        <f t="shared" si="0"/>
        <v>0</v>
      </c>
    </row>
    <row r="20" spans="11:13" x14ac:dyDescent="0.25">
      <c r="K20" t="s">
        <v>642</v>
      </c>
      <c r="M20" t="b">
        <f t="shared" si="0"/>
        <v>0</v>
      </c>
    </row>
    <row r="21" spans="11:13" x14ac:dyDescent="0.25">
      <c r="K21" t="s">
        <v>644</v>
      </c>
      <c r="M21" t="b">
        <f t="shared" si="0"/>
        <v>0</v>
      </c>
    </row>
    <row r="22" spans="11:13" x14ac:dyDescent="0.25">
      <c r="K22" t="s">
        <v>645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S1046248"/>
  <sheetViews>
    <sheetView showRowColHeaders="0" workbookViewId="0">
      <pane ySplit="3" topLeftCell="A4" activePane="bottomLeft" state="frozen"/>
      <selection pane="bottomLeft" activeCell="F7" sqref="F7"/>
    </sheetView>
  </sheetViews>
  <sheetFormatPr baseColWidth="10" defaultRowHeight="15" x14ac:dyDescent="0.25"/>
  <cols>
    <col min="1" max="1" width="11.42578125" style="120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7" max="7" width="12.5703125" bestFit="1" customWidth="1"/>
    <col min="9" max="9" width="11.85546875" bestFit="1" customWidth="1"/>
    <col min="13" max="13" width="12.5703125" bestFit="1" customWidth="1"/>
    <col min="14" max="14" width="15.140625" customWidth="1"/>
    <col min="16" max="16" width="15.7109375" customWidth="1"/>
    <col min="17" max="17" width="18.7109375" bestFit="1" customWidth="1"/>
    <col min="18" max="18" width="19.7109375" customWidth="1"/>
    <col min="20" max="20" width="11.85546875" bestFit="1" customWidth="1"/>
    <col min="21" max="21" width="20.5703125" customWidth="1"/>
    <col min="22" max="22" width="37.7109375" customWidth="1"/>
    <col min="23" max="23" width="12.5703125" customWidth="1"/>
    <col min="24" max="24" width="25.5703125" customWidth="1"/>
    <col min="25" max="25" width="23.140625" bestFit="1" customWidth="1"/>
  </cols>
  <sheetData>
    <row r="1" spans="1:19" ht="15.75" thickBot="1" x14ac:dyDescent="0.3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273">
        <v>48536</v>
      </c>
      <c r="O1" s="151" t="s">
        <v>745</v>
      </c>
      <c r="P1" s="149" t="s">
        <v>209</v>
      </c>
      <c r="S1" s="101"/>
    </row>
    <row r="2" spans="1:19" ht="24" thickBo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274"/>
      <c r="O2" s="275">
        <f>IF(P3=1,N1*1.19,N1/1.19)</f>
        <v>40786.554621848743</v>
      </c>
      <c r="P2" s="276"/>
      <c r="R2" s="101"/>
    </row>
    <row r="3" spans="1:19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252">
        <f>N1*0.19</f>
        <v>9221.84</v>
      </c>
      <c r="O3" s="137"/>
      <c r="P3" s="150">
        <v>2</v>
      </c>
    </row>
    <row r="973207" spans="9:9" x14ac:dyDescent="0.25">
      <c r="I973207" s="101"/>
    </row>
    <row r="1046248" spans="1:1" x14ac:dyDescent="0.25">
      <c r="A1046248" s="256"/>
    </row>
  </sheetData>
  <mergeCells count="2">
    <mergeCell ref="N1:N2"/>
    <mergeCell ref="O2:P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14</xdr:col>
                    <xdr:colOff>552450</xdr:colOff>
                    <xdr:row>0</xdr:row>
                    <xdr:rowOff>0</xdr:rowOff>
                  </from>
                  <to>
                    <xdr:col>15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15</xdr:col>
                    <xdr:colOff>628650</xdr:colOff>
                    <xdr:row>0</xdr:row>
                    <xdr:rowOff>0</xdr:rowOff>
                  </from>
                  <to>
                    <xdr:col>15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EN_BLANCO">
                <anchor moveWithCells="1" sizeWithCells="1">
                  <from>
                    <xdr:col>17</xdr:col>
                    <xdr:colOff>114300</xdr:colOff>
                    <xdr:row>0</xdr:row>
                    <xdr:rowOff>38100</xdr:rowOff>
                  </from>
                  <to>
                    <xdr:col>17</xdr:col>
                    <xdr:colOff>1238250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>
      <pane ySplit="3" topLeftCell="A4" activePane="bottomLeft" state="frozen"/>
      <selection pane="bottomLeft"/>
    </sheetView>
  </sheetViews>
  <sheetFormatPr baseColWidth="10" defaultColWidth="0" defaultRowHeight="15" zeroHeight="1" x14ac:dyDescent="0.25"/>
  <cols>
    <col min="1" max="1" width="4.7109375" style="108" customWidth="1"/>
    <col min="2" max="14" width="11.42578125" style="108" customWidth="1"/>
    <col min="15" max="15" width="12.42578125" style="108" customWidth="1"/>
    <col min="16" max="16" width="11.42578125" style="108" customWidth="1"/>
    <col min="17" max="19" width="11.42578125" style="108" hidden="1" customWidth="1"/>
    <col min="20" max="20" width="11.85546875" style="108" hidden="1" customWidth="1"/>
    <col min="21" max="16384" width="11.42578125" style="108" hidden="1"/>
  </cols>
  <sheetData>
    <row r="1" spans="1:30" x14ac:dyDescent="0.25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2" spans="1:30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</row>
    <row r="3" spans="1:30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</row>
    <row r="4" spans="1:30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T4" s="108">
        <v>1</v>
      </c>
    </row>
    <row r="5" spans="1:30" ht="15.75" thickBot="1" x14ac:dyDescent="0.3">
      <c r="A5" s="123"/>
      <c r="B5" s="123"/>
      <c r="C5" s="123"/>
      <c r="D5" s="126" t="s">
        <v>651</v>
      </c>
      <c r="E5" s="126"/>
      <c r="F5" s="126"/>
      <c r="G5" s="126"/>
      <c r="H5" s="126"/>
      <c r="I5" s="123"/>
      <c r="J5" s="123"/>
      <c r="K5" s="123"/>
      <c r="L5" s="123"/>
      <c r="M5" s="123"/>
      <c r="N5" s="123"/>
      <c r="O5" s="123"/>
      <c r="P5" s="123"/>
      <c r="T5" s="108">
        <v>4</v>
      </c>
    </row>
    <row r="6" spans="1:30" ht="15.75" thickBot="1" x14ac:dyDescent="0.3">
      <c r="A6" s="123"/>
      <c r="B6" s="123"/>
      <c r="C6" s="123"/>
      <c r="D6" s="134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T6" s="109" t="s">
        <v>652</v>
      </c>
      <c r="U6" s="109">
        <f>IF(T14=TRUE,E10,"")</f>
        <v>0</v>
      </c>
      <c r="V6" s="109">
        <f>IF(T4=1,1,1.19)</f>
        <v>1</v>
      </c>
      <c r="W6" s="109">
        <f>IFERROR(U6*V6,"")</f>
        <v>0</v>
      </c>
      <c r="X6" s="110" t="e">
        <f t="shared" ref="X6:X12" si="0">W6/$W$13</f>
        <v>#DIV/0!</v>
      </c>
      <c r="Y6" s="109">
        <f>$D$6</f>
        <v>0</v>
      </c>
      <c r="Z6" s="111" t="str">
        <f>IFERROR(X6*Y6,"")</f>
        <v/>
      </c>
      <c r="AA6" s="111" t="str">
        <f>IFERROR(Z6/V6,"0")</f>
        <v>0</v>
      </c>
      <c r="AB6" s="111" t="str">
        <f>AA6</f>
        <v>0</v>
      </c>
      <c r="AD6" s="109" t="s">
        <v>652</v>
      </c>
    </row>
    <row r="7" spans="1:30" x14ac:dyDescent="0.2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T7" s="109" t="s">
        <v>653</v>
      </c>
      <c r="U7" s="109">
        <f>IF(T15=TRUE,E12,"")</f>
        <v>0</v>
      </c>
      <c r="V7" s="109">
        <v>1.19</v>
      </c>
      <c r="W7" s="109">
        <f t="shared" ref="W7:W12" si="1">IFERROR(U7*V7,"")</f>
        <v>0</v>
      </c>
      <c r="X7" s="110" t="e">
        <f t="shared" si="0"/>
        <v>#DIV/0!</v>
      </c>
      <c r="Y7" s="109">
        <f t="shared" ref="Y7:Y12" si="2">$D$6</f>
        <v>0</v>
      </c>
      <c r="Z7" s="111" t="str">
        <f t="shared" ref="Z7:Z12" si="3">IFERROR(X7*Y7,"")</f>
        <v/>
      </c>
      <c r="AA7" s="111" t="str">
        <f t="shared" ref="AA7:AA12" si="4">IFERROR(Z7/V7,"0")</f>
        <v>0</v>
      </c>
      <c r="AB7" s="111">
        <f>AA7+AA9</f>
        <v>0</v>
      </c>
      <c r="AD7" s="109" t="s">
        <v>653</v>
      </c>
    </row>
    <row r="8" spans="1:30" x14ac:dyDescent="0.25">
      <c r="A8" s="123"/>
      <c r="B8" s="123"/>
      <c r="C8" s="123"/>
      <c r="D8" s="278" t="s">
        <v>733</v>
      </c>
      <c r="E8" s="278"/>
      <c r="F8" s="278"/>
      <c r="G8" s="123"/>
      <c r="H8" s="123"/>
      <c r="I8" s="123"/>
      <c r="J8" s="123"/>
      <c r="K8" s="123"/>
      <c r="L8" s="123"/>
      <c r="M8" s="123"/>
      <c r="N8" s="123"/>
      <c r="O8" s="123"/>
      <c r="P8" s="123"/>
      <c r="T8" s="109" t="s">
        <v>654</v>
      </c>
      <c r="U8" s="109">
        <f>IF(T16=TRUE,E14,"")</f>
        <v>0</v>
      </c>
      <c r="V8" s="109">
        <v>1.19</v>
      </c>
      <c r="W8" s="109">
        <f t="shared" si="1"/>
        <v>0</v>
      </c>
      <c r="X8" s="110" t="e">
        <f t="shared" si="0"/>
        <v>#DIV/0!</v>
      </c>
      <c r="Y8" s="109">
        <f t="shared" si="2"/>
        <v>0</v>
      </c>
      <c r="Z8" s="111" t="str">
        <f t="shared" si="3"/>
        <v/>
      </c>
      <c r="AA8" s="111" t="str">
        <f t="shared" si="4"/>
        <v>0</v>
      </c>
      <c r="AB8" s="111" t="str">
        <f>AA8</f>
        <v>0</v>
      </c>
      <c r="AD8" s="109" t="s">
        <v>654</v>
      </c>
    </row>
    <row r="9" spans="1:30" x14ac:dyDescent="0.25">
      <c r="A9" s="123"/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T9" s="109" t="s">
        <v>655</v>
      </c>
      <c r="U9" s="109">
        <f>IF(T17=TRUE,E16,"")</f>
        <v>0</v>
      </c>
      <c r="V9" s="109">
        <v>1.19</v>
      </c>
      <c r="W9" s="109">
        <f t="shared" si="1"/>
        <v>0</v>
      </c>
      <c r="X9" s="110" t="e">
        <f t="shared" si="0"/>
        <v>#DIV/0!</v>
      </c>
      <c r="Y9" s="109">
        <f t="shared" si="2"/>
        <v>0</v>
      </c>
      <c r="Z9" s="111" t="str">
        <f t="shared" si="3"/>
        <v/>
      </c>
      <c r="AA9" s="112" t="str">
        <f t="shared" si="4"/>
        <v>0</v>
      </c>
      <c r="AB9" s="113"/>
      <c r="AD9" s="109" t="s">
        <v>655</v>
      </c>
    </row>
    <row r="10" spans="1:30" x14ac:dyDescent="0.25">
      <c r="A10" s="123"/>
      <c r="B10" s="123"/>
      <c r="C10" s="123"/>
      <c r="D10" s="123"/>
      <c r="E10" s="135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T10" s="109" t="s">
        <v>656</v>
      </c>
      <c r="U10" s="109">
        <f>IF(T18=TRUE,E18,"")</f>
        <v>0</v>
      </c>
      <c r="V10" s="109">
        <v>1.19</v>
      </c>
      <c r="W10" s="109">
        <f t="shared" si="1"/>
        <v>0</v>
      </c>
      <c r="X10" s="110" t="e">
        <f t="shared" si="0"/>
        <v>#DIV/0!</v>
      </c>
      <c r="Y10" s="109">
        <f t="shared" si="2"/>
        <v>0</v>
      </c>
      <c r="Z10" s="111" t="str">
        <f t="shared" si="3"/>
        <v/>
      </c>
      <c r="AA10" s="111" t="str">
        <f t="shared" si="4"/>
        <v>0</v>
      </c>
      <c r="AB10" s="111" t="str">
        <f>AA10</f>
        <v>0</v>
      </c>
      <c r="AD10" s="109" t="s">
        <v>656</v>
      </c>
    </row>
    <row r="11" spans="1:30" x14ac:dyDescent="0.25">
      <c r="A11" s="123"/>
      <c r="B11" s="123"/>
      <c r="C11" s="123"/>
      <c r="D11" s="123"/>
      <c r="E11" s="130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T11" s="109" t="s">
        <v>128</v>
      </c>
      <c r="U11" s="109">
        <f>IF(T19=TRUE,E20,"")</f>
        <v>0</v>
      </c>
      <c r="V11" s="109">
        <v>1.19</v>
      </c>
      <c r="W11" s="109">
        <f t="shared" si="1"/>
        <v>0</v>
      </c>
      <c r="X11" s="110" t="e">
        <f t="shared" si="0"/>
        <v>#DIV/0!</v>
      </c>
      <c r="Y11" s="109">
        <f t="shared" si="2"/>
        <v>0</v>
      </c>
      <c r="Z11" s="111" t="str">
        <f t="shared" si="3"/>
        <v/>
      </c>
      <c r="AA11" s="111" t="str">
        <f t="shared" si="4"/>
        <v>0</v>
      </c>
      <c r="AB11" s="111">
        <f>AA11+AA12</f>
        <v>0</v>
      </c>
      <c r="AD11" s="109" t="s">
        <v>128</v>
      </c>
    </row>
    <row r="12" spans="1:30" x14ac:dyDescent="0.25">
      <c r="A12" s="123"/>
      <c r="B12" s="123"/>
      <c r="C12" s="123"/>
      <c r="D12" s="123"/>
      <c r="E12" s="135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T12" s="109" t="s">
        <v>657</v>
      </c>
      <c r="U12" s="109">
        <f>IF(T20=TRUE,E22,"")</f>
        <v>0</v>
      </c>
      <c r="V12" s="109">
        <v>1.19</v>
      </c>
      <c r="W12" s="109">
        <f t="shared" si="1"/>
        <v>0</v>
      </c>
      <c r="X12" s="110" t="e">
        <f t="shared" si="0"/>
        <v>#DIV/0!</v>
      </c>
      <c r="Y12" s="109">
        <f t="shared" si="2"/>
        <v>0</v>
      </c>
      <c r="Z12" s="111" t="str">
        <f t="shared" si="3"/>
        <v/>
      </c>
      <c r="AA12" s="111" t="str">
        <f t="shared" si="4"/>
        <v>0</v>
      </c>
      <c r="AB12" s="109"/>
      <c r="AD12" s="109" t="s">
        <v>657</v>
      </c>
    </row>
    <row r="13" spans="1:30" x14ac:dyDescent="0.25">
      <c r="A13" s="123"/>
      <c r="B13" s="123"/>
      <c r="C13" s="123"/>
      <c r="D13" s="123"/>
      <c r="E13" s="130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W13" s="111">
        <f>SUM(W6:W12)</f>
        <v>0</v>
      </c>
    </row>
    <row r="14" spans="1:30" x14ac:dyDescent="0.25">
      <c r="A14" s="123"/>
      <c r="B14" s="123"/>
      <c r="C14" s="123"/>
      <c r="D14" s="123"/>
      <c r="E14" s="135"/>
      <c r="F14" s="123"/>
      <c r="G14" s="123"/>
      <c r="H14" s="123"/>
      <c r="I14" s="277" t="s">
        <v>658</v>
      </c>
      <c r="J14" s="277"/>
      <c r="K14" s="123"/>
      <c r="L14" s="123"/>
      <c r="M14" s="126"/>
      <c r="N14" s="126"/>
      <c r="O14" s="126"/>
      <c r="P14" s="123"/>
      <c r="T14" s="108" t="b">
        <v>1</v>
      </c>
    </row>
    <row r="15" spans="1:30" x14ac:dyDescent="0.25">
      <c r="A15" s="123"/>
      <c r="B15" s="123"/>
      <c r="C15" s="123"/>
      <c r="D15" s="123"/>
      <c r="E15" s="130"/>
      <c r="F15" s="123"/>
      <c r="G15" s="123"/>
      <c r="H15" s="123"/>
      <c r="I15" s="127" t="s">
        <v>652</v>
      </c>
      <c r="J15" s="128" t="str">
        <f t="shared" ref="J15:J21" si="5">IFERROR(AA6,"")</f>
        <v>0</v>
      </c>
      <c r="K15" s="123"/>
      <c r="L15" s="123"/>
      <c r="M15" s="123"/>
      <c r="N15" s="277" t="s">
        <v>659</v>
      </c>
      <c r="O15" s="277"/>
      <c r="P15" s="123"/>
      <c r="T15" s="108" t="b">
        <v>1</v>
      </c>
    </row>
    <row r="16" spans="1:30" x14ac:dyDescent="0.25">
      <c r="A16" s="123"/>
      <c r="B16" s="123"/>
      <c r="C16" s="123"/>
      <c r="D16" s="123"/>
      <c r="E16" s="135"/>
      <c r="F16" s="123"/>
      <c r="G16" s="123"/>
      <c r="H16" s="123"/>
      <c r="I16" s="127" t="s">
        <v>653</v>
      </c>
      <c r="J16" s="128" t="str">
        <f t="shared" si="5"/>
        <v>0</v>
      </c>
      <c r="K16" s="123"/>
      <c r="L16" s="123"/>
      <c r="M16" s="129"/>
      <c r="N16" s="128" t="str">
        <f>IFERROR(AB6,"")</f>
        <v>0</v>
      </c>
      <c r="O16" s="127" t="str">
        <f>IF(N16&gt;0,IF(T5=1,"ECRS",IF(T5=2,"ECR",IF(T5=3,"EQRS",IF(T5=4,"EQSS","ECRQ")))),"-")</f>
        <v>EQSS</v>
      </c>
      <c r="P16" s="123"/>
      <c r="Q16" s="114"/>
      <c r="T16" s="108" t="b">
        <v>1</v>
      </c>
    </row>
    <row r="17" spans="1:20" x14ac:dyDescent="0.25">
      <c r="A17" s="123"/>
      <c r="B17" s="123"/>
      <c r="C17" s="123"/>
      <c r="D17" s="123"/>
      <c r="E17" s="130"/>
      <c r="F17" s="123"/>
      <c r="G17" s="123"/>
      <c r="H17" s="123"/>
      <c r="I17" s="127" t="s">
        <v>654</v>
      </c>
      <c r="J17" s="128" t="str">
        <f t="shared" si="5"/>
        <v>0</v>
      </c>
      <c r="K17" s="123"/>
      <c r="L17" s="123"/>
      <c r="M17" s="129"/>
      <c r="N17" s="128">
        <f>IFERROR(AB7,"")</f>
        <v>0</v>
      </c>
      <c r="O17" s="127" t="str">
        <f>IF(N17&gt;0,IF(T5=1,"FTR",IF(T5=2,"FTR","FTRQ")),"-")</f>
        <v>-</v>
      </c>
      <c r="P17" s="123"/>
      <c r="T17" s="108" t="b">
        <v>1</v>
      </c>
    </row>
    <row r="18" spans="1:20" x14ac:dyDescent="0.25">
      <c r="A18" s="123"/>
      <c r="B18" s="123"/>
      <c r="C18" s="123"/>
      <c r="D18" s="123"/>
      <c r="E18" s="135"/>
      <c r="F18" s="123"/>
      <c r="G18" s="123"/>
      <c r="H18" s="123"/>
      <c r="I18" s="127" t="s">
        <v>655</v>
      </c>
      <c r="J18" s="128" t="str">
        <f t="shared" si="5"/>
        <v>0</v>
      </c>
      <c r="K18" s="123"/>
      <c r="L18" s="123"/>
      <c r="M18" s="129"/>
      <c r="N18" s="128" t="str">
        <f>IFERROR(AB8,"")</f>
        <v>0</v>
      </c>
      <c r="O18" s="127" t="str">
        <f>IF(N18&gt;0,IF(T5,"ALDT"),"-")</f>
        <v>ALDT</v>
      </c>
      <c r="P18" s="123"/>
      <c r="T18" s="108" t="b">
        <v>1</v>
      </c>
    </row>
    <row r="19" spans="1:20" x14ac:dyDescent="0.25">
      <c r="A19" s="123"/>
      <c r="B19" s="123"/>
      <c r="C19" s="123"/>
      <c r="D19" s="123"/>
      <c r="E19" s="130"/>
      <c r="F19" s="123"/>
      <c r="G19" s="123"/>
      <c r="H19" s="123"/>
      <c r="I19" s="127" t="s">
        <v>656</v>
      </c>
      <c r="J19" s="128" t="str">
        <f t="shared" si="5"/>
        <v>0</v>
      </c>
      <c r="K19" s="123"/>
      <c r="L19" s="123"/>
      <c r="M19" s="129"/>
      <c r="N19" s="128" t="str">
        <f>IFERROR(AB10,"")</f>
        <v>0</v>
      </c>
      <c r="O19" s="127" t="str">
        <f>IF(N19&gt;0,IF(T5=1,"ETV",IF(T5=2,"ETV","ETVQ")),"-")</f>
        <v>ETVQ</v>
      </c>
      <c r="P19" s="123"/>
      <c r="T19" s="108" t="b">
        <v>1</v>
      </c>
    </row>
    <row r="20" spans="1:20" x14ac:dyDescent="0.25">
      <c r="A20" s="123"/>
      <c r="B20" s="123"/>
      <c r="C20" s="123"/>
      <c r="D20" s="123"/>
      <c r="E20" s="135"/>
      <c r="F20" s="123"/>
      <c r="G20" s="123"/>
      <c r="H20" s="123"/>
      <c r="I20" s="127" t="s">
        <v>128</v>
      </c>
      <c r="J20" s="128" t="str">
        <f t="shared" si="5"/>
        <v>0</v>
      </c>
      <c r="K20" s="123"/>
      <c r="L20" s="123"/>
      <c r="M20" s="129"/>
      <c r="N20" s="128">
        <f>IFERROR(AB11,"")</f>
        <v>0</v>
      </c>
      <c r="O20" s="127" t="str">
        <f>IF(N20&gt;0,IF(T5,"ARR"),"-")</f>
        <v>-</v>
      </c>
      <c r="P20" s="123"/>
      <c r="T20" s="108" t="b">
        <v>1</v>
      </c>
    </row>
    <row r="21" spans="1:20" x14ac:dyDescent="0.25">
      <c r="A21" s="123"/>
      <c r="B21" s="123"/>
      <c r="C21" s="123"/>
      <c r="D21" s="123"/>
      <c r="E21" s="130"/>
      <c r="F21" s="123"/>
      <c r="G21" s="123"/>
      <c r="H21" s="123"/>
      <c r="I21" s="127" t="s">
        <v>657</v>
      </c>
      <c r="J21" s="128" t="str">
        <f t="shared" si="5"/>
        <v>0</v>
      </c>
      <c r="K21" s="123"/>
      <c r="L21" s="123"/>
      <c r="M21" s="123"/>
      <c r="N21" s="123"/>
      <c r="O21" s="123"/>
      <c r="P21" s="123"/>
    </row>
    <row r="22" spans="1:20" x14ac:dyDescent="0.25">
      <c r="A22" s="123"/>
      <c r="B22" s="123"/>
      <c r="C22" s="123"/>
      <c r="D22" s="123"/>
      <c r="E22" s="135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</row>
    <row r="23" spans="1:20" x14ac:dyDescent="0.2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</row>
    <row r="24" spans="1:20" x14ac:dyDescent="0.2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</row>
    <row r="25" spans="1:20" x14ac:dyDescent="0.25">
      <c r="A25" s="123"/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</row>
    <row r="26" spans="1:20" x14ac:dyDescent="0.25">
      <c r="A26" s="123"/>
      <c r="B26" s="123"/>
      <c r="C26" s="123"/>
      <c r="D26" s="123"/>
      <c r="E26" s="123"/>
      <c r="F26" s="123"/>
      <c r="G26" s="130"/>
      <c r="H26" s="123"/>
      <c r="I26" s="123"/>
      <c r="J26" s="123"/>
      <c r="K26" s="123"/>
      <c r="L26" s="123"/>
      <c r="M26" s="123"/>
      <c r="N26" s="123"/>
      <c r="O26" s="123"/>
      <c r="P26" s="123"/>
    </row>
    <row r="27" spans="1:20" x14ac:dyDescent="0.25">
      <c r="A27" s="123"/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</row>
    <row r="28" spans="1:20" x14ac:dyDescent="0.25">
      <c r="A28" s="123"/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</row>
    <row r="29" spans="1:20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</row>
    <row r="30" spans="1:20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</sheetData>
  <dataConsolidate/>
  <mergeCells count="3">
    <mergeCell ref="I14:J14"/>
    <mergeCell ref="N15:O15"/>
    <mergeCell ref="D8:F8"/>
  </mergeCells>
  <conditionalFormatting sqref="E10">
    <cfRule type="expression" dxfId="19" priority="8" stopIfTrue="1">
      <formula>$T$14</formula>
    </cfRule>
  </conditionalFormatting>
  <conditionalFormatting sqref="E12">
    <cfRule type="expression" dxfId="18" priority="7" stopIfTrue="1">
      <formula>$T$15</formula>
    </cfRule>
  </conditionalFormatting>
  <conditionalFormatting sqref="E14">
    <cfRule type="expression" dxfId="17" priority="6" stopIfTrue="1">
      <formula>$T$16</formula>
    </cfRule>
  </conditionalFormatting>
  <conditionalFormatting sqref="E16">
    <cfRule type="expression" dxfId="16" priority="5" stopIfTrue="1">
      <formula>$T$17</formula>
    </cfRule>
  </conditionalFormatting>
  <conditionalFormatting sqref="E18">
    <cfRule type="expression" dxfId="15" priority="4" stopIfTrue="1">
      <formula>$T$18</formula>
    </cfRule>
  </conditionalFormatting>
  <conditionalFormatting sqref="E20">
    <cfRule type="expression" dxfId="14" priority="3" stopIfTrue="1">
      <formula>$T$19</formula>
    </cfRule>
  </conditionalFormatting>
  <conditionalFormatting sqref="E22">
    <cfRule type="expression" dxfId="13" priority="1" stopIfTrue="1">
      <formula>$T$20</formula>
    </cfRule>
  </conditionalFormatting>
  <dataValidations disablePrompts="1"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pane ySplit="4" topLeftCell="A5" activePane="bottomLeft" state="frozen"/>
      <selection pane="bottomLeft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8"/>
      <c r="B1" s="138"/>
      <c r="C1" s="139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</row>
    <row r="2" spans="1:37" x14ac:dyDescent="0.35">
      <c r="A2" s="138"/>
      <c r="B2" s="138"/>
      <c r="C2" s="139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</row>
    <row r="3" spans="1:37" x14ac:dyDescent="0.35">
      <c r="A3" s="138"/>
      <c r="B3" s="138"/>
      <c r="C3" s="139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</row>
    <row r="4" spans="1:37" x14ac:dyDescent="0.35">
      <c r="A4" s="138"/>
      <c r="B4" s="138"/>
      <c r="C4" s="139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280" t="s">
        <v>94</v>
      </c>
      <c r="F7" s="281"/>
      <c r="G7" s="281"/>
      <c r="H7" s="281"/>
      <c r="I7" s="281"/>
      <c r="J7" s="281"/>
      <c r="K7" s="281"/>
      <c r="L7" s="303"/>
      <c r="M7" s="9"/>
      <c r="N7" s="12"/>
      <c r="O7" s="9"/>
      <c r="P7" s="10"/>
      <c r="R7" s="280" t="s">
        <v>93</v>
      </c>
      <c r="S7" s="281"/>
      <c r="T7" s="281"/>
      <c r="U7" s="281"/>
      <c r="X7" s="12"/>
      <c r="Y7" s="9"/>
      <c r="Z7" s="10"/>
      <c r="AA7" s="280" t="s">
        <v>487</v>
      </c>
      <c r="AB7" s="281"/>
      <c r="AC7" s="9"/>
      <c r="AD7" s="280" t="s">
        <v>488</v>
      </c>
      <c r="AE7" s="281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306"/>
      <c r="I8" s="306"/>
      <c r="J8" s="306"/>
      <c r="K8" s="306"/>
      <c r="L8" s="306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300" t="s">
        <v>95</v>
      </c>
      <c r="F9" s="301"/>
      <c r="G9" s="301"/>
      <c r="H9" s="9"/>
      <c r="I9" s="9"/>
      <c r="J9" s="300" t="s">
        <v>403</v>
      </c>
      <c r="K9" s="301"/>
      <c r="L9" s="302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299" t="s">
        <v>219</v>
      </c>
      <c r="D12" s="9"/>
      <c r="E12" s="307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282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298"/>
      <c r="D13" s="9"/>
      <c r="E13" s="305"/>
      <c r="F13" s="77" t="s">
        <v>73</v>
      </c>
      <c r="G13" s="78" t="s">
        <v>237</v>
      </c>
      <c r="H13" s="44">
        <v>0.2</v>
      </c>
      <c r="I13" s="9"/>
      <c r="J13" s="304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282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297" t="s">
        <v>220</v>
      </c>
      <c r="D14" s="20"/>
      <c r="E14" s="304" t="s">
        <v>19</v>
      </c>
      <c r="F14" s="77" t="s">
        <v>1</v>
      </c>
      <c r="G14" s="78" t="s">
        <v>238</v>
      </c>
      <c r="H14" s="44">
        <v>0.16</v>
      </c>
      <c r="I14" s="9"/>
      <c r="J14" s="307"/>
      <c r="K14" s="19" t="s">
        <v>58</v>
      </c>
      <c r="L14" s="1" t="s">
        <v>284</v>
      </c>
      <c r="M14" s="44">
        <v>0.16</v>
      </c>
      <c r="N14" s="12"/>
      <c r="O14" s="9"/>
      <c r="P14" s="10"/>
      <c r="Q14" s="282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299"/>
      <c r="D15" s="20"/>
      <c r="E15" s="307"/>
      <c r="F15" s="77" t="s">
        <v>2</v>
      </c>
      <c r="G15" s="78" t="s">
        <v>239</v>
      </c>
      <c r="H15" s="44">
        <v>0.16</v>
      </c>
      <c r="I15" s="9"/>
      <c r="J15" s="305"/>
      <c r="K15" s="19" t="s">
        <v>59</v>
      </c>
      <c r="L15" s="1" t="s">
        <v>285</v>
      </c>
      <c r="M15" s="44">
        <v>0.16</v>
      </c>
      <c r="N15" s="12"/>
      <c r="O15" s="9"/>
      <c r="P15" s="10"/>
      <c r="Q15" s="282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299"/>
      <c r="D16" s="20"/>
      <c r="E16" s="307"/>
      <c r="F16" s="77" t="s">
        <v>3</v>
      </c>
      <c r="G16" s="78" t="s">
        <v>240</v>
      </c>
      <c r="H16" s="44">
        <v>0.16</v>
      </c>
      <c r="I16" s="9"/>
      <c r="J16" s="304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282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299"/>
      <c r="D17" s="20"/>
      <c r="E17" s="307"/>
      <c r="F17" s="77" t="s">
        <v>4</v>
      </c>
      <c r="G17" s="78" t="s">
        <v>241</v>
      </c>
      <c r="H17" s="44">
        <v>0.16</v>
      </c>
      <c r="I17" s="9"/>
      <c r="J17" s="307"/>
      <c r="K17" s="19" t="s">
        <v>61</v>
      </c>
      <c r="L17" s="1" t="s">
        <v>287</v>
      </c>
      <c r="M17" s="44">
        <v>0.16</v>
      </c>
      <c r="N17" s="12"/>
      <c r="O17" s="9"/>
      <c r="P17" s="10"/>
      <c r="Q17" s="282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299"/>
      <c r="D18" s="20"/>
      <c r="E18" s="307"/>
      <c r="F18" s="77" t="s">
        <v>5</v>
      </c>
      <c r="G18" s="78" t="s">
        <v>242</v>
      </c>
      <c r="H18" s="44">
        <v>0.16</v>
      </c>
      <c r="I18" s="9"/>
      <c r="J18" s="305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280" t="s">
        <v>523</v>
      </c>
      <c r="AB18" s="281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298"/>
      <c r="D19" s="20"/>
      <c r="E19" s="305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297" t="s">
        <v>219</v>
      </c>
      <c r="D20" s="20"/>
      <c r="E20" s="304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299"/>
      <c r="D21" s="20"/>
      <c r="E21" s="307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282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299"/>
      <c r="D22" s="20"/>
      <c r="E22" s="307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282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299"/>
      <c r="D23" s="20"/>
      <c r="E23" s="307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282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299"/>
      <c r="D24" s="20"/>
      <c r="E24" s="307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282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298"/>
      <c r="D25" s="20"/>
      <c r="E25" s="305"/>
      <c r="F25" s="77" t="s">
        <v>12</v>
      </c>
      <c r="G25" s="78" t="s">
        <v>249</v>
      </c>
      <c r="H25" s="44">
        <v>0.16</v>
      </c>
      <c r="I25" s="9"/>
      <c r="J25" s="304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282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297" t="s">
        <v>219</v>
      </c>
      <c r="D26" s="20"/>
      <c r="E26" s="304" t="s">
        <v>53</v>
      </c>
      <c r="F26" s="77" t="s">
        <v>13</v>
      </c>
      <c r="G26" s="78" t="s">
        <v>250</v>
      </c>
      <c r="H26" s="44">
        <v>0.16</v>
      </c>
      <c r="I26" s="9"/>
      <c r="J26" s="307"/>
      <c r="K26" s="19" t="s">
        <v>185</v>
      </c>
      <c r="L26" s="1" t="s">
        <v>296</v>
      </c>
      <c r="M26" s="44">
        <v>0.16</v>
      </c>
      <c r="N26" s="12"/>
      <c r="O26" s="9"/>
      <c r="P26" s="10"/>
      <c r="Q26" s="282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298"/>
      <c r="D27" s="20"/>
      <c r="E27" s="305"/>
      <c r="F27" s="77" t="s">
        <v>14</v>
      </c>
      <c r="G27" s="78" t="s">
        <v>251</v>
      </c>
      <c r="H27" s="44">
        <v>0.16</v>
      </c>
      <c r="I27" s="9"/>
      <c r="J27" s="305"/>
      <c r="K27" s="19" t="s">
        <v>186</v>
      </c>
      <c r="L27" s="1" t="s">
        <v>297</v>
      </c>
      <c r="M27" s="44">
        <v>0.16</v>
      </c>
      <c r="N27" s="12"/>
      <c r="O27" s="9"/>
      <c r="P27" s="10"/>
      <c r="Q27" s="289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297" t="s">
        <v>219</v>
      </c>
      <c r="D28" s="20"/>
      <c r="E28" s="304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289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298"/>
      <c r="D29" s="20"/>
      <c r="E29" s="305"/>
      <c r="F29" s="77" t="s">
        <v>16</v>
      </c>
      <c r="G29" s="78" t="s">
        <v>253</v>
      </c>
      <c r="H29" s="44">
        <v>0.16</v>
      </c>
      <c r="I29" s="9"/>
      <c r="J29" s="304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289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297" t="s">
        <v>219</v>
      </c>
      <c r="D30" s="20"/>
      <c r="E30" s="304" t="s">
        <v>21</v>
      </c>
      <c r="F30" s="77" t="s">
        <v>22</v>
      </c>
      <c r="G30" s="78" t="s">
        <v>254</v>
      </c>
      <c r="H30" s="44">
        <v>0.16</v>
      </c>
      <c r="I30" s="9"/>
      <c r="J30" s="307"/>
      <c r="K30" s="19" t="s">
        <v>71</v>
      </c>
      <c r="L30" s="1" t="s">
        <v>300</v>
      </c>
      <c r="M30" s="44">
        <v>0.16</v>
      </c>
      <c r="N30" s="12"/>
      <c r="O30" s="9"/>
      <c r="P30" s="10"/>
      <c r="Q30" s="289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298"/>
      <c r="D31" s="20"/>
      <c r="E31" s="305"/>
      <c r="F31" s="77" t="s">
        <v>23</v>
      </c>
      <c r="G31" s="78" t="s">
        <v>255</v>
      </c>
      <c r="H31" s="44">
        <v>0.16</v>
      </c>
      <c r="I31" s="9"/>
      <c r="J31" s="305"/>
      <c r="K31" s="19" t="s">
        <v>90</v>
      </c>
      <c r="L31" s="1" t="s">
        <v>301</v>
      </c>
      <c r="M31" s="44">
        <v>0.16</v>
      </c>
      <c r="N31" s="12"/>
      <c r="O31" s="9"/>
      <c r="P31" s="10"/>
      <c r="Q31" s="289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297" t="s">
        <v>219</v>
      </c>
      <c r="D32" s="20"/>
      <c r="E32" s="304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289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298"/>
      <c r="D33" s="20"/>
      <c r="E33" s="305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295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297" t="s">
        <v>220</v>
      </c>
      <c r="D34" s="20"/>
      <c r="E34" s="304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296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298"/>
      <c r="D35" s="20"/>
      <c r="E35" s="305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297" t="s">
        <v>219</v>
      </c>
      <c r="D36" s="20"/>
      <c r="E36" s="304" t="s">
        <v>30</v>
      </c>
      <c r="F36" s="77" t="s">
        <v>31</v>
      </c>
      <c r="G36" s="78" t="s">
        <v>260</v>
      </c>
      <c r="H36" s="44">
        <v>0.2</v>
      </c>
      <c r="I36" s="9"/>
      <c r="J36" s="294" t="s">
        <v>226</v>
      </c>
      <c r="K36" s="294"/>
      <c r="L36" s="294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298"/>
      <c r="D37" s="20"/>
      <c r="E37" s="305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286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297" t="s">
        <v>220</v>
      </c>
      <c r="D38" s="20"/>
      <c r="E38" s="304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287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298"/>
      <c r="D39" s="20"/>
      <c r="E39" s="305"/>
      <c r="F39" s="77" t="s">
        <v>35</v>
      </c>
      <c r="G39" s="78" t="s">
        <v>263</v>
      </c>
      <c r="H39" s="44">
        <v>0.2</v>
      </c>
      <c r="I39" s="9"/>
      <c r="J39" s="300" t="s">
        <v>183</v>
      </c>
      <c r="K39" s="301"/>
      <c r="L39" s="302"/>
      <c r="M39" s="9"/>
      <c r="N39" s="12"/>
      <c r="O39" s="9"/>
      <c r="P39" s="10"/>
      <c r="Q39" s="287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297" t="s">
        <v>219</v>
      </c>
      <c r="D40" s="9"/>
      <c r="E40" s="304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287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299"/>
      <c r="D41" s="9"/>
      <c r="E41" s="307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288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299"/>
      <c r="D42" s="9"/>
      <c r="E42" s="307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283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299"/>
      <c r="D43" s="9"/>
      <c r="E43" s="307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284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299"/>
      <c r="D44" s="9"/>
      <c r="E44" s="307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284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298"/>
      <c r="D45" s="9"/>
      <c r="E45" s="305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285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297" t="s">
        <v>219</v>
      </c>
      <c r="D46" s="9"/>
      <c r="E46" s="304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298"/>
      <c r="D47" s="9"/>
      <c r="E47" s="305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297" t="s">
        <v>219</v>
      </c>
      <c r="D48" s="9"/>
      <c r="E48" s="297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299"/>
      <c r="D49" s="9"/>
      <c r="E49" s="299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299"/>
      <c r="D50" s="9"/>
      <c r="E50" s="299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299"/>
      <c r="D51" s="9"/>
      <c r="E51" s="299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299"/>
      <c r="D52" s="9"/>
      <c r="E52" s="299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298"/>
      <c r="D53" s="9"/>
      <c r="E53" s="298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297" t="s">
        <v>219</v>
      </c>
      <c r="D54" s="9"/>
      <c r="E54" s="304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298"/>
      <c r="D55" s="9"/>
      <c r="E55" s="305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294" t="s">
        <v>216</v>
      </c>
      <c r="F57" s="294"/>
      <c r="G57" s="294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290" t="s">
        <v>213</v>
      </c>
      <c r="F65" s="291"/>
      <c r="G65" s="291"/>
      <c r="H65" s="292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293" t="s">
        <v>218</v>
      </c>
      <c r="G66" s="293"/>
      <c r="H66" s="293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279" t="s">
        <v>222</v>
      </c>
      <c r="G67" s="279"/>
      <c r="H67" s="279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279" t="s">
        <v>221</v>
      </c>
      <c r="G68" s="279"/>
      <c r="H68" s="279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279" t="s">
        <v>223</v>
      </c>
      <c r="G69" s="279"/>
      <c r="H69" s="279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649</v>
      </c>
      <c r="L96" s="3" t="s">
        <v>650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698</v>
      </c>
      <c r="L97" s="3" t="s">
        <v>697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152" t="s">
        <v>719</v>
      </c>
      <c r="K98" s="3" t="s">
        <v>723</v>
      </c>
      <c r="L98" s="3" t="s">
        <v>722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289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289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289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289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289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289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  <mergeCell ref="C34:C35"/>
    <mergeCell ref="C36:C37"/>
    <mergeCell ref="E34:E35"/>
    <mergeCell ref="E40:E45"/>
    <mergeCell ref="C38:C39"/>
    <mergeCell ref="C40:C45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Q104:Q106"/>
    <mergeCell ref="Q33:Q34"/>
    <mergeCell ref="Q21:Q23"/>
    <mergeCell ref="Q24:Q26"/>
    <mergeCell ref="Q27:Q29"/>
    <mergeCell ref="Q101:Q103"/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pane ySplit="3" topLeftCell="A4" activePane="bottomLeft" state="frozen"/>
      <selection pane="bottomLeft" activeCell="N18" sqref="N18"/>
    </sheetView>
  </sheetViews>
  <sheetFormatPr baseColWidth="10" defaultColWidth="0" defaultRowHeight="15" zeroHeight="1" x14ac:dyDescent="0.25"/>
  <cols>
    <col min="1" max="15" width="11.42578125" style="148" customWidth="1"/>
    <col min="16" max="16" width="54.5703125" style="115" hidden="1" customWidth="1"/>
    <col min="17" max="17" width="17.140625" style="115" hidden="1" customWidth="1"/>
    <col min="18" max="18" width="16.140625" style="115" hidden="1" customWidth="1"/>
    <col min="19" max="16384" width="11.42578125" style="115" hidden="1"/>
  </cols>
  <sheetData>
    <row r="1" spans="1:20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</row>
    <row r="2" spans="1:20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</row>
    <row r="3" spans="1:20" x14ac:dyDescent="0.25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</row>
    <row r="4" spans="1:20" x14ac:dyDescent="0.25">
      <c r="A4" s="123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</row>
    <row r="5" spans="1:20" x14ac:dyDescent="0.25">
      <c r="A5" s="123"/>
      <c r="B5" s="123"/>
      <c r="C5" s="123"/>
      <c r="D5" s="123"/>
      <c r="E5" s="308" t="s">
        <v>695</v>
      </c>
      <c r="F5" s="308"/>
      <c r="G5" s="308"/>
      <c r="H5" s="308"/>
      <c r="I5" s="308"/>
      <c r="J5" s="308"/>
      <c r="K5" s="123"/>
      <c r="L5" s="123"/>
      <c r="M5" s="123"/>
      <c r="N5" s="123"/>
      <c r="O5" s="123"/>
      <c r="Q5" s="116"/>
    </row>
    <row r="6" spans="1:20" x14ac:dyDescent="0.25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19" t="s">
        <v>660</v>
      </c>
      <c r="Q6" s="119" t="s">
        <v>661</v>
      </c>
      <c r="R6" s="119" t="s">
        <v>662</v>
      </c>
    </row>
    <row r="7" spans="1:20" x14ac:dyDescent="0.2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17" t="s">
        <v>746</v>
      </c>
      <c r="Q7" s="117">
        <v>135700</v>
      </c>
      <c r="R7" s="118">
        <v>114033.61344537816</v>
      </c>
      <c r="T7" s="116">
        <f>I10*M9</f>
        <v>8403.361344537816</v>
      </c>
    </row>
    <row r="8" spans="1:20" x14ac:dyDescent="0.25">
      <c r="A8" s="123"/>
      <c r="B8" s="123"/>
      <c r="C8" s="123"/>
      <c r="D8" s="123"/>
      <c r="E8" s="123"/>
      <c r="F8" s="123"/>
      <c r="G8" s="123"/>
      <c r="H8" s="124">
        <v>5</v>
      </c>
      <c r="I8" s="123"/>
      <c r="J8" s="123"/>
      <c r="K8" s="123"/>
      <c r="L8" s="123"/>
      <c r="M8" s="123" t="s">
        <v>687</v>
      </c>
      <c r="N8" s="123"/>
      <c r="O8" s="123"/>
      <c r="P8" s="117" t="s">
        <v>747</v>
      </c>
      <c r="Q8" s="117">
        <v>22700</v>
      </c>
      <c r="R8" s="118">
        <v>19075.63025210084</v>
      </c>
    </row>
    <row r="9" spans="1:20" x14ac:dyDescent="0.25">
      <c r="A9" s="123"/>
      <c r="B9" s="123"/>
      <c r="C9" s="123"/>
      <c r="D9" s="123"/>
      <c r="E9" s="123"/>
      <c r="F9" s="123"/>
      <c r="G9" s="123"/>
      <c r="H9" s="123"/>
      <c r="I9" s="308" t="str">
        <f>IF(H8=28,"VALOR/MES","VALOR UNIDAD")</f>
        <v>VALOR UNIDAD</v>
      </c>
      <c r="J9" s="308"/>
      <c r="K9" s="123"/>
      <c r="L9" s="123"/>
      <c r="M9" s="308">
        <v>1</v>
      </c>
      <c r="N9" s="123"/>
      <c r="O9" s="123"/>
      <c r="P9" s="117" t="s">
        <v>663</v>
      </c>
      <c r="Q9" s="117">
        <v>65900</v>
      </c>
      <c r="R9" s="118">
        <v>55378.151260504201</v>
      </c>
    </row>
    <row r="10" spans="1:20" x14ac:dyDescent="0.25">
      <c r="A10" s="123"/>
      <c r="B10" s="123"/>
      <c r="C10" s="123"/>
      <c r="D10" s="123"/>
      <c r="E10" s="123"/>
      <c r="F10" s="123"/>
      <c r="G10" s="123"/>
      <c r="H10" s="123"/>
      <c r="I10" s="312">
        <f>INDEX(Q7:R34,H8,2)</f>
        <v>8403.361344537816</v>
      </c>
      <c r="J10" s="312"/>
      <c r="K10" s="123"/>
      <c r="L10" s="123"/>
      <c r="M10" s="308"/>
      <c r="N10" s="123"/>
      <c r="O10" s="123"/>
      <c r="P10" s="117" t="s">
        <v>664</v>
      </c>
      <c r="Q10" s="117">
        <v>133400</v>
      </c>
      <c r="R10" s="118">
        <v>112100.84033613445</v>
      </c>
    </row>
    <row r="11" spans="1:20" x14ac:dyDescent="0.25">
      <c r="A11" s="123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17" t="s">
        <v>665</v>
      </c>
      <c r="Q11" s="117">
        <v>10000</v>
      </c>
      <c r="R11" s="118">
        <v>8403.361344537816</v>
      </c>
    </row>
    <row r="12" spans="1:20" x14ac:dyDescent="0.25">
      <c r="A12" s="123"/>
      <c r="B12" s="123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17" t="s">
        <v>666</v>
      </c>
      <c r="Q12" s="117">
        <v>149400</v>
      </c>
      <c r="R12" s="118">
        <v>125546.21848739496</v>
      </c>
    </row>
    <row r="13" spans="1:20" x14ac:dyDescent="0.25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17" t="s">
        <v>667</v>
      </c>
      <c r="Q13" s="117">
        <v>300200</v>
      </c>
      <c r="R13" s="118">
        <v>252268.90756302522</v>
      </c>
    </row>
    <row r="14" spans="1:20" x14ac:dyDescent="0.2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17" t="s">
        <v>668</v>
      </c>
      <c r="Q14" s="117">
        <v>686100</v>
      </c>
      <c r="R14" s="118">
        <v>576554.62184873957</v>
      </c>
    </row>
    <row r="15" spans="1:20" x14ac:dyDescent="0.2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17" t="s">
        <v>669</v>
      </c>
      <c r="Q15" s="117">
        <v>354000</v>
      </c>
      <c r="R15" s="118">
        <v>297478.99159663869</v>
      </c>
    </row>
    <row r="16" spans="1:20" x14ac:dyDescent="0.2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17" t="s">
        <v>670</v>
      </c>
      <c r="Q16" s="117">
        <v>206200</v>
      </c>
      <c r="R16" s="118">
        <v>173277.31092436975</v>
      </c>
    </row>
    <row r="17" spans="1:18" x14ac:dyDescent="0.25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17" t="s">
        <v>671</v>
      </c>
      <c r="Q17" s="117">
        <v>38000</v>
      </c>
      <c r="R17" s="118">
        <v>31932.773109243699</v>
      </c>
    </row>
    <row r="18" spans="1:18" x14ac:dyDescent="0.2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17" t="s">
        <v>672</v>
      </c>
      <c r="Q18" s="117">
        <v>32900</v>
      </c>
      <c r="R18" s="118">
        <v>27647.058823529413</v>
      </c>
    </row>
    <row r="19" spans="1:18" x14ac:dyDescent="0.25">
      <c r="A19" s="123"/>
      <c r="B19" s="123"/>
      <c r="C19" s="123"/>
      <c r="D19" s="123"/>
      <c r="E19" s="123"/>
      <c r="F19" s="123"/>
      <c r="G19" s="123"/>
      <c r="H19" s="123"/>
      <c r="I19" s="308" t="s">
        <v>659</v>
      </c>
      <c r="J19" s="308"/>
      <c r="K19" s="308"/>
      <c r="L19" s="308"/>
      <c r="M19" s="123"/>
      <c r="N19" s="123"/>
      <c r="O19" s="123"/>
      <c r="P19" s="117" t="s">
        <v>673</v>
      </c>
      <c r="Q19" s="117">
        <v>148900</v>
      </c>
      <c r="R19" s="118">
        <v>125126.05042016807</v>
      </c>
    </row>
    <row r="20" spans="1:18" ht="15.75" thickBot="1" x14ac:dyDescent="0.3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17" t="s">
        <v>681</v>
      </c>
      <c r="Q20" s="117">
        <v>259900</v>
      </c>
      <c r="R20" s="118">
        <v>218403.36134453781</v>
      </c>
    </row>
    <row r="21" spans="1:18" ht="15.75" thickBot="1" x14ac:dyDescent="0.3">
      <c r="A21" s="123"/>
      <c r="B21" s="123"/>
      <c r="C21" s="123"/>
      <c r="D21" s="123"/>
      <c r="E21" s="123"/>
      <c r="F21" s="123"/>
      <c r="G21" s="123"/>
      <c r="H21" s="123"/>
      <c r="I21" s="309">
        <f>Hoja5!I3</f>
        <v>8403.361344537816</v>
      </c>
      <c r="J21" s="310"/>
      <c r="K21" s="310"/>
      <c r="L21" s="311"/>
      <c r="M21" s="123" t="str">
        <f>IF(H8=28,"AMP","EQP")</f>
        <v>EQP</v>
      </c>
      <c r="N21" s="123"/>
      <c r="O21" s="123"/>
      <c r="P21" s="117" t="s">
        <v>674</v>
      </c>
      <c r="Q21" s="117">
        <v>141600</v>
      </c>
      <c r="R21" s="118">
        <v>118991.59663865546</v>
      </c>
    </row>
    <row r="22" spans="1:18" x14ac:dyDescent="0.25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17" t="s">
        <v>675</v>
      </c>
      <c r="Q22" s="117">
        <v>202000</v>
      </c>
      <c r="R22" s="118">
        <v>169747.89915966388</v>
      </c>
    </row>
    <row r="23" spans="1:18" x14ac:dyDescent="0.2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17" t="s">
        <v>676</v>
      </c>
      <c r="Q23" s="117">
        <v>374100</v>
      </c>
      <c r="R23" s="118">
        <v>314369.74789915967</v>
      </c>
    </row>
    <row r="24" spans="1:18" x14ac:dyDescent="0.25">
      <c r="A24" s="123"/>
      <c r="B24" s="123"/>
      <c r="C24" s="123"/>
      <c r="D24" s="123"/>
      <c r="E24" s="123"/>
      <c r="F24" s="123"/>
      <c r="G24" s="123"/>
      <c r="H24" s="131" t="s">
        <v>689</v>
      </c>
      <c r="I24" s="131" t="s">
        <v>687</v>
      </c>
      <c r="J24" s="131" t="s">
        <v>688</v>
      </c>
      <c r="K24" s="131" t="s">
        <v>690</v>
      </c>
      <c r="L24" s="132"/>
      <c r="M24" s="123"/>
      <c r="N24" s="123"/>
      <c r="O24" s="123"/>
      <c r="P24" s="117" t="s">
        <v>677</v>
      </c>
      <c r="Q24" s="117">
        <v>1011500</v>
      </c>
      <c r="R24" s="118">
        <v>850000</v>
      </c>
    </row>
    <row r="25" spans="1:18" x14ac:dyDescent="0.25">
      <c r="A25" s="123"/>
      <c r="B25" s="123"/>
      <c r="C25" s="123"/>
      <c r="D25" s="123"/>
      <c r="E25" s="123"/>
      <c r="F25" s="123"/>
      <c r="G25" s="123"/>
      <c r="H25" s="131">
        <v>8000</v>
      </c>
      <c r="I25" s="131">
        <v>9</v>
      </c>
      <c r="J25" s="131">
        <f>H25*I25</f>
        <v>72000</v>
      </c>
      <c r="K25" s="131" t="s">
        <v>610</v>
      </c>
      <c r="L25" s="132"/>
      <c r="M25" s="123"/>
      <c r="N25" s="123"/>
      <c r="O25" s="123"/>
      <c r="P25" s="117" t="s">
        <v>682</v>
      </c>
      <c r="Q25" s="117">
        <v>188000</v>
      </c>
      <c r="R25" s="118">
        <v>157983.19327731093</v>
      </c>
    </row>
    <row r="26" spans="1:18" x14ac:dyDescent="0.25">
      <c r="A26" s="123"/>
      <c r="B26" s="123"/>
      <c r="C26" s="123"/>
      <c r="D26" s="123"/>
      <c r="E26" s="123"/>
      <c r="F26" s="123"/>
      <c r="G26" s="123"/>
      <c r="H26" s="131"/>
      <c r="I26" s="131"/>
      <c r="J26" s="131">
        <v>288000</v>
      </c>
      <c r="K26" s="131" t="s">
        <v>606</v>
      </c>
      <c r="L26" s="132" t="s">
        <v>691</v>
      </c>
      <c r="M26" s="123"/>
      <c r="N26" s="123"/>
      <c r="O26" s="123"/>
      <c r="P26" s="117" t="s">
        <v>678</v>
      </c>
      <c r="Q26" s="117">
        <v>9900</v>
      </c>
      <c r="R26" s="118">
        <v>8319.3277310924368</v>
      </c>
    </row>
    <row r="27" spans="1:18" x14ac:dyDescent="0.25">
      <c r="A27" s="123"/>
      <c r="B27" s="123"/>
      <c r="C27" s="123"/>
      <c r="D27" s="123"/>
      <c r="E27" s="123"/>
      <c r="F27" s="123"/>
      <c r="G27" s="123"/>
      <c r="H27" s="131"/>
      <c r="I27" s="131"/>
      <c r="J27" s="133">
        <f>J26/1.19</f>
        <v>242016.8067226891</v>
      </c>
      <c r="K27" s="131" t="s">
        <v>601</v>
      </c>
      <c r="L27" s="132"/>
      <c r="M27" s="123"/>
      <c r="N27" s="123"/>
      <c r="O27" s="123"/>
      <c r="P27" s="117" t="s">
        <v>679</v>
      </c>
      <c r="Q27" s="117">
        <v>9900</v>
      </c>
      <c r="R27" s="118">
        <v>8319.3277310924368</v>
      </c>
    </row>
    <row r="28" spans="1:18" x14ac:dyDescent="0.25">
      <c r="A28" s="123"/>
      <c r="B28" s="123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17" t="s">
        <v>680</v>
      </c>
      <c r="Q28" s="117">
        <v>9900</v>
      </c>
      <c r="R28" s="118">
        <v>8319.3277310924368</v>
      </c>
    </row>
    <row r="29" spans="1:18" x14ac:dyDescent="0.25">
      <c r="A29" s="123"/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17" t="s">
        <v>683</v>
      </c>
      <c r="Q29" s="117">
        <v>175900</v>
      </c>
      <c r="R29" s="118">
        <v>147815.12605042016</v>
      </c>
    </row>
    <row r="30" spans="1:18" x14ac:dyDescent="0.25">
      <c r="A30" s="123"/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17" t="s">
        <v>684</v>
      </c>
      <c r="Q30" s="117">
        <v>27000</v>
      </c>
      <c r="R30" s="118">
        <v>22689.0756302521</v>
      </c>
    </row>
    <row r="31" spans="1:18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17" t="s">
        <v>748</v>
      </c>
      <c r="Q31" s="117">
        <v>49900</v>
      </c>
      <c r="R31" s="118">
        <v>41932.773109243702</v>
      </c>
    </row>
    <row r="32" spans="1:18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17" t="s">
        <v>685</v>
      </c>
      <c r="Q32" s="117">
        <v>27000</v>
      </c>
      <c r="R32" s="118">
        <v>22689.0756302521</v>
      </c>
    </row>
    <row r="33" spans="1:18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17" t="s">
        <v>686</v>
      </c>
      <c r="Q33" s="117">
        <v>10000</v>
      </c>
      <c r="R33" s="118">
        <v>8403.361344537816</v>
      </c>
    </row>
    <row r="34" spans="1:18" hidden="1" x14ac:dyDescent="0.25">
      <c r="P34" s="115" t="s">
        <v>694</v>
      </c>
      <c r="Q34" s="115">
        <v>25000</v>
      </c>
      <c r="R34" s="115">
        <v>25000</v>
      </c>
    </row>
    <row r="35" spans="1:18" hidden="1" x14ac:dyDescent="0.25">
      <c r="P35" s="116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I5"/>
  <sheetViews>
    <sheetView workbookViewId="0">
      <selection activeCell="C5" sqref="C5"/>
    </sheetView>
  </sheetViews>
  <sheetFormatPr baseColWidth="10" defaultRowHeight="15" x14ac:dyDescent="0.25"/>
  <cols>
    <col min="3" max="3" width="23" customWidth="1"/>
  </cols>
  <sheetData>
    <row r="1" spans="3:9" x14ac:dyDescent="0.25">
      <c r="F1" t="s">
        <v>744</v>
      </c>
    </row>
    <row r="3" spans="3:9" x14ac:dyDescent="0.25">
      <c r="I3" s="101">
        <f>SUM(Tabla126[VALOR])</f>
        <v>8403.361344537816</v>
      </c>
    </row>
    <row r="4" spans="3:9" x14ac:dyDescent="0.25">
      <c r="C4" t="s">
        <v>688</v>
      </c>
    </row>
    <row r="5" spans="3:9" x14ac:dyDescent="0.25">
      <c r="C5" s="101">
        <v>8403.361344537816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FF0000"/>
  </sheetPr>
  <dimension ref="A1:S2522"/>
  <sheetViews>
    <sheetView showGridLines="0" showRowColHeaders="0" tabSelected="1" zoomScale="115" zoomScaleNormal="115" workbookViewId="0">
      <pane ySplit="24" topLeftCell="A47" activePane="bottomLeft" state="frozen"/>
      <selection pane="bottomLeft" activeCell="A56" sqref="A56"/>
    </sheetView>
  </sheetViews>
  <sheetFormatPr baseColWidth="10" defaultColWidth="0" defaultRowHeight="15" customHeight="1" x14ac:dyDescent="0.25"/>
  <cols>
    <col min="1" max="1" width="15.140625" style="156" customWidth="1"/>
    <col min="2" max="2" width="21.85546875" style="156" customWidth="1"/>
    <col min="3" max="3" width="11.85546875" style="156" customWidth="1"/>
    <col min="4" max="4" width="13.140625" style="156" customWidth="1"/>
    <col min="5" max="5" width="43.28515625" style="156" bestFit="1" customWidth="1"/>
    <col min="6" max="6" width="55.42578125" style="156" bestFit="1" customWidth="1"/>
    <col min="7" max="7" width="15.7109375" style="156" customWidth="1"/>
    <col min="8" max="8" width="21.140625" style="156" customWidth="1"/>
    <col min="9" max="9" width="20.85546875" style="157" customWidth="1"/>
    <col min="10" max="10" width="20.28515625" style="158" customWidth="1"/>
    <col min="11" max="11" width="16.5703125" style="156" customWidth="1"/>
    <col min="12" max="12" width="24.5703125" style="156" bestFit="1" customWidth="1"/>
    <col min="13" max="13" width="91.28515625" style="156" bestFit="1" customWidth="1"/>
    <col min="14" max="14" width="28.28515625" style="157" customWidth="1"/>
    <col min="15" max="15" width="17" style="156" customWidth="1"/>
    <col min="16" max="16" width="21" style="155" customWidth="1"/>
    <col min="17" max="17" width="18.42578125" style="154" customWidth="1"/>
    <col min="18" max="16384" width="11.42578125" style="153" hidden="1"/>
  </cols>
  <sheetData>
    <row r="1" spans="1:16" ht="15" customHeight="1" x14ac:dyDescent="0.25">
      <c r="A1" s="180"/>
      <c r="B1" s="180"/>
      <c r="C1" s="180"/>
      <c r="D1" s="180"/>
      <c r="E1" s="180"/>
      <c r="F1" s="180"/>
      <c r="G1" s="180"/>
      <c r="H1" s="180"/>
      <c r="I1" s="181"/>
      <c r="J1" s="187"/>
      <c r="K1" s="180"/>
      <c r="L1" s="180"/>
      <c r="M1" s="180"/>
      <c r="N1" s="181"/>
      <c r="O1" s="180"/>
      <c r="P1" s="188">
        <f>SUM(TIPIFIED[TRANSACCIONES])</f>
        <v>68</v>
      </c>
    </row>
    <row r="2" spans="1:16" ht="15" customHeight="1" x14ac:dyDescent="0.25">
      <c r="A2" s="180"/>
      <c r="B2" s="180"/>
      <c r="C2" s="180"/>
      <c r="D2" s="180"/>
      <c r="E2" s="180"/>
      <c r="F2" s="180"/>
      <c r="G2" s="180"/>
      <c r="H2" s="180"/>
      <c r="I2" s="181"/>
      <c r="J2" s="187"/>
      <c r="K2" s="180"/>
      <c r="L2" s="180"/>
      <c r="M2" s="180"/>
      <c r="N2" s="181"/>
      <c r="O2" s="180"/>
      <c r="P2" s="179"/>
    </row>
    <row r="3" spans="1:16" ht="15" customHeight="1" x14ac:dyDescent="0.25">
      <c r="A3" s="180"/>
      <c r="B3" s="180"/>
      <c r="C3" s="180"/>
      <c r="D3" s="180"/>
      <c r="E3" s="180"/>
      <c r="F3" s="180"/>
      <c r="G3" s="180"/>
      <c r="H3" s="180"/>
      <c r="I3" s="181"/>
      <c r="J3" s="187"/>
      <c r="K3" s="180"/>
      <c r="L3" s="180"/>
      <c r="M3" s="180"/>
      <c r="N3" s="181"/>
      <c r="O3" s="180"/>
      <c r="P3" s="179"/>
    </row>
    <row r="4" spans="1:16" ht="17.25" hidden="1" customHeight="1" x14ac:dyDescent="0.25">
      <c r="A4" s="180"/>
      <c r="B4" s="180"/>
      <c r="C4" s="180"/>
      <c r="D4" s="180"/>
      <c r="E4" s="180"/>
      <c r="F4" s="180"/>
      <c r="G4" s="180"/>
      <c r="H4" s="180"/>
      <c r="I4" s="181"/>
      <c r="J4" s="187"/>
      <c r="K4" s="180"/>
      <c r="L4" s="180"/>
      <c r="M4" s="180"/>
      <c r="N4" s="181"/>
      <c r="O4" s="180"/>
      <c r="P4" s="179"/>
    </row>
    <row r="5" spans="1:16" ht="15" hidden="1" customHeight="1" x14ac:dyDescent="0.3">
      <c r="A5" s="180"/>
      <c r="B5" s="180"/>
      <c r="C5" s="180"/>
      <c r="D5" s="180"/>
      <c r="E5" s="180"/>
      <c r="F5" s="180"/>
      <c r="G5" s="183" t="s">
        <v>781</v>
      </c>
      <c r="H5" s="183" t="s">
        <v>750</v>
      </c>
      <c r="I5" s="186" t="s">
        <v>780</v>
      </c>
      <c r="J5" s="185" t="s">
        <v>93</v>
      </c>
      <c r="K5" s="183" t="s">
        <v>779</v>
      </c>
      <c r="L5" s="180"/>
      <c r="M5" s="180"/>
      <c r="N5" s="181"/>
      <c r="O5" s="180"/>
      <c r="P5" s="179"/>
    </row>
    <row r="6" spans="1:16" ht="15" hidden="1" customHeight="1" x14ac:dyDescent="0.25">
      <c r="A6" s="180"/>
      <c r="B6" s="180"/>
      <c r="C6" s="180"/>
      <c r="D6" s="180"/>
      <c r="E6" s="180"/>
      <c r="F6" s="180"/>
      <c r="G6" s="313">
        <f>'SALA DE MAQUINAS'!C8</f>
        <v>0</v>
      </c>
      <c r="H6" s="313">
        <f>'SALA DE MAQUINAS'!D8</f>
        <v>27</v>
      </c>
      <c r="I6" s="313">
        <f>'SALA DE MAQUINAS'!E8</f>
        <v>1</v>
      </c>
      <c r="J6" s="313">
        <f>'SALA DE MAQUINAS'!F8</f>
        <v>1</v>
      </c>
      <c r="K6" s="313">
        <f>'SALA DE MAQUINAS'!G8</f>
        <v>0</v>
      </c>
      <c r="L6" s="180"/>
      <c r="M6" s="180"/>
      <c r="N6" s="181"/>
      <c r="O6" s="180"/>
      <c r="P6" s="179"/>
    </row>
    <row r="7" spans="1:16" ht="15" hidden="1" customHeight="1" x14ac:dyDescent="0.25">
      <c r="A7" s="180"/>
      <c r="B7" s="180"/>
      <c r="C7" s="180"/>
      <c r="D7" s="180"/>
      <c r="E7" s="180"/>
      <c r="F7" s="180"/>
      <c r="G7" s="313"/>
      <c r="H7" s="313"/>
      <c r="I7" s="313"/>
      <c r="J7" s="313"/>
      <c r="K7" s="313"/>
      <c r="L7" s="180"/>
      <c r="M7" s="180"/>
      <c r="N7" s="181"/>
      <c r="O7" s="180"/>
      <c r="P7" s="184"/>
    </row>
    <row r="8" spans="1:16" ht="15" hidden="1" customHeight="1" x14ac:dyDescent="0.25">
      <c r="A8" s="180"/>
      <c r="B8" s="180"/>
      <c r="C8" s="180"/>
      <c r="D8" s="180"/>
      <c r="E8" s="180"/>
      <c r="F8" s="314" t="s">
        <v>778</v>
      </c>
      <c r="G8" s="313"/>
      <c r="H8" s="313"/>
      <c r="I8" s="313"/>
      <c r="J8" s="313"/>
      <c r="K8" s="313"/>
      <c r="L8" s="180"/>
      <c r="M8" s="180"/>
      <c r="N8" s="181"/>
      <c r="O8" s="180"/>
      <c r="P8" s="184"/>
    </row>
    <row r="9" spans="1:16" ht="15" hidden="1" customHeight="1" x14ac:dyDescent="0.25">
      <c r="A9" s="315" t="str">
        <f>IF('SALA DE MAQUINAS'!AX7=1,"PRODUCTIVIDAD MES","PRODUCTIVIDAD AÑO")</f>
        <v>PRODUCTIVIDAD MES</v>
      </c>
      <c r="B9" s="316"/>
      <c r="C9" s="320">
        <f>'SALA DE MAQUINAS'!AY5</f>
        <v>0.69333333333333325</v>
      </c>
      <c r="D9" s="180"/>
      <c r="E9" s="180"/>
      <c r="F9" s="314"/>
      <c r="G9" s="313"/>
      <c r="H9" s="313"/>
      <c r="I9" s="313"/>
      <c r="J9" s="313"/>
      <c r="K9" s="313"/>
      <c r="L9" s="180"/>
      <c r="M9" s="180"/>
      <c r="N9" s="181"/>
      <c r="O9" s="180"/>
      <c r="P9" s="179"/>
    </row>
    <row r="10" spans="1:16" ht="15" hidden="1" customHeight="1" x14ac:dyDescent="0.25">
      <c r="A10" s="317"/>
      <c r="B10" s="318"/>
      <c r="C10" s="321"/>
      <c r="D10" s="180"/>
      <c r="E10" s="180"/>
      <c r="F10" s="180"/>
      <c r="G10" s="180"/>
      <c r="H10" s="180"/>
      <c r="I10" s="330" t="s">
        <v>777</v>
      </c>
      <c r="J10" s="330"/>
      <c r="K10" s="180"/>
      <c r="L10" s="180"/>
      <c r="M10" s="180"/>
      <c r="N10" s="181"/>
      <c r="O10" s="180"/>
      <c r="P10" s="327" t="s">
        <v>612</v>
      </c>
    </row>
    <row r="11" spans="1:16" ht="15" hidden="1" customHeight="1" x14ac:dyDescent="0.25">
      <c r="A11" s="180"/>
      <c r="B11" s="180"/>
      <c r="C11" s="180"/>
      <c r="D11" s="180"/>
      <c r="E11" s="180"/>
      <c r="F11" s="180"/>
      <c r="G11" s="180"/>
      <c r="H11" s="180"/>
      <c r="I11" s="331"/>
      <c r="J11" s="331"/>
      <c r="K11" s="180"/>
      <c r="L11" s="180"/>
      <c r="M11" s="180"/>
      <c r="N11" s="181"/>
      <c r="O11" s="180"/>
      <c r="P11" s="327"/>
    </row>
    <row r="12" spans="1:16" ht="15" hidden="1" customHeight="1" x14ac:dyDescent="0.25">
      <c r="A12" s="180"/>
      <c r="B12" s="180"/>
      <c r="C12" s="180"/>
      <c r="D12" s="180"/>
      <c r="E12" s="180"/>
      <c r="F12" s="180"/>
      <c r="G12" s="180"/>
      <c r="H12" s="180"/>
      <c r="I12" s="329">
        <f>'SALA DE MAQUINAS'!D19</f>
        <v>30</v>
      </c>
      <c r="J12" s="329"/>
      <c r="K12" s="180"/>
      <c r="L12" s="180"/>
      <c r="M12" s="180"/>
      <c r="N12" s="181"/>
      <c r="O12" s="180"/>
      <c r="P12" s="328">
        <f>'SALA DE MAQUINAS'!C19</f>
        <v>1</v>
      </c>
    </row>
    <row r="13" spans="1:16" ht="15" hidden="1" customHeight="1" x14ac:dyDescent="0.25">
      <c r="A13" s="319" t="s">
        <v>776</v>
      </c>
      <c r="B13" s="319"/>
      <c r="C13" s="322" t="str">
        <f>'SALA DE MAQUINAS'!AV25</f>
        <v>PQR</v>
      </c>
      <c r="D13" s="180"/>
      <c r="E13" s="180"/>
      <c r="F13" s="180"/>
      <c r="G13" s="180"/>
      <c r="H13" s="180"/>
      <c r="I13" s="329"/>
      <c r="J13" s="329"/>
      <c r="K13" s="180"/>
      <c r="L13" s="180"/>
      <c r="M13" s="180"/>
      <c r="N13" s="181"/>
      <c r="O13" s="180"/>
      <c r="P13" s="328"/>
    </row>
    <row r="14" spans="1:16" ht="15" hidden="1" customHeight="1" x14ac:dyDescent="0.25">
      <c r="A14" s="319"/>
      <c r="B14" s="319"/>
      <c r="C14" s="321"/>
      <c r="D14" s="180"/>
      <c r="E14" s="180"/>
      <c r="F14" s="180"/>
      <c r="G14" s="180"/>
      <c r="H14" s="180"/>
      <c r="I14" s="329"/>
      <c r="J14" s="329"/>
      <c r="K14" s="180"/>
      <c r="L14" s="180"/>
      <c r="M14" s="180"/>
      <c r="N14" s="181"/>
      <c r="O14" s="180"/>
      <c r="P14" s="327" t="s">
        <v>611</v>
      </c>
    </row>
    <row r="15" spans="1:16" ht="15" hidden="1" customHeight="1" x14ac:dyDescent="0.25">
      <c r="A15" s="180"/>
      <c r="B15" s="180"/>
      <c r="C15" s="180"/>
      <c r="D15" s="180"/>
      <c r="E15" s="180"/>
      <c r="F15" s="180"/>
      <c r="G15" s="180"/>
      <c r="H15" s="180"/>
      <c r="I15" s="329"/>
      <c r="J15" s="329"/>
      <c r="K15" s="180"/>
      <c r="L15" s="180"/>
      <c r="M15" s="180"/>
      <c r="N15" s="181"/>
      <c r="O15" s="180"/>
      <c r="P15" s="327"/>
    </row>
    <row r="16" spans="1:16" ht="15" hidden="1" customHeight="1" x14ac:dyDescent="0.25">
      <c r="A16" s="319" t="s">
        <v>775</v>
      </c>
      <c r="B16" s="319"/>
      <c r="C16" s="325">
        <f>IF(A16="TRANSACCIONES MES",'SALA DE MAQUINAS'!BG5,'SALA DE MAQUINAS'!BG8)</f>
        <v>68</v>
      </c>
      <c r="D16" s="325"/>
      <c r="E16" s="180"/>
      <c r="F16" s="180"/>
      <c r="G16" s="180"/>
      <c r="H16" s="180"/>
      <c r="I16" s="329"/>
      <c r="J16" s="329"/>
      <c r="K16" s="180"/>
      <c r="L16" s="180"/>
      <c r="M16" s="180"/>
      <c r="N16" s="181"/>
      <c r="O16" s="180"/>
      <c r="P16" s="328">
        <f>'SALA DE MAQUINAS'!C17</f>
        <v>18</v>
      </c>
    </row>
    <row r="17" spans="1:19" ht="15" hidden="1" customHeight="1" x14ac:dyDescent="0.25">
      <c r="A17" s="319"/>
      <c r="B17" s="319"/>
      <c r="C17" s="325"/>
      <c r="D17" s="325"/>
      <c r="E17" s="180"/>
      <c r="F17" s="180"/>
      <c r="G17" s="180"/>
      <c r="H17" s="180"/>
      <c r="I17" s="329"/>
      <c r="J17" s="329"/>
      <c r="K17" s="180"/>
      <c r="L17" s="180"/>
      <c r="M17" s="180"/>
      <c r="N17" s="181"/>
      <c r="O17" s="180"/>
      <c r="P17" s="328"/>
    </row>
    <row r="18" spans="1:19" ht="15" hidden="1" customHeight="1" x14ac:dyDescent="0.3">
      <c r="A18" s="180"/>
      <c r="B18" s="180"/>
      <c r="C18" s="180"/>
      <c r="D18" s="180"/>
      <c r="E18" s="180"/>
      <c r="F18" s="180"/>
      <c r="G18" s="180"/>
      <c r="H18" s="183" t="s">
        <v>774</v>
      </c>
      <c r="I18" s="183" t="s">
        <v>773</v>
      </c>
      <c r="J18" s="183" t="s">
        <v>726</v>
      </c>
      <c r="K18" s="183" t="s">
        <v>772</v>
      </c>
      <c r="L18" s="183" t="s">
        <v>771</v>
      </c>
      <c r="M18" s="180"/>
      <c r="N18" s="181"/>
      <c r="O18" s="180"/>
      <c r="P18" s="182"/>
    </row>
    <row r="19" spans="1:19" ht="15" hidden="1" customHeight="1" x14ac:dyDescent="0.25">
      <c r="A19" s="326" t="str">
        <f ca="1">UPPER(TEXT(A21,"DDDD"))</f>
        <v>VIERNES</v>
      </c>
      <c r="B19" s="326"/>
      <c r="C19" s="180"/>
      <c r="D19" s="180"/>
      <c r="E19" s="180"/>
      <c r="F19" s="180"/>
      <c r="G19" s="180"/>
      <c r="H19" s="323">
        <f>SEGUIMIENTOS!B33</f>
        <v>3</v>
      </c>
      <c r="I19" s="323">
        <f>SEGUIMIENTOS!C33</f>
        <v>0</v>
      </c>
      <c r="J19" s="323">
        <f>SEGUIMIENTOS!D33</f>
        <v>6</v>
      </c>
      <c r="K19" s="323">
        <f>SEGUIMIENTOS!E33</f>
        <v>1</v>
      </c>
      <c r="L19" s="180"/>
      <c r="M19" s="180"/>
      <c r="N19" s="181"/>
      <c r="O19" s="180"/>
      <c r="P19" s="327" t="s">
        <v>613</v>
      </c>
    </row>
    <row r="20" spans="1:19" ht="15" hidden="1" customHeight="1" x14ac:dyDescent="0.25">
      <c r="A20" s="326"/>
      <c r="B20" s="326"/>
      <c r="C20" s="180"/>
      <c r="D20" s="180"/>
      <c r="E20" s="180"/>
      <c r="F20" s="180"/>
      <c r="G20" s="180"/>
      <c r="H20" s="323"/>
      <c r="I20" s="323"/>
      <c r="J20" s="323"/>
      <c r="K20" s="323"/>
      <c r="L20" s="180"/>
      <c r="M20" s="180"/>
      <c r="N20" s="181"/>
      <c r="O20" s="180"/>
      <c r="P20" s="327"/>
    </row>
    <row r="21" spans="1:19" ht="15" hidden="1" customHeight="1" x14ac:dyDescent="0.25">
      <c r="A21" s="324">
        <f ca="1">TODAY()</f>
        <v>44939</v>
      </c>
      <c r="B21" s="325"/>
      <c r="C21" s="180"/>
      <c r="D21" s="180"/>
      <c r="E21" s="180"/>
      <c r="F21" s="180"/>
      <c r="G21" s="180"/>
      <c r="H21" s="323"/>
      <c r="I21" s="323"/>
      <c r="J21" s="323"/>
      <c r="K21" s="323"/>
      <c r="L21" s="180">
        <f>SEGUIMIENTOS!F33</f>
        <v>0</v>
      </c>
      <c r="M21" s="180"/>
      <c r="N21" s="181"/>
      <c r="O21" s="180"/>
      <c r="P21" s="328">
        <f>'SALA DE MAQUINAS'!C18</f>
        <v>11</v>
      </c>
    </row>
    <row r="22" spans="1:19" ht="15" hidden="1" customHeight="1" x14ac:dyDescent="0.25">
      <c r="A22" s="325"/>
      <c r="B22" s="325"/>
      <c r="C22" s="180"/>
      <c r="D22" s="180"/>
      <c r="E22" s="180"/>
      <c r="F22" s="180"/>
      <c r="G22" s="180"/>
      <c r="H22" s="323"/>
      <c r="I22" s="323"/>
      <c r="J22" s="323"/>
      <c r="K22" s="323"/>
      <c r="L22" s="180"/>
      <c r="M22" s="180"/>
      <c r="N22" s="181"/>
      <c r="O22" s="180"/>
      <c r="P22" s="328"/>
    </row>
    <row r="23" spans="1:19" ht="15" hidden="1" customHeight="1" x14ac:dyDescent="0.25">
      <c r="A23" s="180"/>
      <c r="B23" s="180"/>
      <c r="C23" s="180"/>
      <c r="D23" s="180"/>
      <c r="E23" s="180"/>
      <c r="F23" s="180"/>
      <c r="G23" s="180"/>
      <c r="H23" s="323"/>
      <c r="I23" s="323"/>
      <c r="J23" s="323"/>
      <c r="K23" s="323"/>
      <c r="L23" s="180"/>
      <c r="M23" s="180"/>
      <c r="N23" s="181"/>
      <c r="O23" s="180"/>
      <c r="P23" s="179"/>
    </row>
    <row r="24" spans="1:19" s="172" customFormat="1" x14ac:dyDescent="0.25">
      <c r="A24" s="177" t="s">
        <v>770</v>
      </c>
      <c r="B24" s="177" t="s">
        <v>769</v>
      </c>
      <c r="C24" s="177" t="s">
        <v>768</v>
      </c>
      <c r="D24" s="178" t="s">
        <v>767</v>
      </c>
      <c r="E24" s="177" t="s">
        <v>766</v>
      </c>
      <c r="F24" s="177" t="s">
        <v>765</v>
      </c>
      <c r="G24" s="177" t="s">
        <v>764</v>
      </c>
      <c r="H24" s="177" t="s">
        <v>763</v>
      </c>
      <c r="I24" s="177" t="s">
        <v>762</v>
      </c>
      <c r="J24" s="177" t="s">
        <v>761</v>
      </c>
      <c r="K24" s="177" t="s">
        <v>760</v>
      </c>
      <c r="L24" s="177" t="s">
        <v>759</v>
      </c>
      <c r="M24" s="177" t="s">
        <v>758</v>
      </c>
      <c r="N24" s="176" t="s">
        <v>757</v>
      </c>
      <c r="O24" s="175" t="s">
        <v>756</v>
      </c>
      <c r="P24" s="175" t="s">
        <v>755</v>
      </c>
      <c r="Q24" s="174"/>
      <c r="R24" s="173">
        <v>0</v>
      </c>
      <c r="S24" s="173"/>
    </row>
    <row r="25" spans="1:19" customFormat="1" ht="15" customHeight="1" x14ac:dyDescent="0.25">
      <c r="A25" s="167">
        <v>945629452</v>
      </c>
      <c r="B25" s="167" t="s">
        <v>1055</v>
      </c>
      <c r="C25" s="167">
        <v>31976067</v>
      </c>
      <c r="D25" s="167" t="s">
        <v>611</v>
      </c>
      <c r="E25" s="167" t="s">
        <v>754</v>
      </c>
      <c r="F25" s="167" t="s">
        <v>753</v>
      </c>
      <c r="G25" s="167" t="s">
        <v>1030</v>
      </c>
      <c r="H25" s="167" t="s">
        <v>1042</v>
      </c>
      <c r="I25" s="164">
        <f ca="1">TODAY()</f>
        <v>44939</v>
      </c>
      <c r="J25" s="163">
        <v>0.375</v>
      </c>
      <c r="K25" s="162" t="s">
        <v>749</v>
      </c>
      <c r="L25" s="166" t="s">
        <v>1020</v>
      </c>
      <c r="M25" s="166" t="s">
        <v>939</v>
      </c>
      <c r="N25" s="164"/>
      <c r="O25" s="166"/>
      <c r="P25" s="165">
        <v>5</v>
      </c>
      <c r="Q25" s="171"/>
      <c r="R25">
        <v>1</v>
      </c>
    </row>
    <row r="26" spans="1:19" customFormat="1" ht="15" customHeight="1" x14ac:dyDescent="0.25">
      <c r="A26" s="168">
        <v>945614322</v>
      </c>
      <c r="B26" s="167" t="s">
        <v>1056</v>
      </c>
      <c r="C26" s="168">
        <v>87637492</v>
      </c>
      <c r="D26" s="167" t="s">
        <v>611</v>
      </c>
      <c r="E26" s="167" t="s">
        <v>754</v>
      </c>
      <c r="F26" s="167" t="s">
        <v>753</v>
      </c>
      <c r="G26" s="167" t="s">
        <v>1030</v>
      </c>
      <c r="H26" s="167" t="s">
        <v>1044</v>
      </c>
      <c r="I26" s="164">
        <f t="shared" ref="I26:I53" ca="1" si="0">TODAY()</f>
        <v>44939</v>
      </c>
      <c r="J26" s="163">
        <v>0.375</v>
      </c>
      <c r="K26" s="162" t="s">
        <v>749</v>
      </c>
      <c r="L26" s="166" t="s">
        <v>1014</v>
      </c>
      <c r="M26" s="166" t="s">
        <v>967</v>
      </c>
      <c r="N26" s="164"/>
      <c r="O26" s="166"/>
      <c r="P26" s="165">
        <v>1</v>
      </c>
      <c r="Q26" s="171"/>
      <c r="R26">
        <v>2</v>
      </c>
    </row>
    <row r="27" spans="1:19" customFormat="1" ht="15" customHeight="1" x14ac:dyDescent="0.25">
      <c r="A27" s="168">
        <v>945603121</v>
      </c>
      <c r="B27" s="167" t="s">
        <v>1057</v>
      </c>
      <c r="C27" s="168">
        <v>599395</v>
      </c>
      <c r="D27" s="167" t="s">
        <v>613</v>
      </c>
      <c r="E27" s="167" t="s">
        <v>827</v>
      </c>
      <c r="F27" s="167" t="s">
        <v>845</v>
      </c>
      <c r="G27" s="167" t="s">
        <v>1030</v>
      </c>
      <c r="H27" s="167" t="s">
        <v>1044</v>
      </c>
      <c r="I27" s="164">
        <f t="shared" ca="1" si="0"/>
        <v>44939</v>
      </c>
      <c r="J27" s="163">
        <v>0.375</v>
      </c>
      <c r="K27" s="162" t="s">
        <v>749</v>
      </c>
      <c r="L27" s="166"/>
      <c r="M27" s="166"/>
      <c r="N27" s="164"/>
      <c r="O27" s="166"/>
      <c r="P27" s="165">
        <v>1</v>
      </c>
      <c r="Q27" s="171"/>
      <c r="R27">
        <v>3</v>
      </c>
    </row>
    <row r="28" spans="1:19" customFormat="1" ht="15" customHeight="1" x14ac:dyDescent="0.25">
      <c r="A28" s="167">
        <v>945793785</v>
      </c>
      <c r="B28" s="167" t="s">
        <v>1058</v>
      </c>
      <c r="C28" s="167">
        <v>34404715</v>
      </c>
      <c r="D28" s="167" t="s">
        <v>613</v>
      </c>
      <c r="E28" s="167" t="s">
        <v>827</v>
      </c>
      <c r="F28" s="167" t="s">
        <v>831</v>
      </c>
      <c r="G28" s="167" t="s">
        <v>1030</v>
      </c>
      <c r="H28" s="167" t="s">
        <v>750</v>
      </c>
      <c r="I28" s="164">
        <f t="shared" ca="1" si="0"/>
        <v>44939</v>
      </c>
      <c r="J28" s="163">
        <v>0.375</v>
      </c>
      <c r="K28" s="162" t="s">
        <v>749</v>
      </c>
      <c r="L28" s="166"/>
      <c r="M28" s="166"/>
      <c r="N28" s="164"/>
      <c r="O28" s="166"/>
      <c r="P28" s="165">
        <v>1</v>
      </c>
      <c r="Q28" s="171"/>
      <c r="R28">
        <v>4</v>
      </c>
    </row>
    <row r="29" spans="1:19" customFormat="1" ht="15" customHeight="1" x14ac:dyDescent="0.25">
      <c r="A29" s="167">
        <v>945782529</v>
      </c>
      <c r="B29" s="167" t="s">
        <v>1059</v>
      </c>
      <c r="C29" s="167">
        <v>50890371</v>
      </c>
      <c r="D29" s="167" t="s">
        <v>611</v>
      </c>
      <c r="E29" s="167" t="s">
        <v>754</v>
      </c>
      <c r="F29" s="167" t="s">
        <v>753</v>
      </c>
      <c r="G29" s="167" t="s">
        <v>1030</v>
      </c>
      <c r="H29" s="167" t="s">
        <v>1042</v>
      </c>
      <c r="I29" s="164">
        <f t="shared" ca="1" si="0"/>
        <v>44939</v>
      </c>
      <c r="J29" s="163">
        <v>0.375</v>
      </c>
      <c r="K29" s="162" t="s">
        <v>749</v>
      </c>
      <c r="L29" s="166" t="s">
        <v>1022</v>
      </c>
      <c r="M29" s="166" t="s">
        <v>994</v>
      </c>
      <c r="N29" s="164"/>
      <c r="O29" s="166"/>
      <c r="P29" s="165">
        <v>5</v>
      </c>
      <c r="Q29" s="171"/>
      <c r="R29">
        <v>5</v>
      </c>
    </row>
    <row r="30" spans="1:19" customFormat="1" ht="15" customHeight="1" x14ac:dyDescent="0.25">
      <c r="A30" s="167">
        <v>944942772</v>
      </c>
      <c r="B30" s="167" t="s">
        <v>1060</v>
      </c>
      <c r="C30" s="167">
        <v>3482094</v>
      </c>
      <c r="D30" s="167" t="s">
        <v>611</v>
      </c>
      <c r="E30" s="167" t="s">
        <v>754</v>
      </c>
      <c r="F30" s="167" t="s">
        <v>753</v>
      </c>
      <c r="G30" s="167" t="s">
        <v>1030</v>
      </c>
      <c r="H30" s="167" t="s">
        <v>750</v>
      </c>
      <c r="I30" s="164">
        <f t="shared" ca="1" si="0"/>
        <v>44939</v>
      </c>
      <c r="J30" s="163">
        <v>0.375</v>
      </c>
      <c r="K30" s="162" t="s">
        <v>749</v>
      </c>
      <c r="L30" s="166" t="s">
        <v>752</v>
      </c>
      <c r="M30" s="166" t="s">
        <v>751</v>
      </c>
      <c r="N30" s="164"/>
      <c r="O30" s="166"/>
      <c r="P30" s="165">
        <v>3</v>
      </c>
      <c r="Q30" s="171"/>
      <c r="R30">
        <v>6</v>
      </c>
    </row>
    <row r="31" spans="1:19" customFormat="1" ht="15" customHeight="1" x14ac:dyDescent="0.25">
      <c r="A31" s="167">
        <v>944614541</v>
      </c>
      <c r="B31" s="168" t="s">
        <v>1061</v>
      </c>
      <c r="C31" s="167">
        <v>77147106</v>
      </c>
      <c r="D31" s="167" t="s">
        <v>613</v>
      </c>
      <c r="E31" s="167" t="s">
        <v>827</v>
      </c>
      <c r="F31" s="167" t="s">
        <v>834</v>
      </c>
      <c r="G31" s="167" t="s">
        <v>1030</v>
      </c>
      <c r="H31" s="167" t="s">
        <v>750</v>
      </c>
      <c r="I31" s="164">
        <f t="shared" ca="1" si="0"/>
        <v>44939</v>
      </c>
      <c r="J31" s="163">
        <v>0.375</v>
      </c>
      <c r="K31" s="162" t="s">
        <v>749</v>
      </c>
      <c r="L31" s="166"/>
      <c r="M31" s="166"/>
      <c r="N31" s="164"/>
      <c r="O31" s="166"/>
      <c r="P31" s="165">
        <v>1</v>
      </c>
      <c r="Q31" s="171"/>
      <c r="R31">
        <v>7</v>
      </c>
    </row>
    <row r="32" spans="1:19" customFormat="1" ht="15" customHeight="1" x14ac:dyDescent="0.25">
      <c r="A32" s="167">
        <v>944650117</v>
      </c>
      <c r="B32" s="167" t="s">
        <v>1062</v>
      </c>
      <c r="C32" s="167">
        <v>43154216</v>
      </c>
      <c r="D32" s="167" t="s">
        <v>611</v>
      </c>
      <c r="E32" s="167" t="s">
        <v>754</v>
      </c>
      <c r="F32" s="167" t="s">
        <v>753</v>
      </c>
      <c r="G32" s="167" t="s">
        <v>1030</v>
      </c>
      <c r="H32" s="167" t="s">
        <v>750</v>
      </c>
      <c r="I32" s="164">
        <f t="shared" ca="1" si="0"/>
        <v>44939</v>
      </c>
      <c r="J32" s="163">
        <v>0.375</v>
      </c>
      <c r="K32" s="162" t="s">
        <v>749</v>
      </c>
      <c r="L32" s="166"/>
      <c r="M32" s="166"/>
      <c r="N32" s="164"/>
      <c r="O32" s="166"/>
      <c r="P32" s="165">
        <v>3</v>
      </c>
      <c r="Q32" s="171"/>
      <c r="R32">
        <v>8</v>
      </c>
    </row>
    <row r="33" spans="1:18" customFormat="1" ht="15" customHeight="1" x14ac:dyDescent="0.25">
      <c r="A33" s="168">
        <v>945766714</v>
      </c>
      <c r="B33" s="167" t="s">
        <v>1063</v>
      </c>
      <c r="C33" s="168">
        <v>30003913</v>
      </c>
      <c r="D33" s="167" t="s">
        <v>613</v>
      </c>
      <c r="E33" s="167" t="s">
        <v>827</v>
      </c>
      <c r="F33" s="167" t="s">
        <v>831</v>
      </c>
      <c r="G33" s="167" t="s">
        <v>1030</v>
      </c>
      <c r="H33" s="167" t="s">
        <v>1042</v>
      </c>
      <c r="I33" s="164">
        <f t="shared" ca="1" si="0"/>
        <v>44939</v>
      </c>
      <c r="J33" s="163">
        <v>0.375</v>
      </c>
      <c r="K33" s="162" t="s">
        <v>749</v>
      </c>
      <c r="L33" s="166"/>
      <c r="M33" s="166"/>
      <c r="N33" s="164"/>
      <c r="O33" s="166"/>
      <c r="P33" s="165">
        <v>1</v>
      </c>
      <c r="Q33" s="171"/>
      <c r="R33">
        <v>9</v>
      </c>
    </row>
    <row r="34" spans="1:18" customFormat="1" ht="15" customHeight="1" x14ac:dyDescent="0.25">
      <c r="A34" s="167">
        <v>945755914</v>
      </c>
      <c r="B34" s="167" t="s">
        <v>1064</v>
      </c>
      <c r="C34" s="167">
        <v>95559767</v>
      </c>
      <c r="D34" s="167" t="s">
        <v>611</v>
      </c>
      <c r="E34" s="167" t="s">
        <v>754</v>
      </c>
      <c r="F34" s="167" t="s">
        <v>753</v>
      </c>
      <c r="G34" s="167" t="s">
        <v>1030</v>
      </c>
      <c r="H34" s="167" t="s">
        <v>1042</v>
      </c>
      <c r="I34" s="164">
        <f t="shared" ca="1" si="0"/>
        <v>44939</v>
      </c>
      <c r="J34" s="163">
        <v>0.375</v>
      </c>
      <c r="K34" s="162" t="s">
        <v>749</v>
      </c>
      <c r="L34" s="166" t="s">
        <v>1022</v>
      </c>
      <c r="M34" s="166" t="s">
        <v>994</v>
      </c>
      <c r="N34" s="164"/>
      <c r="O34" s="166"/>
      <c r="P34" s="165">
        <v>5</v>
      </c>
      <c r="Q34" s="171"/>
      <c r="R34">
        <v>10</v>
      </c>
    </row>
    <row r="35" spans="1:18" customFormat="1" ht="15" customHeight="1" x14ac:dyDescent="0.25">
      <c r="A35" s="167">
        <v>945743459</v>
      </c>
      <c r="B35" s="167" t="s">
        <v>1065</v>
      </c>
      <c r="C35" s="167">
        <v>70762828</v>
      </c>
      <c r="D35" s="167" t="s">
        <v>613</v>
      </c>
      <c r="E35" s="167" t="s">
        <v>827</v>
      </c>
      <c r="F35" s="167" t="s">
        <v>831</v>
      </c>
      <c r="G35" s="167" t="s">
        <v>1030</v>
      </c>
      <c r="H35" s="167" t="s">
        <v>983</v>
      </c>
      <c r="I35" s="164">
        <f t="shared" ca="1" si="0"/>
        <v>44939</v>
      </c>
      <c r="J35" s="163">
        <v>0.375</v>
      </c>
      <c r="K35" s="162" t="s">
        <v>749</v>
      </c>
      <c r="L35" s="166"/>
      <c r="M35" s="166"/>
      <c r="N35" s="164"/>
      <c r="O35" s="166"/>
      <c r="P35" s="165">
        <v>1</v>
      </c>
      <c r="Q35" s="171"/>
    </row>
    <row r="36" spans="1:18" customFormat="1" ht="15" customHeight="1" x14ac:dyDescent="0.25">
      <c r="A36" s="167">
        <v>945731403</v>
      </c>
      <c r="B36" s="167" t="s">
        <v>1066</v>
      </c>
      <c r="C36" s="167">
        <v>40170318</v>
      </c>
      <c r="D36" s="167" t="s">
        <v>611</v>
      </c>
      <c r="E36" s="167" t="s">
        <v>857</v>
      </c>
      <c r="F36" s="167" t="s">
        <v>892</v>
      </c>
      <c r="G36" s="167" t="s">
        <v>1030</v>
      </c>
      <c r="H36" s="167" t="s">
        <v>1042</v>
      </c>
      <c r="I36" s="164">
        <f t="shared" ca="1" si="0"/>
        <v>44939</v>
      </c>
      <c r="J36" s="163">
        <v>0.375</v>
      </c>
      <c r="K36" s="162" t="s">
        <v>749</v>
      </c>
      <c r="L36" s="166" t="s">
        <v>1024</v>
      </c>
      <c r="M36" s="166" t="s">
        <v>930</v>
      </c>
      <c r="N36" s="164"/>
      <c r="O36" s="166"/>
      <c r="P36" s="165">
        <v>1</v>
      </c>
      <c r="Q36" s="171"/>
    </row>
    <row r="37" spans="1:18" customFormat="1" ht="15" customHeight="1" x14ac:dyDescent="0.25">
      <c r="A37" s="167">
        <v>945723272</v>
      </c>
      <c r="B37" s="167" t="s">
        <v>1067</v>
      </c>
      <c r="C37" s="167">
        <v>88157462</v>
      </c>
      <c r="D37" s="167" t="s">
        <v>611</v>
      </c>
      <c r="E37" s="167" t="s">
        <v>754</v>
      </c>
      <c r="F37" s="167" t="s">
        <v>753</v>
      </c>
      <c r="G37" s="167" t="s">
        <v>1030</v>
      </c>
      <c r="H37" s="167" t="s">
        <v>750</v>
      </c>
      <c r="I37" s="164">
        <f t="shared" ca="1" si="0"/>
        <v>44939</v>
      </c>
      <c r="J37" s="163">
        <v>0.375</v>
      </c>
      <c r="K37" s="162" t="s">
        <v>749</v>
      </c>
      <c r="L37" s="166" t="s">
        <v>1011</v>
      </c>
      <c r="M37" s="166" t="s">
        <v>987</v>
      </c>
      <c r="N37" s="164"/>
      <c r="O37" s="166"/>
      <c r="P37" s="165">
        <v>4</v>
      </c>
      <c r="Q37" s="171"/>
    </row>
    <row r="38" spans="1:18" customFormat="1" ht="15" customHeight="1" x14ac:dyDescent="0.25">
      <c r="A38" s="167">
        <v>945714139</v>
      </c>
      <c r="B38" s="167" t="s">
        <v>1068</v>
      </c>
      <c r="C38" s="167">
        <v>37833585</v>
      </c>
      <c r="D38" s="167" t="s">
        <v>611</v>
      </c>
      <c r="E38" s="167" t="s">
        <v>754</v>
      </c>
      <c r="F38" s="167" t="s">
        <v>753</v>
      </c>
      <c r="G38" s="167" t="s">
        <v>1030</v>
      </c>
      <c r="H38" s="167" t="s">
        <v>1042</v>
      </c>
      <c r="I38" s="164">
        <f t="shared" ca="1" si="0"/>
        <v>44939</v>
      </c>
      <c r="J38" s="163">
        <v>0.375</v>
      </c>
      <c r="K38" s="162" t="s">
        <v>749</v>
      </c>
      <c r="L38" s="166" t="s">
        <v>1022</v>
      </c>
      <c r="M38" s="166" t="s">
        <v>994</v>
      </c>
      <c r="N38" s="164"/>
      <c r="O38" s="166"/>
      <c r="P38" s="165">
        <v>3</v>
      </c>
      <c r="Q38" s="171"/>
    </row>
    <row r="39" spans="1:18" customFormat="1" ht="15" customHeight="1" x14ac:dyDescent="0.25">
      <c r="A39" s="167">
        <v>945289976</v>
      </c>
      <c r="B39" s="167" t="s">
        <v>1069</v>
      </c>
      <c r="C39" s="167">
        <v>9223861</v>
      </c>
      <c r="D39" s="167" t="s">
        <v>611</v>
      </c>
      <c r="E39" s="167" t="s">
        <v>754</v>
      </c>
      <c r="F39" s="167" t="s">
        <v>753</v>
      </c>
      <c r="G39" s="167" t="s">
        <v>1030</v>
      </c>
      <c r="H39" s="167" t="s">
        <v>750</v>
      </c>
      <c r="I39" s="164">
        <f t="shared" ca="1" si="0"/>
        <v>44939</v>
      </c>
      <c r="J39" s="163">
        <v>0.375</v>
      </c>
      <c r="K39" s="162" t="s">
        <v>749</v>
      </c>
      <c r="L39" s="166" t="s">
        <v>1019</v>
      </c>
      <c r="M39" s="166" t="s">
        <v>880</v>
      </c>
      <c r="N39" s="164"/>
      <c r="O39" s="166"/>
      <c r="P39" s="165">
        <v>3</v>
      </c>
      <c r="Q39" s="171"/>
    </row>
    <row r="40" spans="1:18" customFormat="1" ht="15" customHeight="1" x14ac:dyDescent="0.25">
      <c r="A40" s="167">
        <v>945554827</v>
      </c>
      <c r="B40" s="167" t="s">
        <v>1070</v>
      </c>
      <c r="C40" s="167">
        <v>86759491</v>
      </c>
      <c r="D40" s="167" t="s">
        <v>611</v>
      </c>
      <c r="E40" s="167" t="s">
        <v>754</v>
      </c>
      <c r="F40" s="167" t="s">
        <v>753</v>
      </c>
      <c r="G40" s="167" t="s">
        <v>1030</v>
      </c>
      <c r="H40" s="167" t="s">
        <v>750</v>
      </c>
      <c r="I40" s="164">
        <f t="shared" ca="1" si="0"/>
        <v>44939</v>
      </c>
      <c r="J40" s="163">
        <v>0.375</v>
      </c>
      <c r="K40" s="162" t="s">
        <v>749</v>
      </c>
      <c r="L40" s="166" t="s">
        <v>1022</v>
      </c>
      <c r="M40" s="166" t="s">
        <v>1007</v>
      </c>
      <c r="N40" s="164"/>
      <c r="O40" s="166"/>
      <c r="P40" s="165">
        <v>3</v>
      </c>
      <c r="Q40" s="171"/>
    </row>
    <row r="41" spans="1:18" customFormat="1" ht="15" customHeight="1" x14ac:dyDescent="0.25">
      <c r="A41" s="167">
        <v>945203188</v>
      </c>
      <c r="B41" s="167" t="s">
        <v>1052</v>
      </c>
      <c r="C41" s="167">
        <v>9336176</v>
      </c>
      <c r="D41" s="167" t="s">
        <v>611</v>
      </c>
      <c r="E41" s="167" t="s">
        <v>754</v>
      </c>
      <c r="F41" s="167" t="s">
        <v>753</v>
      </c>
      <c r="G41" s="167" t="s">
        <v>1030</v>
      </c>
      <c r="H41" s="167" t="s">
        <v>750</v>
      </c>
      <c r="I41" s="164">
        <f t="shared" ca="1" si="0"/>
        <v>44939</v>
      </c>
      <c r="J41" s="163">
        <v>0.375</v>
      </c>
      <c r="K41" s="162" t="s">
        <v>749</v>
      </c>
      <c r="L41" s="166" t="s">
        <v>1019</v>
      </c>
      <c r="M41" s="166" t="s">
        <v>859</v>
      </c>
      <c r="N41" s="164"/>
      <c r="O41" s="166"/>
      <c r="P41" s="165">
        <v>4</v>
      </c>
      <c r="Q41" s="171"/>
    </row>
    <row r="42" spans="1:18" customFormat="1" ht="15" customHeight="1" x14ac:dyDescent="0.25">
      <c r="A42" s="168">
        <v>943968906</v>
      </c>
      <c r="B42" s="167" t="s">
        <v>1071</v>
      </c>
      <c r="C42" s="168">
        <v>43643447</v>
      </c>
      <c r="D42" s="167" t="s">
        <v>611</v>
      </c>
      <c r="E42" s="167" t="s">
        <v>754</v>
      </c>
      <c r="F42" s="167" t="s">
        <v>753</v>
      </c>
      <c r="G42" s="167" t="s">
        <v>1030</v>
      </c>
      <c r="H42" s="167" t="s">
        <v>750</v>
      </c>
      <c r="I42" s="164">
        <f t="shared" ca="1" si="0"/>
        <v>44939</v>
      </c>
      <c r="J42" s="163">
        <v>0.375</v>
      </c>
      <c r="K42" s="162" t="s">
        <v>749</v>
      </c>
      <c r="L42" s="166" t="s">
        <v>1022</v>
      </c>
      <c r="M42" s="166" t="s">
        <v>994</v>
      </c>
      <c r="N42" s="164"/>
      <c r="O42" s="166"/>
      <c r="P42" s="165">
        <v>4</v>
      </c>
      <c r="Q42" s="171"/>
    </row>
    <row r="43" spans="1:18" customFormat="1" ht="15" customHeight="1" x14ac:dyDescent="0.25">
      <c r="A43" s="168">
        <v>944984635</v>
      </c>
      <c r="B43" s="167" t="s">
        <v>1053</v>
      </c>
      <c r="C43" s="168">
        <v>46699917</v>
      </c>
      <c r="D43" s="167" t="s">
        <v>611</v>
      </c>
      <c r="E43" s="167" t="s">
        <v>857</v>
      </c>
      <c r="F43" s="167" t="s">
        <v>892</v>
      </c>
      <c r="G43" s="167" t="s">
        <v>1030</v>
      </c>
      <c r="H43" s="167" t="s">
        <v>750</v>
      </c>
      <c r="I43" s="164">
        <f t="shared" ca="1" si="0"/>
        <v>44939</v>
      </c>
      <c r="J43" s="163">
        <v>0.375</v>
      </c>
      <c r="K43" s="162" t="s">
        <v>749</v>
      </c>
      <c r="L43" s="166" t="s">
        <v>1015</v>
      </c>
      <c r="M43" s="166" t="s">
        <v>844</v>
      </c>
      <c r="N43" s="164"/>
      <c r="O43" s="166"/>
      <c r="P43" s="165">
        <v>1</v>
      </c>
      <c r="Q43" s="171"/>
    </row>
    <row r="44" spans="1:18" customFormat="1" ht="15" customHeight="1" x14ac:dyDescent="0.25">
      <c r="A44" s="168">
        <v>944265574</v>
      </c>
      <c r="B44" s="167" t="s">
        <v>1062</v>
      </c>
      <c r="C44" s="168">
        <v>62147125</v>
      </c>
      <c r="D44" s="167" t="s">
        <v>613</v>
      </c>
      <c r="E44" s="167" t="s">
        <v>827</v>
      </c>
      <c r="F44" s="167" t="s">
        <v>828</v>
      </c>
      <c r="G44" s="167" t="s">
        <v>1030</v>
      </c>
      <c r="H44" s="167" t="s">
        <v>1051</v>
      </c>
      <c r="I44" s="164">
        <f t="shared" ca="1" si="0"/>
        <v>44939</v>
      </c>
      <c r="J44" s="163">
        <v>0.375</v>
      </c>
      <c r="K44" s="162" t="s">
        <v>749</v>
      </c>
      <c r="L44" s="166"/>
      <c r="M44" s="166"/>
      <c r="N44" s="164"/>
      <c r="O44" s="166"/>
      <c r="P44" s="165">
        <v>1</v>
      </c>
      <c r="Q44" s="171"/>
    </row>
    <row r="45" spans="1:18" customFormat="1" ht="15" customHeight="1" x14ac:dyDescent="0.25">
      <c r="A45" s="168">
        <v>945320611</v>
      </c>
      <c r="B45" s="167" t="s">
        <v>1072</v>
      </c>
      <c r="C45" s="168">
        <v>26307405</v>
      </c>
      <c r="D45" s="167" t="s">
        <v>613</v>
      </c>
      <c r="E45" s="167" t="s">
        <v>827</v>
      </c>
      <c r="F45" s="167" t="s">
        <v>831</v>
      </c>
      <c r="G45" s="167" t="s">
        <v>1030</v>
      </c>
      <c r="H45" s="167" t="s">
        <v>750</v>
      </c>
      <c r="I45" s="164">
        <f t="shared" ca="1" si="0"/>
        <v>44939</v>
      </c>
      <c r="J45" s="163">
        <v>0.375</v>
      </c>
      <c r="K45" s="162" t="s">
        <v>749</v>
      </c>
      <c r="L45" s="166"/>
      <c r="M45" s="166"/>
      <c r="N45" s="164"/>
      <c r="O45" s="166"/>
      <c r="P45" s="165">
        <v>1</v>
      </c>
      <c r="Q45" s="171"/>
    </row>
    <row r="46" spans="1:18" customFormat="1" ht="15" customHeight="1" x14ac:dyDescent="0.25">
      <c r="A46" s="168">
        <v>945317568</v>
      </c>
      <c r="B46" s="167" t="s">
        <v>1073</v>
      </c>
      <c r="C46" s="168">
        <v>65578536</v>
      </c>
      <c r="D46" s="167" t="s">
        <v>611</v>
      </c>
      <c r="E46" s="167" t="s">
        <v>754</v>
      </c>
      <c r="F46" s="167" t="s">
        <v>753</v>
      </c>
      <c r="G46" s="167" t="s">
        <v>1030</v>
      </c>
      <c r="H46" s="167" t="s">
        <v>750</v>
      </c>
      <c r="I46" s="164">
        <f t="shared" ca="1" si="0"/>
        <v>44939</v>
      </c>
      <c r="J46" s="163">
        <v>0.375</v>
      </c>
      <c r="K46" s="162" t="s">
        <v>749</v>
      </c>
      <c r="L46" s="166" t="s">
        <v>1016</v>
      </c>
      <c r="M46" s="166" t="s">
        <v>988</v>
      </c>
      <c r="N46" s="164">
        <v>44891</v>
      </c>
      <c r="O46" s="166"/>
      <c r="P46" s="165">
        <v>3</v>
      </c>
      <c r="Q46" s="171"/>
    </row>
    <row r="47" spans="1:18" customFormat="1" ht="15" customHeight="1" x14ac:dyDescent="0.25">
      <c r="A47" s="168">
        <v>945475932</v>
      </c>
      <c r="B47" s="167" t="s">
        <v>1074</v>
      </c>
      <c r="C47" s="168">
        <v>90740479</v>
      </c>
      <c r="D47" s="167" t="s">
        <v>613</v>
      </c>
      <c r="E47" s="167" t="s">
        <v>827</v>
      </c>
      <c r="F47" s="167" t="s">
        <v>834</v>
      </c>
      <c r="G47" s="167" t="s">
        <v>1030</v>
      </c>
      <c r="H47" s="167" t="s">
        <v>1051</v>
      </c>
      <c r="I47" s="164">
        <f t="shared" ca="1" si="0"/>
        <v>44939</v>
      </c>
      <c r="J47" s="163">
        <v>0.375</v>
      </c>
      <c r="K47" s="162" t="s">
        <v>749</v>
      </c>
      <c r="L47" s="166"/>
      <c r="M47" s="166"/>
      <c r="N47" s="164"/>
      <c r="O47" s="166"/>
      <c r="P47" s="165">
        <v>1</v>
      </c>
      <c r="Q47" s="171"/>
    </row>
    <row r="48" spans="1:18" customFormat="1" ht="15" customHeight="1" x14ac:dyDescent="0.25">
      <c r="A48" s="168">
        <v>945432940</v>
      </c>
      <c r="B48" s="167" t="s">
        <v>1050</v>
      </c>
      <c r="C48" s="168">
        <v>38503278</v>
      </c>
      <c r="D48" s="167" t="s">
        <v>613</v>
      </c>
      <c r="E48" s="167" t="s">
        <v>827</v>
      </c>
      <c r="F48" s="167" t="s">
        <v>831</v>
      </c>
      <c r="G48" s="167" t="s">
        <v>1030</v>
      </c>
      <c r="H48" s="167" t="s">
        <v>750</v>
      </c>
      <c r="I48" s="164">
        <f t="shared" ca="1" si="0"/>
        <v>44939</v>
      </c>
      <c r="J48" s="163">
        <v>0.375</v>
      </c>
      <c r="K48" s="162" t="s">
        <v>749</v>
      </c>
      <c r="L48" s="166"/>
      <c r="M48" s="166"/>
      <c r="N48" s="164"/>
      <c r="O48" s="166"/>
      <c r="P48" s="165">
        <v>1</v>
      </c>
      <c r="Q48" s="171"/>
    </row>
    <row r="49" spans="1:17" customFormat="1" ht="15" customHeight="1" x14ac:dyDescent="0.25">
      <c r="A49" s="168">
        <v>943895150</v>
      </c>
      <c r="B49" s="167" t="s">
        <v>1071</v>
      </c>
      <c r="C49" s="168">
        <v>90682402</v>
      </c>
      <c r="D49" s="167" t="s">
        <v>613</v>
      </c>
      <c r="E49" s="167" t="s">
        <v>827</v>
      </c>
      <c r="F49" s="167" t="s">
        <v>834</v>
      </c>
      <c r="G49" s="167" t="s">
        <v>1030</v>
      </c>
      <c r="H49" s="167" t="s">
        <v>750</v>
      </c>
      <c r="I49" s="164">
        <f t="shared" ca="1" si="0"/>
        <v>44939</v>
      </c>
      <c r="J49" s="163">
        <v>0.375</v>
      </c>
      <c r="K49" s="162" t="s">
        <v>749</v>
      </c>
      <c r="L49" s="166"/>
      <c r="M49" s="166"/>
      <c r="N49" s="164"/>
      <c r="O49" s="166"/>
      <c r="P49" s="165">
        <v>1</v>
      </c>
      <c r="Q49" s="171"/>
    </row>
    <row r="50" spans="1:17" customFormat="1" ht="15" customHeight="1" x14ac:dyDescent="0.25">
      <c r="A50" s="168">
        <v>945651701</v>
      </c>
      <c r="B50" s="167" t="s">
        <v>1079</v>
      </c>
      <c r="C50" s="168">
        <v>65733616</v>
      </c>
      <c r="D50" s="167" t="s">
        <v>611</v>
      </c>
      <c r="E50" s="167" t="s">
        <v>754</v>
      </c>
      <c r="F50" s="167" t="s">
        <v>753</v>
      </c>
      <c r="G50" s="167" t="s">
        <v>1030</v>
      </c>
      <c r="H50" s="167" t="s">
        <v>1085</v>
      </c>
      <c r="I50" s="164">
        <f t="shared" ca="1" si="0"/>
        <v>44939</v>
      </c>
      <c r="J50" s="163">
        <v>0.375</v>
      </c>
      <c r="K50" s="162" t="s">
        <v>749</v>
      </c>
      <c r="L50" s="166" t="s">
        <v>1011</v>
      </c>
      <c r="M50" s="166" t="s">
        <v>899</v>
      </c>
      <c r="N50" s="164"/>
      <c r="O50" s="166"/>
      <c r="P50" s="165">
        <v>1</v>
      </c>
      <c r="Q50" s="171"/>
    </row>
    <row r="51" spans="1:17" customFormat="1" ht="15" customHeight="1" x14ac:dyDescent="0.25">
      <c r="A51" s="167">
        <v>945653797</v>
      </c>
      <c r="B51" s="167" t="s">
        <v>1078</v>
      </c>
      <c r="C51" s="167">
        <v>96807375</v>
      </c>
      <c r="D51" s="167" t="s">
        <v>613</v>
      </c>
      <c r="E51" s="167" t="s">
        <v>827</v>
      </c>
      <c r="F51" s="167" t="s">
        <v>831</v>
      </c>
      <c r="G51" s="167" t="s">
        <v>1083</v>
      </c>
      <c r="H51" s="167" t="s">
        <v>1084</v>
      </c>
      <c r="I51" s="164">
        <f t="shared" ca="1" si="0"/>
        <v>44939</v>
      </c>
      <c r="J51" s="163">
        <v>0.375</v>
      </c>
      <c r="K51" s="162" t="s">
        <v>749</v>
      </c>
      <c r="L51" s="166"/>
      <c r="M51" s="166"/>
      <c r="N51" s="164"/>
      <c r="O51" s="166"/>
      <c r="P51" s="165">
        <v>1</v>
      </c>
      <c r="Q51" s="171"/>
    </row>
    <row r="52" spans="1:17" customFormat="1" ht="15" customHeight="1" x14ac:dyDescent="0.25">
      <c r="A52" s="167">
        <v>945655320</v>
      </c>
      <c r="B52" s="167" t="s">
        <v>1077</v>
      </c>
      <c r="C52" s="167">
        <v>12436948</v>
      </c>
      <c r="D52" s="167" t="s">
        <v>611</v>
      </c>
      <c r="E52" s="167" t="s">
        <v>754</v>
      </c>
      <c r="F52" s="167" t="s">
        <v>753</v>
      </c>
      <c r="G52" s="167" t="s">
        <v>1030</v>
      </c>
      <c r="H52" s="167" t="s">
        <v>750</v>
      </c>
      <c r="I52" s="164">
        <f t="shared" ca="1" si="0"/>
        <v>44939</v>
      </c>
      <c r="J52" s="163">
        <v>0.375</v>
      </c>
      <c r="K52" s="162" t="s">
        <v>749</v>
      </c>
      <c r="L52" s="166"/>
      <c r="M52" s="166"/>
      <c r="N52" s="164"/>
      <c r="O52" s="166"/>
      <c r="P52" s="165">
        <v>1</v>
      </c>
      <c r="Q52" s="171"/>
    </row>
    <row r="53" spans="1:17" customFormat="1" ht="15" customHeight="1" x14ac:dyDescent="0.25">
      <c r="A53" s="168">
        <v>945660774</v>
      </c>
      <c r="B53" s="167" t="s">
        <v>1076</v>
      </c>
      <c r="C53" s="168">
        <v>72224757</v>
      </c>
      <c r="D53" s="167" t="s">
        <v>611</v>
      </c>
      <c r="E53" s="167" t="s">
        <v>754</v>
      </c>
      <c r="F53" s="167" t="s">
        <v>753</v>
      </c>
      <c r="G53" s="167" t="s">
        <v>1030</v>
      </c>
      <c r="H53" s="167" t="s">
        <v>750</v>
      </c>
      <c r="I53" s="164">
        <f t="shared" ca="1" si="0"/>
        <v>44939</v>
      </c>
      <c r="J53" s="163">
        <v>0.375</v>
      </c>
      <c r="K53" s="162" t="s">
        <v>749</v>
      </c>
      <c r="L53" s="166" t="s">
        <v>1011</v>
      </c>
      <c r="M53" s="166" t="s">
        <v>987</v>
      </c>
      <c r="N53" s="164"/>
      <c r="O53" s="166"/>
      <c r="P53" s="165">
        <v>5</v>
      </c>
      <c r="Q53" s="171"/>
    </row>
    <row r="54" spans="1:17" customFormat="1" ht="15" customHeight="1" x14ac:dyDescent="0.25">
      <c r="A54" s="168">
        <v>945669225</v>
      </c>
      <c r="B54" s="167" t="s">
        <v>1075</v>
      </c>
      <c r="C54" s="168">
        <v>77549467</v>
      </c>
      <c r="D54" s="167" t="s">
        <v>1010</v>
      </c>
      <c r="E54" s="167" t="s">
        <v>612</v>
      </c>
      <c r="F54" s="167" t="s">
        <v>1009</v>
      </c>
      <c r="G54" s="167" t="s">
        <v>1081</v>
      </c>
      <c r="H54" s="167" t="s">
        <v>1082</v>
      </c>
      <c r="I54" s="164">
        <f t="shared" ref="I54:I87" ca="1" si="1">TODAY()</f>
        <v>44939</v>
      </c>
      <c r="J54" s="163">
        <v>0.375</v>
      </c>
      <c r="K54" s="162" t="s">
        <v>749</v>
      </c>
      <c r="L54" s="166" t="s">
        <v>1024</v>
      </c>
      <c r="M54" s="166" t="s">
        <v>995</v>
      </c>
      <c r="N54" s="164"/>
      <c r="O54" s="166"/>
      <c r="P54" s="165">
        <v>1</v>
      </c>
      <c r="Q54" s="171"/>
    </row>
    <row r="55" spans="1:17" customFormat="1" ht="15" customHeight="1" x14ac:dyDescent="0.25">
      <c r="A55" s="168">
        <v>945609859</v>
      </c>
      <c r="B55" s="167" t="s">
        <v>1080</v>
      </c>
      <c r="C55" s="167">
        <v>98004423</v>
      </c>
      <c r="D55" s="167" t="s">
        <v>613</v>
      </c>
      <c r="E55" s="167" t="s">
        <v>827</v>
      </c>
      <c r="F55" s="167" t="s">
        <v>831</v>
      </c>
      <c r="G55" s="167" t="s">
        <v>1030</v>
      </c>
      <c r="H55" s="167" t="s">
        <v>1042</v>
      </c>
      <c r="I55" s="164">
        <f t="shared" ca="1" si="1"/>
        <v>44939</v>
      </c>
      <c r="J55" s="163">
        <v>0.375</v>
      </c>
      <c r="K55" s="162" t="s">
        <v>749</v>
      </c>
      <c r="L55" s="166"/>
      <c r="M55" s="166"/>
      <c r="N55" s="164"/>
      <c r="O55" s="166"/>
      <c r="P55" s="165">
        <v>1</v>
      </c>
      <c r="Q55" s="171"/>
    </row>
    <row r="56" spans="1:17" customFormat="1" ht="15" customHeight="1" x14ac:dyDescent="0.25">
      <c r="A56" s="168"/>
      <c r="B56" s="167"/>
      <c r="C56" s="167"/>
      <c r="D56" s="167"/>
      <c r="E56" s="167"/>
      <c r="F56" s="167"/>
      <c r="G56" s="167"/>
      <c r="H56" s="167"/>
      <c r="I56" s="164">
        <f t="shared" ca="1" si="1"/>
        <v>44939</v>
      </c>
      <c r="J56" s="163">
        <v>0.375</v>
      </c>
      <c r="K56" s="162" t="s">
        <v>749</v>
      </c>
      <c r="L56" s="166"/>
      <c r="M56" s="166"/>
      <c r="N56" s="164"/>
      <c r="O56" s="166"/>
      <c r="P56" s="165"/>
      <c r="Q56" s="171"/>
    </row>
    <row r="57" spans="1:17" customFormat="1" ht="15" customHeight="1" x14ac:dyDescent="0.25">
      <c r="A57" s="168"/>
      <c r="B57" s="167"/>
      <c r="C57" s="168"/>
      <c r="D57" s="167"/>
      <c r="E57" s="167"/>
      <c r="F57" s="167"/>
      <c r="G57" s="167"/>
      <c r="H57" s="167"/>
      <c r="I57" s="164">
        <f t="shared" ca="1" si="1"/>
        <v>44939</v>
      </c>
      <c r="J57" s="163">
        <v>0.375</v>
      </c>
      <c r="K57" s="162" t="s">
        <v>749</v>
      </c>
      <c r="L57" s="166"/>
      <c r="M57" s="166"/>
      <c r="N57" s="164"/>
      <c r="O57" s="166"/>
      <c r="P57" s="165"/>
      <c r="Q57" s="171"/>
    </row>
    <row r="58" spans="1:17" customFormat="1" ht="15" customHeight="1" x14ac:dyDescent="0.25">
      <c r="A58" s="168"/>
      <c r="B58" s="167"/>
      <c r="C58" s="168"/>
      <c r="D58" s="167"/>
      <c r="E58" s="167"/>
      <c r="F58" s="167"/>
      <c r="G58" s="167"/>
      <c r="H58" s="167"/>
      <c r="I58" s="164">
        <f t="shared" ca="1" si="1"/>
        <v>44939</v>
      </c>
      <c r="J58" s="163">
        <v>0.375</v>
      </c>
      <c r="K58" s="162" t="s">
        <v>749</v>
      </c>
      <c r="L58" s="166"/>
      <c r="M58" s="166"/>
      <c r="N58" s="164"/>
      <c r="O58" s="166"/>
      <c r="P58" s="165"/>
      <c r="Q58" s="171"/>
    </row>
    <row r="59" spans="1:17" customFormat="1" ht="15" customHeight="1" x14ac:dyDescent="0.25">
      <c r="A59" s="168"/>
      <c r="B59" s="167"/>
      <c r="C59" s="168"/>
      <c r="D59" s="167"/>
      <c r="E59" s="167"/>
      <c r="F59" s="167"/>
      <c r="G59" s="167"/>
      <c r="H59" s="167"/>
      <c r="I59" s="164">
        <f t="shared" ca="1" si="1"/>
        <v>44939</v>
      </c>
      <c r="J59" s="163">
        <v>0.375</v>
      </c>
      <c r="K59" s="162" t="s">
        <v>749</v>
      </c>
      <c r="L59" s="166"/>
      <c r="M59" s="166"/>
      <c r="N59" s="164"/>
      <c r="O59" s="166"/>
      <c r="P59" s="165"/>
      <c r="Q59" s="171"/>
    </row>
    <row r="60" spans="1:17" customFormat="1" ht="15" customHeight="1" x14ac:dyDescent="0.25">
      <c r="A60" s="168"/>
      <c r="B60" s="167"/>
      <c r="C60" s="168"/>
      <c r="D60" s="167"/>
      <c r="E60" s="167"/>
      <c r="F60" s="167"/>
      <c r="G60" s="167"/>
      <c r="H60" s="167"/>
      <c r="I60" s="164">
        <f t="shared" ca="1" si="1"/>
        <v>44939</v>
      </c>
      <c r="J60" s="163">
        <v>0.375</v>
      </c>
      <c r="K60" s="162" t="s">
        <v>749</v>
      </c>
      <c r="L60" s="166"/>
      <c r="M60" s="166"/>
      <c r="N60" s="164"/>
      <c r="O60" s="166"/>
      <c r="P60" s="165"/>
      <c r="Q60" s="171"/>
    </row>
    <row r="61" spans="1:17" customFormat="1" ht="15" customHeight="1" x14ac:dyDescent="0.25">
      <c r="A61" s="168"/>
      <c r="B61" s="167"/>
      <c r="C61" s="168"/>
      <c r="D61" s="167"/>
      <c r="E61" s="167"/>
      <c r="F61" s="167"/>
      <c r="G61" s="167"/>
      <c r="H61" s="167"/>
      <c r="I61" s="164">
        <f t="shared" ca="1" si="1"/>
        <v>44939</v>
      </c>
      <c r="J61" s="163">
        <v>0.375</v>
      </c>
      <c r="K61" s="162" t="s">
        <v>749</v>
      </c>
      <c r="L61" s="166"/>
      <c r="M61" s="166"/>
      <c r="N61" s="164"/>
      <c r="O61" s="166"/>
      <c r="P61" s="165"/>
      <c r="Q61" s="171"/>
    </row>
    <row r="62" spans="1:17" customFormat="1" ht="15" customHeight="1" x14ac:dyDescent="0.25">
      <c r="A62" s="168"/>
      <c r="B62" s="167"/>
      <c r="C62" s="168"/>
      <c r="D62" s="167"/>
      <c r="E62" s="167"/>
      <c r="F62" s="167"/>
      <c r="G62" s="167"/>
      <c r="H62" s="167"/>
      <c r="I62" s="164">
        <f t="shared" ca="1" si="1"/>
        <v>44939</v>
      </c>
      <c r="J62" s="163">
        <v>0.375</v>
      </c>
      <c r="K62" s="162" t="s">
        <v>749</v>
      </c>
      <c r="L62" s="166"/>
      <c r="M62" s="166"/>
      <c r="N62" s="164"/>
      <c r="O62" s="166"/>
      <c r="P62" s="165"/>
      <c r="Q62" s="171"/>
    </row>
    <row r="63" spans="1:17" customFormat="1" ht="15" customHeight="1" x14ac:dyDescent="0.25">
      <c r="A63" s="167"/>
      <c r="B63" s="167"/>
      <c r="C63" s="167"/>
      <c r="D63" s="167"/>
      <c r="E63" s="167"/>
      <c r="F63" s="167"/>
      <c r="G63" s="167"/>
      <c r="H63" s="167"/>
      <c r="I63" s="164">
        <f t="shared" ca="1" si="1"/>
        <v>44939</v>
      </c>
      <c r="J63" s="163">
        <v>0.375</v>
      </c>
      <c r="K63" s="162" t="s">
        <v>749</v>
      </c>
      <c r="L63" s="166"/>
      <c r="M63" s="166"/>
      <c r="N63" s="164"/>
      <c r="O63" s="166"/>
      <c r="P63" s="165"/>
      <c r="Q63" s="171"/>
    </row>
    <row r="64" spans="1:17" customFormat="1" ht="15" customHeight="1" x14ac:dyDescent="0.25">
      <c r="A64" s="167"/>
      <c r="B64" s="167"/>
      <c r="C64" s="167"/>
      <c r="D64" s="167"/>
      <c r="E64" s="167"/>
      <c r="F64" s="167"/>
      <c r="G64" s="167"/>
      <c r="H64" s="167"/>
      <c r="I64" s="164">
        <f t="shared" ca="1" si="1"/>
        <v>44939</v>
      </c>
      <c r="J64" s="163">
        <v>0.375</v>
      </c>
      <c r="K64" s="162" t="s">
        <v>749</v>
      </c>
      <c r="L64" s="166"/>
      <c r="M64" s="166"/>
      <c r="N64" s="164"/>
      <c r="O64" s="166"/>
      <c r="P64" s="165"/>
      <c r="Q64" s="171"/>
    </row>
    <row r="65" spans="1:17" customFormat="1" ht="15" customHeight="1" x14ac:dyDescent="0.25">
      <c r="A65" s="168"/>
      <c r="B65" s="167"/>
      <c r="C65" s="168"/>
      <c r="D65" s="167"/>
      <c r="E65" s="167"/>
      <c r="F65" s="167"/>
      <c r="G65" s="167"/>
      <c r="H65" s="167"/>
      <c r="I65" s="164">
        <f t="shared" ca="1" si="1"/>
        <v>44939</v>
      </c>
      <c r="J65" s="163">
        <v>0.375</v>
      </c>
      <c r="K65" s="162" t="s">
        <v>749</v>
      </c>
      <c r="L65" s="166"/>
      <c r="M65" s="166"/>
      <c r="N65" s="164"/>
      <c r="O65" s="166"/>
      <c r="P65" s="165"/>
      <c r="Q65" s="171"/>
    </row>
    <row r="66" spans="1:17" customFormat="1" ht="15" customHeight="1" x14ac:dyDescent="0.25">
      <c r="A66" s="168"/>
      <c r="B66" s="167"/>
      <c r="C66" s="168"/>
      <c r="D66" s="167"/>
      <c r="E66" s="167"/>
      <c r="F66" s="167"/>
      <c r="G66" s="167"/>
      <c r="H66" s="167"/>
      <c r="I66" s="164">
        <f t="shared" ca="1" si="1"/>
        <v>44939</v>
      </c>
      <c r="J66" s="163">
        <v>0.375</v>
      </c>
      <c r="K66" s="162" t="s">
        <v>749</v>
      </c>
      <c r="L66" s="166"/>
      <c r="M66" s="166"/>
      <c r="N66" s="164"/>
      <c r="O66" s="166"/>
      <c r="P66" s="165"/>
      <c r="Q66" s="171"/>
    </row>
    <row r="67" spans="1:17" customFormat="1" ht="15" customHeight="1" x14ac:dyDescent="0.25">
      <c r="A67" s="168"/>
      <c r="B67" s="167"/>
      <c r="C67" s="168"/>
      <c r="D67" s="167"/>
      <c r="E67" s="167"/>
      <c r="F67" s="167"/>
      <c r="G67" s="167"/>
      <c r="H67" s="167"/>
      <c r="I67" s="164">
        <f t="shared" ca="1" si="1"/>
        <v>44939</v>
      </c>
      <c r="J67" s="163">
        <v>0.375</v>
      </c>
      <c r="K67" s="162" t="s">
        <v>749</v>
      </c>
      <c r="L67" s="166"/>
      <c r="M67" s="166"/>
      <c r="N67" s="164"/>
      <c r="O67" s="166"/>
      <c r="P67" s="165"/>
      <c r="Q67" s="171"/>
    </row>
    <row r="68" spans="1:17" customFormat="1" ht="15" customHeight="1" x14ac:dyDescent="0.25">
      <c r="A68" s="168"/>
      <c r="B68" s="167"/>
      <c r="C68" s="168"/>
      <c r="D68" s="167"/>
      <c r="E68" s="167"/>
      <c r="F68" s="167"/>
      <c r="G68" s="167"/>
      <c r="H68" s="167"/>
      <c r="I68" s="164">
        <f t="shared" ca="1" si="1"/>
        <v>44939</v>
      </c>
      <c r="J68" s="163">
        <v>0.375</v>
      </c>
      <c r="K68" s="162" t="s">
        <v>749</v>
      </c>
      <c r="L68" s="166"/>
      <c r="M68" s="166"/>
      <c r="N68" s="164"/>
      <c r="O68" s="166"/>
      <c r="P68" s="165"/>
      <c r="Q68" s="171"/>
    </row>
    <row r="69" spans="1:17" customFormat="1" ht="15" customHeight="1" x14ac:dyDescent="0.25">
      <c r="A69" s="168"/>
      <c r="B69" s="167"/>
      <c r="C69" s="168"/>
      <c r="D69" s="167"/>
      <c r="E69" s="167"/>
      <c r="F69" s="167"/>
      <c r="G69" s="167"/>
      <c r="H69" s="167"/>
      <c r="I69" s="164">
        <f t="shared" ca="1" si="1"/>
        <v>44939</v>
      </c>
      <c r="J69" s="163">
        <v>0.33333333333333331</v>
      </c>
      <c r="K69" s="162" t="s">
        <v>749</v>
      </c>
      <c r="L69" s="166"/>
      <c r="M69" s="166"/>
      <c r="N69" s="164"/>
      <c r="O69" s="166"/>
      <c r="P69" s="165"/>
      <c r="Q69" s="171"/>
    </row>
    <row r="70" spans="1:17" customFormat="1" ht="15" customHeight="1" x14ac:dyDescent="0.25">
      <c r="A70" s="168"/>
      <c r="B70" s="167"/>
      <c r="C70" s="168"/>
      <c r="D70" s="167"/>
      <c r="E70" s="167"/>
      <c r="F70" s="167"/>
      <c r="G70" s="167"/>
      <c r="H70" s="167"/>
      <c r="I70" s="164">
        <f t="shared" ca="1" si="1"/>
        <v>44939</v>
      </c>
      <c r="J70" s="163">
        <v>0.33333333333333331</v>
      </c>
      <c r="K70" s="162" t="s">
        <v>749</v>
      </c>
      <c r="L70" s="166"/>
      <c r="M70" s="166"/>
      <c r="N70" s="164"/>
      <c r="O70" s="166"/>
      <c r="P70" s="165"/>
      <c r="Q70" s="171"/>
    </row>
    <row r="71" spans="1:17" customFormat="1" ht="15" customHeight="1" x14ac:dyDescent="0.25">
      <c r="A71" s="168"/>
      <c r="B71" s="167"/>
      <c r="C71" s="168"/>
      <c r="D71" s="167"/>
      <c r="E71" s="167"/>
      <c r="F71" s="167"/>
      <c r="G71" s="167"/>
      <c r="H71" s="167"/>
      <c r="I71" s="164">
        <f t="shared" ca="1" si="1"/>
        <v>44939</v>
      </c>
      <c r="J71" s="163">
        <v>0.33333333333333331</v>
      </c>
      <c r="K71" s="162" t="s">
        <v>749</v>
      </c>
      <c r="L71" s="166"/>
      <c r="M71" s="166"/>
      <c r="N71" s="164"/>
      <c r="O71" s="166"/>
      <c r="P71" s="165"/>
      <c r="Q71" s="171"/>
    </row>
    <row r="72" spans="1:17" customFormat="1" ht="15" customHeight="1" x14ac:dyDescent="0.25">
      <c r="A72" s="168"/>
      <c r="B72" s="167"/>
      <c r="C72" s="168"/>
      <c r="D72" s="167"/>
      <c r="E72" s="167"/>
      <c r="F72" s="167"/>
      <c r="G72" s="167"/>
      <c r="H72" s="167"/>
      <c r="I72" s="164">
        <f t="shared" ca="1" si="1"/>
        <v>44939</v>
      </c>
      <c r="J72" s="163">
        <v>0.33333333333333331</v>
      </c>
      <c r="K72" s="162" t="s">
        <v>749</v>
      </c>
      <c r="L72" s="166"/>
      <c r="M72" s="166"/>
      <c r="N72" s="164"/>
      <c r="O72" s="166"/>
      <c r="P72" s="165"/>
      <c r="Q72" s="171"/>
    </row>
    <row r="73" spans="1:17" customFormat="1" ht="15" customHeight="1" x14ac:dyDescent="0.25">
      <c r="A73" s="168"/>
      <c r="B73" s="167"/>
      <c r="C73" s="168"/>
      <c r="D73" s="167"/>
      <c r="E73" s="167"/>
      <c r="F73" s="167"/>
      <c r="G73" s="167"/>
      <c r="H73" s="167"/>
      <c r="I73" s="164">
        <f t="shared" ca="1" si="1"/>
        <v>44939</v>
      </c>
      <c r="J73" s="163">
        <v>0.33333333333333331</v>
      </c>
      <c r="K73" s="162" t="s">
        <v>749</v>
      </c>
      <c r="L73" s="166"/>
      <c r="M73" s="166"/>
      <c r="N73" s="164"/>
      <c r="O73" s="166"/>
      <c r="P73" s="165"/>
      <c r="Q73" s="171"/>
    </row>
    <row r="74" spans="1:17" customFormat="1" ht="15" customHeight="1" x14ac:dyDescent="0.25">
      <c r="A74" s="167"/>
      <c r="B74" s="167"/>
      <c r="C74" s="167"/>
      <c r="D74" s="167"/>
      <c r="E74" s="167"/>
      <c r="F74" s="167"/>
      <c r="G74" s="167"/>
      <c r="H74" s="167"/>
      <c r="I74" s="164">
        <f t="shared" ca="1" si="1"/>
        <v>44939</v>
      </c>
      <c r="J74" s="163">
        <v>0.33333333333333331</v>
      </c>
      <c r="K74" s="162" t="s">
        <v>749</v>
      </c>
      <c r="L74" s="166"/>
      <c r="M74" s="166"/>
      <c r="N74" s="164"/>
      <c r="O74" s="166"/>
      <c r="P74" s="165"/>
      <c r="Q74" s="171"/>
    </row>
    <row r="75" spans="1:17" customFormat="1" ht="15" customHeight="1" x14ac:dyDescent="0.25">
      <c r="A75" s="168"/>
      <c r="B75" s="167"/>
      <c r="C75" s="168"/>
      <c r="D75" s="167"/>
      <c r="E75" s="167"/>
      <c r="F75" s="167"/>
      <c r="G75" s="167"/>
      <c r="H75" s="167"/>
      <c r="I75" s="164">
        <f t="shared" ca="1" si="1"/>
        <v>44939</v>
      </c>
      <c r="J75" s="163">
        <v>0.33333333333333331</v>
      </c>
      <c r="K75" s="162" t="s">
        <v>749</v>
      </c>
      <c r="L75" s="166"/>
      <c r="M75" s="166"/>
      <c r="N75" s="164"/>
      <c r="O75" s="166"/>
      <c r="P75" s="165"/>
      <c r="Q75" s="171"/>
    </row>
    <row r="76" spans="1:17" customFormat="1" ht="15" customHeight="1" x14ac:dyDescent="0.25">
      <c r="A76" s="168"/>
      <c r="B76" s="167"/>
      <c r="C76" s="168"/>
      <c r="D76" s="167"/>
      <c r="E76" s="167"/>
      <c r="F76" s="167"/>
      <c r="G76" s="167"/>
      <c r="H76" s="167"/>
      <c r="I76" s="164">
        <f t="shared" ca="1" si="1"/>
        <v>44939</v>
      </c>
      <c r="J76" s="163">
        <v>0.33333333333333331</v>
      </c>
      <c r="K76" s="162" t="s">
        <v>749</v>
      </c>
      <c r="L76" s="166"/>
      <c r="M76" s="166"/>
      <c r="N76" s="164"/>
      <c r="O76" s="166"/>
      <c r="P76" s="165"/>
      <c r="Q76" s="171"/>
    </row>
    <row r="77" spans="1:17" customFormat="1" ht="15" customHeight="1" x14ac:dyDescent="0.25">
      <c r="A77" s="168"/>
      <c r="B77" s="167"/>
      <c r="C77" s="168"/>
      <c r="D77" s="167"/>
      <c r="E77" s="167"/>
      <c r="F77" s="167"/>
      <c r="G77" s="167"/>
      <c r="H77" s="167"/>
      <c r="I77" s="164">
        <f t="shared" ca="1" si="1"/>
        <v>44939</v>
      </c>
      <c r="J77" s="163">
        <v>0.33333333333333331</v>
      </c>
      <c r="K77" s="162" t="s">
        <v>749</v>
      </c>
      <c r="L77" s="166"/>
      <c r="M77" s="166"/>
      <c r="N77" s="164"/>
      <c r="O77" s="166"/>
      <c r="P77" s="165"/>
      <c r="Q77" s="171"/>
    </row>
    <row r="78" spans="1:17" customFormat="1" ht="15" customHeight="1" x14ac:dyDescent="0.25">
      <c r="A78" s="160"/>
      <c r="B78" s="167"/>
      <c r="C78" s="168"/>
      <c r="D78" s="167"/>
      <c r="E78" s="167"/>
      <c r="F78" s="167"/>
      <c r="G78" s="167"/>
      <c r="H78" s="167"/>
      <c r="I78" s="164">
        <f t="shared" ca="1" si="1"/>
        <v>44939</v>
      </c>
      <c r="J78" s="163">
        <v>0.33333333333333331</v>
      </c>
      <c r="K78" s="162" t="s">
        <v>749</v>
      </c>
      <c r="L78" s="166"/>
      <c r="M78" s="166"/>
      <c r="N78" s="164"/>
      <c r="O78" s="166"/>
      <c r="P78" s="165"/>
      <c r="Q78" s="171"/>
    </row>
    <row r="79" spans="1:17" customFormat="1" ht="15" customHeight="1" x14ac:dyDescent="0.25">
      <c r="A79" s="168"/>
      <c r="B79" s="167"/>
      <c r="C79" s="168"/>
      <c r="D79" s="167"/>
      <c r="E79" s="167"/>
      <c r="F79" s="167"/>
      <c r="G79" s="167"/>
      <c r="H79" s="167"/>
      <c r="I79" s="164">
        <f t="shared" ca="1" si="1"/>
        <v>44939</v>
      </c>
      <c r="J79" s="163">
        <v>0.33333333333333331</v>
      </c>
      <c r="K79" s="162" t="s">
        <v>749</v>
      </c>
      <c r="L79" s="166"/>
      <c r="M79" s="166"/>
      <c r="N79" s="164"/>
      <c r="O79" s="166"/>
      <c r="P79" s="165"/>
      <c r="Q79" s="171"/>
    </row>
    <row r="80" spans="1:17" customFormat="1" ht="15" customHeight="1" x14ac:dyDescent="0.25">
      <c r="A80" s="167"/>
      <c r="B80" s="167"/>
      <c r="C80" s="167"/>
      <c r="D80" s="167"/>
      <c r="E80" s="167"/>
      <c r="F80" s="167"/>
      <c r="G80" s="167"/>
      <c r="H80" s="167"/>
      <c r="I80" s="164">
        <f t="shared" ca="1" si="1"/>
        <v>44939</v>
      </c>
      <c r="J80" s="163">
        <v>0.33333333333333331</v>
      </c>
      <c r="K80" s="162" t="s">
        <v>749</v>
      </c>
      <c r="L80" s="166"/>
      <c r="M80" s="166"/>
      <c r="N80" s="164"/>
      <c r="O80" s="166"/>
      <c r="P80" s="165"/>
      <c r="Q80" s="171"/>
    </row>
    <row r="81" spans="1:17" customFormat="1" ht="15" customHeight="1" x14ac:dyDescent="0.25">
      <c r="A81" s="167"/>
      <c r="B81" s="167"/>
      <c r="C81" s="167"/>
      <c r="D81" s="167"/>
      <c r="E81" s="167"/>
      <c r="F81" s="167"/>
      <c r="G81" s="167"/>
      <c r="H81" s="167"/>
      <c r="I81" s="164">
        <f t="shared" ca="1" si="1"/>
        <v>44939</v>
      </c>
      <c r="J81" s="163">
        <v>0.33333333333333331</v>
      </c>
      <c r="K81" s="162" t="s">
        <v>749</v>
      </c>
      <c r="L81" s="166"/>
      <c r="M81" s="166"/>
      <c r="N81" s="164"/>
      <c r="O81" s="166"/>
      <c r="P81" s="165"/>
      <c r="Q81" s="171"/>
    </row>
    <row r="82" spans="1:17" customFormat="1" ht="15" customHeight="1" x14ac:dyDescent="0.25">
      <c r="A82" s="167"/>
      <c r="B82" s="167"/>
      <c r="C82" s="167"/>
      <c r="D82" s="167"/>
      <c r="E82" s="167"/>
      <c r="F82" s="167"/>
      <c r="G82" s="167"/>
      <c r="H82" s="167"/>
      <c r="I82" s="164">
        <f t="shared" ca="1" si="1"/>
        <v>44939</v>
      </c>
      <c r="J82" s="163">
        <v>0.33333333333333331</v>
      </c>
      <c r="K82" s="162" t="s">
        <v>749</v>
      </c>
      <c r="L82" s="166"/>
      <c r="M82" s="166"/>
      <c r="N82" s="164"/>
      <c r="O82" s="166"/>
      <c r="P82" s="165"/>
      <c r="Q82" s="171"/>
    </row>
    <row r="83" spans="1:17" customFormat="1" ht="15" customHeight="1" x14ac:dyDescent="0.25">
      <c r="A83" s="167"/>
      <c r="B83" s="167"/>
      <c r="C83" s="167"/>
      <c r="D83" s="167"/>
      <c r="E83" s="167"/>
      <c r="F83" s="167"/>
      <c r="G83" s="167"/>
      <c r="H83" s="167"/>
      <c r="I83" s="164">
        <f t="shared" ca="1" si="1"/>
        <v>44939</v>
      </c>
      <c r="J83" s="163">
        <v>0.33333333333333331</v>
      </c>
      <c r="K83" s="162" t="s">
        <v>749</v>
      </c>
      <c r="L83" s="166"/>
      <c r="M83" s="166"/>
      <c r="N83" s="164"/>
      <c r="O83" s="166"/>
      <c r="P83" s="165"/>
      <c r="Q83" s="171"/>
    </row>
    <row r="84" spans="1:17" customFormat="1" ht="15" customHeight="1" x14ac:dyDescent="0.25">
      <c r="A84" s="167"/>
      <c r="B84" s="167"/>
      <c r="C84" s="167"/>
      <c r="D84" s="167"/>
      <c r="E84" s="167"/>
      <c r="F84" s="167"/>
      <c r="G84" s="167"/>
      <c r="H84" s="167"/>
      <c r="I84" s="164">
        <f t="shared" ca="1" si="1"/>
        <v>44939</v>
      </c>
      <c r="J84" s="163">
        <v>0.33333333333333331</v>
      </c>
      <c r="K84" s="162" t="s">
        <v>749</v>
      </c>
      <c r="L84" s="166"/>
      <c r="M84" s="166"/>
      <c r="N84" s="164"/>
      <c r="O84" s="166"/>
      <c r="P84" s="165"/>
      <c r="Q84" s="171"/>
    </row>
    <row r="85" spans="1:17" customFormat="1" ht="15" customHeight="1" x14ac:dyDescent="0.25">
      <c r="A85" s="168"/>
      <c r="B85" s="167"/>
      <c r="C85" s="168"/>
      <c r="D85" s="167"/>
      <c r="E85" s="167"/>
      <c r="F85" s="167"/>
      <c r="G85" s="167"/>
      <c r="H85" s="167"/>
      <c r="I85" s="164">
        <f t="shared" ca="1" si="1"/>
        <v>44939</v>
      </c>
      <c r="J85" s="163">
        <v>0.33333333333333331</v>
      </c>
      <c r="K85" s="162" t="s">
        <v>749</v>
      </c>
      <c r="L85" s="166"/>
      <c r="M85" s="166"/>
      <c r="N85" s="164"/>
      <c r="O85" s="166"/>
      <c r="P85" s="165"/>
      <c r="Q85" s="171"/>
    </row>
    <row r="86" spans="1:17" customFormat="1" ht="15" customHeight="1" x14ac:dyDescent="0.25">
      <c r="A86" s="167"/>
      <c r="B86" s="167"/>
      <c r="C86" s="167"/>
      <c r="D86" s="167"/>
      <c r="E86" s="167"/>
      <c r="F86" s="167"/>
      <c r="G86" s="167"/>
      <c r="H86" s="167"/>
      <c r="I86" s="164">
        <f t="shared" ca="1" si="1"/>
        <v>44939</v>
      </c>
      <c r="J86" s="163">
        <v>0.33333333333333331</v>
      </c>
      <c r="K86" s="162" t="s">
        <v>749</v>
      </c>
      <c r="L86" s="166"/>
      <c r="M86" s="166"/>
      <c r="N86" s="164"/>
      <c r="O86" s="166"/>
      <c r="P86" s="165"/>
      <c r="Q86" s="171"/>
    </row>
    <row r="87" spans="1:17" customFormat="1" ht="15" customHeight="1" x14ac:dyDescent="0.25">
      <c r="A87" s="168"/>
      <c r="B87" s="167"/>
      <c r="C87" s="168"/>
      <c r="D87" s="167"/>
      <c r="E87" s="167"/>
      <c r="F87" s="167"/>
      <c r="G87" s="167"/>
      <c r="H87" s="167"/>
      <c r="I87" s="164">
        <f t="shared" ca="1" si="1"/>
        <v>44939</v>
      </c>
      <c r="J87" s="163">
        <v>0.33333333333333331</v>
      </c>
      <c r="K87" s="162" t="s">
        <v>749</v>
      </c>
      <c r="L87" s="166"/>
      <c r="M87" s="166"/>
      <c r="N87" s="164"/>
      <c r="O87" s="166"/>
      <c r="P87" s="165"/>
      <c r="Q87" s="171"/>
    </row>
    <row r="88" spans="1:17" customFormat="1" ht="15" customHeight="1" x14ac:dyDescent="0.25">
      <c r="A88" s="168"/>
      <c r="B88" s="167"/>
      <c r="C88" s="168"/>
      <c r="D88" s="167"/>
      <c r="E88" s="167"/>
      <c r="F88" s="167"/>
      <c r="G88" s="167"/>
      <c r="H88" s="167"/>
      <c r="I88" s="164">
        <f t="shared" ref="I88:I151" ca="1" si="2">TODAY()</f>
        <v>44939</v>
      </c>
      <c r="J88" s="163">
        <v>0.33333333333333331</v>
      </c>
      <c r="K88" s="162" t="s">
        <v>749</v>
      </c>
      <c r="L88" s="166"/>
      <c r="M88" s="166"/>
      <c r="N88" s="164"/>
      <c r="O88" s="166"/>
      <c r="P88" s="165"/>
      <c r="Q88" s="171"/>
    </row>
    <row r="89" spans="1:17" customFormat="1" ht="15" customHeight="1" x14ac:dyDescent="0.25">
      <c r="A89" s="167"/>
      <c r="B89" s="167"/>
      <c r="C89" s="167"/>
      <c r="D89" s="167"/>
      <c r="E89" s="167"/>
      <c r="F89" s="167"/>
      <c r="G89" s="167"/>
      <c r="H89" s="167"/>
      <c r="I89" s="164">
        <f t="shared" ca="1" si="2"/>
        <v>44939</v>
      </c>
      <c r="J89" s="163">
        <v>0.33333333333333331</v>
      </c>
      <c r="K89" s="162" t="s">
        <v>749</v>
      </c>
      <c r="L89" s="166"/>
      <c r="M89" s="166"/>
      <c r="N89" s="164"/>
      <c r="O89" s="166"/>
      <c r="P89" s="165"/>
      <c r="Q89" s="171"/>
    </row>
    <row r="90" spans="1:17" customFormat="1" ht="15" customHeight="1" x14ac:dyDescent="0.25">
      <c r="A90" s="167"/>
      <c r="B90" s="167"/>
      <c r="C90" s="168"/>
      <c r="D90" s="167"/>
      <c r="E90" s="167"/>
      <c r="F90" s="167"/>
      <c r="G90" s="167"/>
      <c r="H90" s="167"/>
      <c r="I90" s="164">
        <f t="shared" ca="1" si="2"/>
        <v>44939</v>
      </c>
      <c r="J90" s="163">
        <v>0.33333333333333331</v>
      </c>
      <c r="K90" s="162" t="s">
        <v>749</v>
      </c>
      <c r="L90" s="166"/>
      <c r="M90" s="166"/>
      <c r="N90" s="164"/>
      <c r="O90" s="166"/>
      <c r="P90" s="165"/>
      <c r="Q90" s="171"/>
    </row>
    <row r="91" spans="1:17" customFormat="1" ht="15" customHeight="1" x14ac:dyDescent="0.25">
      <c r="A91" s="167"/>
      <c r="B91" s="167"/>
      <c r="C91" s="167"/>
      <c r="D91" s="167"/>
      <c r="E91" s="167"/>
      <c r="F91" s="167"/>
      <c r="G91" s="167"/>
      <c r="H91" s="167"/>
      <c r="I91" s="164">
        <f t="shared" ca="1" si="2"/>
        <v>44939</v>
      </c>
      <c r="J91" s="163">
        <v>0.33333333333333331</v>
      </c>
      <c r="K91" s="162" t="s">
        <v>749</v>
      </c>
      <c r="L91" s="166"/>
      <c r="M91" s="166"/>
      <c r="N91" s="164"/>
      <c r="O91" s="166"/>
      <c r="P91" s="165"/>
      <c r="Q91" s="171"/>
    </row>
    <row r="92" spans="1:17" customFormat="1" ht="15" customHeight="1" x14ac:dyDescent="0.25">
      <c r="A92" s="167"/>
      <c r="B92" s="167"/>
      <c r="C92" s="167"/>
      <c r="D92" s="167"/>
      <c r="E92" s="167"/>
      <c r="F92" s="167"/>
      <c r="G92" s="167"/>
      <c r="H92" s="167"/>
      <c r="I92" s="164">
        <f t="shared" ca="1" si="2"/>
        <v>44939</v>
      </c>
      <c r="J92" s="163">
        <v>0.33333333333333331</v>
      </c>
      <c r="K92" s="162" t="s">
        <v>749</v>
      </c>
      <c r="L92" s="166"/>
      <c r="M92" s="166"/>
      <c r="N92" s="164"/>
      <c r="O92" s="166"/>
      <c r="P92" s="165"/>
      <c r="Q92" s="171"/>
    </row>
    <row r="93" spans="1:17" customFormat="1" ht="15" customHeight="1" x14ac:dyDescent="0.25">
      <c r="A93" s="168"/>
      <c r="B93" s="167"/>
      <c r="C93" s="168"/>
      <c r="D93" s="167"/>
      <c r="E93" s="167"/>
      <c r="F93" s="167"/>
      <c r="G93" s="167"/>
      <c r="H93" s="167"/>
      <c r="I93" s="164">
        <f t="shared" ca="1" si="2"/>
        <v>44939</v>
      </c>
      <c r="J93" s="163">
        <v>0.33333333333333331</v>
      </c>
      <c r="K93" s="162" t="s">
        <v>749</v>
      </c>
      <c r="L93" s="166"/>
      <c r="M93" s="166"/>
      <c r="N93" s="164"/>
      <c r="O93" s="166"/>
      <c r="P93" s="165"/>
      <c r="Q93" s="171"/>
    </row>
    <row r="94" spans="1:17" customFormat="1" ht="15" customHeight="1" x14ac:dyDescent="0.25">
      <c r="A94" s="168"/>
      <c r="B94" s="167"/>
      <c r="C94" s="168"/>
      <c r="D94" s="167"/>
      <c r="E94" s="167"/>
      <c r="F94" s="167"/>
      <c r="G94" s="167"/>
      <c r="H94" s="167"/>
      <c r="I94" s="164">
        <f t="shared" ca="1" si="2"/>
        <v>44939</v>
      </c>
      <c r="J94" s="163">
        <v>0.33333333333333331</v>
      </c>
      <c r="K94" s="162" t="s">
        <v>749</v>
      </c>
      <c r="L94" s="166"/>
      <c r="M94" s="166"/>
      <c r="N94" s="164"/>
      <c r="O94" s="166"/>
      <c r="P94" s="165"/>
      <c r="Q94" s="171"/>
    </row>
    <row r="95" spans="1:17" customFormat="1" ht="15" customHeight="1" x14ac:dyDescent="0.25">
      <c r="A95" s="168"/>
      <c r="B95" s="167"/>
      <c r="C95" s="168"/>
      <c r="D95" s="167"/>
      <c r="E95" s="167"/>
      <c r="F95" s="167"/>
      <c r="G95" s="167"/>
      <c r="H95" s="167"/>
      <c r="I95" s="164">
        <f t="shared" ca="1" si="2"/>
        <v>44939</v>
      </c>
      <c r="J95" s="163">
        <v>0.33333333333333331</v>
      </c>
      <c r="K95" s="162" t="s">
        <v>749</v>
      </c>
      <c r="L95" s="166"/>
      <c r="M95" s="166"/>
      <c r="N95" s="164"/>
      <c r="O95" s="166"/>
      <c r="P95" s="165"/>
      <c r="Q95" s="171"/>
    </row>
    <row r="96" spans="1:17" customFormat="1" ht="15" customHeight="1" x14ac:dyDescent="0.25">
      <c r="A96" s="168"/>
      <c r="B96" s="167"/>
      <c r="C96" s="168"/>
      <c r="D96" s="167"/>
      <c r="E96" s="167"/>
      <c r="F96" s="167"/>
      <c r="G96" s="167"/>
      <c r="H96" s="167"/>
      <c r="I96" s="164">
        <f t="shared" ca="1" si="2"/>
        <v>44939</v>
      </c>
      <c r="J96" s="163">
        <v>0.33333333333333331</v>
      </c>
      <c r="K96" s="162" t="s">
        <v>749</v>
      </c>
      <c r="L96" s="166"/>
      <c r="M96" s="166"/>
      <c r="N96" s="164"/>
      <c r="O96" s="166"/>
      <c r="P96" s="165"/>
      <c r="Q96" s="171"/>
    </row>
    <row r="97" spans="1:17" customFormat="1" ht="15" customHeight="1" x14ac:dyDescent="0.25">
      <c r="A97" s="168"/>
      <c r="B97" s="167"/>
      <c r="C97" s="168"/>
      <c r="D97" s="167"/>
      <c r="E97" s="167"/>
      <c r="F97" s="167"/>
      <c r="G97" s="167"/>
      <c r="H97" s="167"/>
      <c r="I97" s="164">
        <f t="shared" ca="1" si="2"/>
        <v>44939</v>
      </c>
      <c r="J97" s="163">
        <v>0.33333333333333331</v>
      </c>
      <c r="K97" s="162" t="s">
        <v>749</v>
      </c>
      <c r="L97" s="166"/>
      <c r="M97" s="166"/>
      <c r="N97" s="164"/>
      <c r="O97" s="166"/>
      <c r="P97" s="165"/>
      <c r="Q97" s="171"/>
    </row>
    <row r="98" spans="1:17" customFormat="1" ht="15" customHeight="1" x14ac:dyDescent="0.25">
      <c r="A98" s="167"/>
      <c r="B98" s="167"/>
      <c r="C98" s="167"/>
      <c r="D98" s="167"/>
      <c r="E98" s="167"/>
      <c r="F98" s="167"/>
      <c r="G98" s="167"/>
      <c r="H98" s="167"/>
      <c r="I98" s="164">
        <f t="shared" ca="1" si="2"/>
        <v>44939</v>
      </c>
      <c r="J98" s="163">
        <v>0.33333333333333331</v>
      </c>
      <c r="K98" s="162" t="s">
        <v>749</v>
      </c>
      <c r="L98" s="166"/>
      <c r="M98" s="166"/>
      <c r="N98" s="164"/>
      <c r="O98" s="166"/>
      <c r="P98" s="165"/>
      <c r="Q98" s="171"/>
    </row>
    <row r="99" spans="1:17" customFormat="1" ht="15" customHeight="1" x14ac:dyDescent="0.25">
      <c r="A99" s="167"/>
      <c r="B99" s="167"/>
      <c r="C99" s="167"/>
      <c r="D99" s="167"/>
      <c r="E99" s="167"/>
      <c r="F99" s="167"/>
      <c r="G99" s="167"/>
      <c r="H99" s="167"/>
      <c r="I99" s="164">
        <f t="shared" ca="1" si="2"/>
        <v>44939</v>
      </c>
      <c r="J99" s="163">
        <v>0.33333333333333331</v>
      </c>
      <c r="K99" s="162" t="s">
        <v>749</v>
      </c>
      <c r="L99" s="166"/>
      <c r="M99" s="166"/>
      <c r="N99" s="164"/>
      <c r="O99" s="166"/>
      <c r="P99" s="165"/>
      <c r="Q99" s="171"/>
    </row>
    <row r="100" spans="1:17" customFormat="1" ht="15" customHeight="1" x14ac:dyDescent="0.25">
      <c r="A100" s="167"/>
      <c r="B100" s="167"/>
      <c r="C100" s="167"/>
      <c r="D100" s="167"/>
      <c r="E100" s="167"/>
      <c r="F100" s="167"/>
      <c r="G100" s="167"/>
      <c r="H100" s="167"/>
      <c r="I100" s="164">
        <f t="shared" ca="1" si="2"/>
        <v>44939</v>
      </c>
      <c r="J100" s="163">
        <v>0.33333333333333331</v>
      </c>
      <c r="K100" s="162" t="s">
        <v>749</v>
      </c>
      <c r="L100" s="166"/>
      <c r="M100" s="166"/>
      <c r="N100" s="164"/>
      <c r="O100" s="166"/>
      <c r="P100" s="165"/>
      <c r="Q100" s="171"/>
    </row>
    <row r="101" spans="1:17" customFormat="1" ht="15" customHeight="1" x14ac:dyDescent="0.25">
      <c r="A101" s="167"/>
      <c r="B101" s="167"/>
      <c r="C101" s="167"/>
      <c r="D101" s="167"/>
      <c r="E101" s="167"/>
      <c r="F101" s="167"/>
      <c r="G101" s="167"/>
      <c r="H101" s="167"/>
      <c r="I101" s="164">
        <f t="shared" ca="1" si="2"/>
        <v>44939</v>
      </c>
      <c r="J101" s="163">
        <v>0.33333333333333331</v>
      </c>
      <c r="K101" s="162" t="s">
        <v>749</v>
      </c>
      <c r="L101" s="166"/>
      <c r="M101" s="166"/>
      <c r="N101" s="164"/>
      <c r="O101" s="166"/>
      <c r="P101" s="165"/>
      <c r="Q101" s="171"/>
    </row>
    <row r="102" spans="1:17" customFormat="1" ht="15" customHeight="1" x14ac:dyDescent="0.25">
      <c r="A102" s="167"/>
      <c r="B102" s="167"/>
      <c r="C102" s="167"/>
      <c r="D102" s="167"/>
      <c r="E102" s="167"/>
      <c r="F102" s="167"/>
      <c r="G102" s="167"/>
      <c r="H102" s="167"/>
      <c r="I102" s="164">
        <f t="shared" ca="1" si="2"/>
        <v>44939</v>
      </c>
      <c r="J102" s="163">
        <v>0.33333333333333331</v>
      </c>
      <c r="K102" s="162" t="s">
        <v>749</v>
      </c>
      <c r="L102" s="166"/>
      <c r="M102" s="166"/>
      <c r="N102" s="164"/>
      <c r="O102" s="166"/>
      <c r="P102" s="165"/>
      <c r="Q102" s="171"/>
    </row>
    <row r="103" spans="1:17" customFormat="1" ht="15" customHeight="1" x14ac:dyDescent="0.25">
      <c r="A103" s="167"/>
      <c r="B103" s="167"/>
      <c r="C103" s="167"/>
      <c r="D103" s="167"/>
      <c r="E103" s="167"/>
      <c r="F103" s="167"/>
      <c r="G103" s="167"/>
      <c r="H103" s="167"/>
      <c r="I103" s="164">
        <f t="shared" ca="1" si="2"/>
        <v>44939</v>
      </c>
      <c r="J103" s="163">
        <v>0.33333333333333331</v>
      </c>
      <c r="K103" s="162" t="s">
        <v>749</v>
      </c>
      <c r="L103" s="166"/>
      <c r="M103" s="166"/>
      <c r="N103" s="164"/>
      <c r="O103" s="166"/>
      <c r="P103" s="165"/>
      <c r="Q103" s="171"/>
    </row>
    <row r="104" spans="1:17" customFormat="1" ht="15" customHeight="1" x14ac:dyDescent="0.25">
      <c r="A104" s="167"/>
      <c r="B104" s="167"/>
      <c r="C104" s="167"/>
      <c r="D104" s="167"/>
      <c r="E104" s="167"/>
      <c r="F104" s="167"/>
      <c r="G104" s="167"/>
      <c r="H104" s="167"/>
      <c r="I104" s="164">
        <f t="shared" ca="1" si="2"/>
        <v>44939</v>
      </c>
      <c r="J104" s="163">
        <v>0.33333333333333331</v>
      </c>
      <c r="K104" s="162" t="s">
        <v>749</v>
      </c>
      <c r="L104" s="166"/>
      <c r="M104" s="166"/>
      <c r="N104" s="164"/>
      <c r="O104" s="166"/>
      <c r="P104" s="165"/>
      <c r="Q104" s="171"/>
    </row>
    <row r="105" spans="1:17" customFormat="1" ht="15" customHeight="1" x14ac:dyDescent="0.25">
      <c r="A105" s="167"/>
      <c r="B105" s="167"/>
      <c r="C105" s="167"/>
      <c r="D105" s="167"/>
      <c r="E105" s="167"/>
      <c r="F105" s="167"/>
      <c r="G105" s="167"/>
      <c r="H105" s="167"/>
      <c r="I105" s="164">
        <f t="shared" ca="1" si="2"/>
        <v>44939</v>
      </c>
      <c r="J105" s="163">
        <v>0.33333333333333331</v>
      </c>
      <c r="K105" s="162" t="s">
        <v>749</v>
      </c>
      <c r="L105" s="166"/>
      <c r="M105" s="166"/>
      <c r="N105" s="164"/>
      <c r="O105" s="166"/>
      <c r="P105" s="165"/>
      <c r="Q105" s="171"/>
    </row>
    <row r="106" spans="1:17" customFormat="1" ht="15" customHeight="1" x14ac:dyDescent="0.25">
      <c r="A106" s="167"/>
      <c r="B106" s="167"/>
      <c r="C106" s="167"/>
      <c r="D106" s="167"/>
      <c r="E106" s="167"/>
      <c r="F106" s="167"/>
      <c r="G106" s="167"/>
      <c r="H106" s="167"/>
      <c r="I106" s="164">
        <f t="shared" ca="1" si="2"/>
        <v>44939</v>
      </c>
      <c r="J106" s="163">
        <v>0.33333333333333331</v>
      </c>
      <c r="K106" s="162" t="s">
        <v>749</v>
      </c>
      <c r="L106" s="166"/>
      <c r="M106" s="166"/>
      <c r="N106" s="164"/>
      <c r="O106" s="166"/>
      <c r="P106" s="165"/>
      <c r="Q106" s="171"/>
    </row>
    <row r="107" spans="1:17" customFormat="1" ht="15" customHeight="1" x14ac:dyDescent="0.25">
      <c r="A107" s="168"/>
      <c r="B107" s="167"/>
      <c r="C107" s="168"/>
      <c r="D107" s="167"/>
      <c r="E107" s="167"/>
      <c r="F107" s="167"/>
      <c r="G107" s="167"/>
      <c r="H107" s="167"/>
      <c r="I107" s="164">
        <f t="shared" ca="1" si="2"/>
        <v>44939</v>
      </c>
      <c r="J107" s="163">
        <v>0.33333333333333331</v>
      </c>
      <c r="K107" s="162" t="s">
        <v>749</v>
      </c>
      <c r="L107" s="166"/>
      <c r="M107" s="166"/>
      <c r="N107" s="164"/>
      <c r="O107" s="166"/>
      <c r="P107" s="165"/>
      <c r="Q107" s="171"/>
    </row>
    <row r="108" spans="1:17" customFormat="1" ht="15" customHeight="1" x14ac:dyDescent="0.25">
      <c r="A108" s="168"/>
      <c r="B108" s="167"/>
      <c r="C108" s="168"/>
      <c r="D108" s="167"/>
      <c r="E108" s="167"/>
      <c r="F108" s="167"/>
      <c r="G108" s="167"/>
      <c r="H108" s="167"/>
      <c r="I108" s="164">
        <f t="shared" ca="1" si="2"/>
        <v>44939</v>
      </c>
      <c r="J108" s="163">
        <v>0.33333333333333331</v>
      </c>
      <c r="K108" s="162" t="s">
        <v>749</v>
      </c>
      <c r="L108" s="166"/>
      <c r="M108" s="166"/>
      <c r="N108" s="164"/>
      <c r="O108" s="166"/>
      <c r="P108" s="165"/>
      <c r="Q108" s="171"/>
    </row>
    <row r="109" spans="1:17" customFormat="1" ht="15" customHeight="1" x14ac:dyDescent="0.25">
      <c r="A109" s="168"/>
      <c r="B109" s="167"/>
      <c r="C109" s="168"/>
      <c r="D109" s="167"/>
      <c r="E109" s="167"/>
      <c r="F109" s="167"/>
      <c r="G109" s="167"/>
      <c r="H109" s="167"/>
      <c r="I109" s="164">
        <f t="shared" ca="1" si="2"/>
        <v>44939</v>
      </c>
      <c r="J109" s="163">
        <v>0.33333333333333331</v>
      </c>
      <c r="K109" s="162" t="s">
        <v>749</v>
      </c>
      <c r="L109" s="166"/>
      <c r="M109" s="166"/>
      <c r="N109" s="164"/>
      <c r="O109" s="166"/>
      <c r="P109" s="165"/>
      <c r="Q109" s="171"/>
    </row>
    <row r="110" spans="1:17" customFormat="1" ht="15" customHeight="1" x14ac:dyDescent="0.25">
      <c r="A110" s="168"/>
      <c r="B110" s="167"/>
      <c r="C110" s="168"/>
      <c r="D110" s="167"/>
      <c r="E110" s="167"/>
      <c r="F110" s="167"/>
      <c r="G110" s="167"/>
      <c r="H110" s="167"/>
      <c r="I110" s="164">
        <f t="shared" ca="1" si="2"/>
        <v>44939</v>
      </c>
      <c r="J110" s="163">
        <v>0.33333333333333331</v>
      </c>
      <c r="K110" s="162" t="s">
        <v>749</v>
      </c>
      <c r="L110" s="166"/>
      <c r="M110" s="166"/>
      <c r="N110" s="164"/>
      <c r="O110" s="166"/>
      <c r="P110" s="165"/>
      <c r="Q110" s="171"/>
    </row>
    <row r="111" spans="1:17" customFormat="1" ht="15" customHeight="1" x14ac:dyDescent="0.25">
      <c r="A111" s="167"/>
      <c r="B111" s="167"/>
      <c r="C111" s="167"/>
      <c r="D111" s="167"/>
      <c r="E111" s="167"/>
      <c r="F111" s="167"/>
      <c r="G111" s="167"/>
      <c r="H111" s="167"/>
      <c r="I111" s="164">
        <f t="shared" ca="1" si="2"/>
        <v>44939</v>
      </c>
      <c r="J111" s="163">
        <v>0.33333333333333331</v>
      </c>
      <c r="K111" s="162" t="s">
        <v>749</v>
      </c>
      <c r="L111" s="166"/>
      <c r="M111" s="166"/>
      <c r="N111" s="164"/>
      <c r="O111" s="166"/>
      <c r="P111" s="165"/>
      <c r="Q111" s="171"/>
    </row>
    <row r="112" spans="1:17" customFormat="1" ht="15" customHeight="1" x14ac:dyDescent="0.25">
      <c r="A112" s="167"/>
      <c r="B112" s="167"/>
      <c r="C112" s="167"/>
      <c r="D112" s="167"/>
      <c r="E112" s="167"/>
      <c r="F112" s="167"/>
      <c r="G112" s="167"/>
      <c r="H112" s="167"/>
      <c r="I112" s="164">
        <f t="shared" ca="1" si="2"/>
        <v>44939</v>
      </c>
      <c r="J112" s="163">
        <v>0.33333333333333331</v>
      </c>
      <c r="K112" s="162" t="s">
        <v>749</v>
      </c>
      <c r="L112" s="166"/>
      <c r="M112" s="166"/>
      <c r="N112" s="164"/>
      <c r="O112" s="166"/>
      <c r="P112" s="165"/>
      <c r="Q112" s="171"/>
    </row>
    <row r="113" spans="1:17" customFormat="1" ht="15" customHeight="1" x14ac:dyDescent="0.25">
      <c r="A113" s="167"/>
      <c r="B113" s="167"/>
      <c r="C113" s="167"/>
      <c r="D113" s="167"/>
      <c r="E113" s="167"/>
      <c r="F113" s="167"/>
      <c r="G113" s="167"/>
      <c r="H113" s="167"/>
      <c r="I113" s="164">
        <f t="shared" ca="1" si="2"/>
        <v>44939</v>
      </c>
      <c r="J113" s="163">
        <v>0.33333333333333331</v>
      </c>
      <c r="K113" s="162" t="s">
        <v>749</v>
      </c>
      <c r="L113" s="166"/>
      <c r="M113" s="166"/>
      <c r="N113" s="164"/>
      <c r="O113" s="166"/>
      <c r="P113" s="165"/>
      <c r="Q113" s="171"/>
    </row>
    <row r="114" spans="1:17" customFormat="1" ht="15" customHeight="1" x14ac:dyDescent="0.25">
      <c r="A114" s="167"/>
      <c r="B114" s="167"/>
      <c r="C114" s="167"/>
      <c r="D114" s="167"/>
      <c r="E114" s="167"/>
      <c r="F114" s="167"/>
      <c r="G114" s="167"/>
      <c r="H114" s="167"/>
      <c r="I114" s="164">
        <f t="shared" ca="1" si="2"/>
        <v>44939</v>
      </c>
      <c r="J114" s="163">
        <v>0.33333333333333331</v>
      </c>
      <c r="K114" s="162" t="s">
        <v>749</v>
      </c>
      <c r="L114" s="166"/>
      <c r="M114" s="166"/>
      <c r="N114" s="164"/>
      <c r="O114" s="166"/>
      <c r="P114" s="165"/>
      <c r="Q114" s="171"/>
    </row>
    <row r="115" spans="1:17" customFormat="1" ht="15" customHeight="1" x14ac:dyDescent="0.25">
      <c r="A115" s="167"/>
      <c r="B115" s="167"/>
      <c r="C115" s="167"/>
      <c r="D115" s="167"/>
      <c r="E115" s="167"/>
      <c r="F115" s="167"/>
      <c r="G115" s="167"/>
      <c r="H115" s="167"/>
      <c r="I115" s="164">
        <f t="shared" ca="1" si="2"/>
        <v>44939</v>
      </c>
      <c r="J115" s="163">
        <v>0.33333333333333331</v>
      </c>
      <c r="K115" s="162" t="s">
        <v>749</v>
      </c>
      <c r="L115" s="166"/>
      <c r="M115" s="166"/>
      <c r="N115" s="164"/>
      <c r="O115" s="166"/>
      <c r="P115" s="165"/>
      <c r="Q115" s="171"/>
    </row>
    <row r="116" spans="1:17" customFormat="1" ht="15" customHeight="1" x14ac:dyDescent="0.25">
      <c r="A116" s="167"/>
      <c r="B116" s="167"/>
      <c r="C116" s="167"/>
      <c r="D116" s="167"/>
      <c r="E116" s="167"/>
      <c r="F116" s="167"/>
      <c r="G116" s="167"/>
      <c r="H116" s="167"/>
      <c r="I116" s="164">
        <f t="shared" ca="1" si="2"/>
        <v>44939</v>
      </c>
      <c r="J116" s="163">
        <v>0.33333333333333331</v>
      </c>
      <c r="K116" s="162" t="s">
        <v>749</v>
      </c>
      <c r="L116" s="166"/>
      <c r="M116" s="166"/>
      <c r="N116" s="164"/>
      <c r="O116" s="166"/>
      <c r="P116" s="165"/>
      <c r="Q116" s="171"/>
    </row>
    <row r="117" spans="1:17" customFormat="1" ht="15" customHeight="1" x14ac:dyDescent="0.25">
      <c r="A117" s="168"/>
      <c r="B117" s="167"/>
      <c r="C117" s="168"/>
      <c r="D117" s="167"/>
      <c r="E117" s="167"/>
      <c r="F117" s="167"/>
      <c r="G117" s="167"/>
      <c r="H117" s="167"/>
      <c r="I117" s="164">
        <f t="shared" ca="1" si="2"/>
        <v>44939</v>
      </c>
      <c r="J117" s="163">
        <v>0.33333333333333331</v>
      </c>
      <c r="K117" s="162" t="s">
        <v>749</v>
      </c>
      <c r="L117" s="166"/>
      <c r="M117" s="166"/>
      <c r="N117" s="164"/>
      <c r="O117" s="166"/>
      <c r="P117" s="165"/>
      <c r="Q117" s="171"/>
    </row>
    <row r="118" spans="1:17" customFormat="1" ht="15" customHeight="1" x14ac:dyDescent="0.25">
      <c r="A118" s="167"/>
      <c r="B118" s="167"/>
      <c r="C118" s="167"/>
      <c r="D118" s="167"/>
      <c r="E118" s="167"/>
      <c r="F118" s="167"/>
      <c r="G118" s="167"/>
      <c r="H118" s="167"/>
      <c r="I118" s="164">
        <f t="shared" ca="1" si="2"/>
        <v>44939</v>
      </c>
      <c r="J118" s="163">
        <v>0.33333333333333331</v>
      </c>
      <c r="K118" s="162" t="s">
        <v>749</v>
      </c>
      <c r="L118" s="166"/>
      <c r="M118" s="166"/>
      <c r="N118" s="164"/>
      <c r="O118" s="166"/>
      <c r="P118" s="165"/>
      <c r="Q118" s="171"/>
    </row>
    <row r="119" spans="1:17" customFormat="1" ht="15" customHeight="1" x14ac:dyDescent="0.25">
      <c r="A119" s="167"/>
      <c r="B119" s="167"/>
      <c r="C119" s="167"/>
      <c r="D119" s="167"/>
      <c r="E119" s="167"/>
      <c r="F119" s="167"/>
      <c r="G119" s="167"/>
      <c r="H119" s="167"/>
      <c r="I119" s="164">
        <f t="shared" ca="1" si="2"/>
        <v>44939</v>
      </c>
      <c r="J119" s="163">
        <v>0.33333333333333331</v>
      </c>
      <c r="K119" s="162" t="s">
        <v>749</v>
      </c>
      <c r="L119" s="166"/>
      <c r="M119" s="166"/>
      <c r="N119" s="164"/>
      <c r="O119" s="166"/>
      <c r="P119" s="165"/>
      <c r="Q119" s="171"/>
    </row>
    <row r="120" spans="1:17" customFormat="1" ht="15" customHeight="1" x14ac:dyDescent="0.25">
      <c r="A120" s="167"/>
      <c r="B120" s="167"/>
      <c r="C120" s="167"/>
      <c r="D120" s="167"/>
      <c r="E120" s="167"/>
      <c r="F120" s="167"/>
      <c r="G120" s="167"/>
      <c r="H120" s="167"/>
      <c r="I120" s="164">
        <f t="shared" ca="1" si="2"/>
        <v>44939</v>
      </c>
      <c r="J120" s="163">
        <v>0.33333333333333331</v>
      </c>
      <c r="K120" s="162" t="s">
        <v>749</v>
      </c>
      <c r="L120" s="166"/>
      <c r="M120" s="166"/>
      <c r="N120" s="164"/>
      <c r="O120" s="166"/>
      <c r="P120" s="165"/>
      <c r="Q120" s="171"/>
    </row>
    <row r="121" spans="1:17" customFormat="1" ht="15" customHeight="1" x14ac:dyDescent="0.25">
      <c r="A121" s="167"/>
      <c r="B121" s="167"/>
      <c r="C121" s="167"/>
      <c r="D121" s="167"/>
      <c r="E121" s="167"/>
      <c r="F121" s="167"/>
      <c r="G121" s="167"/>
      <c r="H121" s="167"/>
      <c r="I121" s="164">
        <f t="shared" ca="1" si="2"/>
        <v>44939</v>
      </c>
      <c r="J121" s="163">
        <v>0.33333333333333331</v>
      </c>
      <c r="K121" s="162" t="s">
        <v>749</v>
      </c>
      <c r="L121" s="166"/>
      <c r="M121" s="166"/>
      <c r="N121" s="164"/>
      <c r="O121" s="166"/>
      <c r="P121" s="165"/>
      <c r="Q121" s="171"/>
    </row>
    <row r="122" spans="1:17" customFormat="1" ht="15" customHeight="1" x14ac:dyDescent="0.25">
      <c r="A122" s="168"/>
      <c r="B122" s="167"/>
      <c r="C122" s="168"/>
      <c r="D122" s="167"/>
      <c r="E122" s="167"/>
      <c r="F122" s="167"/>
      <c r="G122" s="167"/>
      <c r="H122" s="167"/>
      <c r="I122" s="164">
        <f t="shared" ca="1" si="2"/>
        <v>44939</v>
      </c>
      <c r="J122" s="163">
        <v>0.33333333333333331</v>
      </c>
      <c r="K122" s="162" t="s">
        <v>749</v>
      </c>
      <c r="L122" s="166"/>
      <c r="M122" s="166"/>
      <c r="N122" s="164"/>
      <c r="O122" s="166"/>
      <c r="P122" s="165"/>
      <c r="Q122" s="171"/>
    </row>
    <row r="123" spans="1:17" customFormat="1" ht="15" customHeight="1" x14ac:dyDescent="0.25">
      <c r="A123" s="168"/>
      <c r="B123" s="167"/>
      <c r="C123" s="168"/>
      <c r="D123" s="167"/>
      <c r="E123" s="167"/>
      <c r="F123" s="167"/>
      <c r="G123" s="167"/>
      <c r="H123" s="167"/>
      <c r="I123" s="164">
        <f t="shared" ca="1" si="2"/>
        <v>44939</v>
      </c>
      <c r="J123" s="163">
        <v>0.33333333333333331</v>
      </c>
      <c r="K123" s="162" t="s">
        <v>749</v>
      </c>
      <c r="L123" s="166"/>
      <c r="M123" s="166"/>
      <c r="N123" s="164"/>
      <c r="O123" s="166"/>
      <c r="P123" s="165"/>
      <c r="Q123" s="171"/>
    </row>
    <row r="124" spans="1:17" customFormat="1" ht="15" customHeight="1" x14ac:dyDescent="0.25">
      <c r="A124" s="168"/>
      <c r="B124" s="167"/>
      <c r="C124" s="168"/>
      <c r="D124" s="167"/>
      <c r="E124" s="167"/>
      <c r="F124" s="167"/>
      <c r="G124" s="167"/>
      <c r="H124" s="167"/>
      <c r="I124" s="164">
        <f t="shared" ca="1" si="2"/>
        <v>44939</v>
      </c>
      <c r="J124" s="163">
        <v>0.33333333333333331</v>
      </c>
      <c r="K124" s="162" t="s">
        <v>749</v>
      </c>
      <c r="L124" s="166"/>
      <c r="M124" s="166"/>
      <c r="N124" s="164"/>
      <c r="O124" s="166"/>
      <c r="P124" s="165"/>
      <c r="Q124" s="171"/>
    </row>
    <row r="125" spans="1:17" customFormat="1" ht="15" customHeight="1" x14ac:dyDescent="0.25">
      <c r="A125" s="168"/>
      <c r="B125" s="167"/>
      <c r="C125" s="168"/>
      <c r="D125" s="167"/>
      <c r="E125" s="167"/>
      <c r="F125" s="167"/>
      <c r="G125" s="167"/>
      <c r="H125" s="167"/>
      <c r="I125" s="164">
        <f t="shared" ca="1" si="2"/>
        <v>44939</v>
      </c>
      <c r="J125" s="163">
        <v>0.33333333333333331</v>
      </c>
      <c r="K125" s="162" t="s">
        <v>749</v>
      </c>
      <c r="L125" s="166"/>
      <c r="M125" s="166"/>
      <c r="N125" s="164"/>
      <c r="O125" s="166"/>
      <c r="P125" s="165"/>
      <c r="Q125" s="171"/>
    </row>
    <row r="126" spans="1:17" customFormat="1" ht="15" customHeight="1" x14ac:dyDescent="0.25">
      <c r="A126" s="168"/>
      <c r="B126" s="167"/>
      <c r="C126" s="168"/>
      <c r="D126" s="167"/>
      <c r="E126" s="167"/>
      <c r="F126" s="167"/>
      <c r="G126" s="167"/>
      <c r="H126" s="167"/>
      <c r="I126" s="164">
        <f t="shared" ca="1" si="2"/>
        <v>44939</v>
      </c>
      <c r="J126" s="163">
        <v>0.33333333333333331</v>
      </c>
      <c r="K126" s="162" t="s">
        <v>749</v>
      </c>
      <c r="L126" s="166"/>
      <c r="M126" s="166"/>
      <c r="N126" s="164"/>
      <c r="O126" s="166"/>
      <c r="P126" s="165"/>
      <c r="Q126" s="171"/>
    </row>
    <row r="127" spans="1:17" customFormat="1" ht="15" customHeight="1" x14ac:dyDescent="0.25">
      <c r="A127" s="168"/>
      <c r="B127" s="167"/>
      <c r="C127" s="168"/>
      <c r="D127" s="167"/>
      <c r="E127" s="167"/>
      <c r="F127" s="167"/>
      <c r="G127" s="167"/>
      <c r="H127" s="167"/>
      <c r="I127" s="164">
        <f t="shared" ca="1" si="2"/>
        <v>44939</v>
      </c>
      <c r="J127" s="163">
        <v>0.33333333333333331</v>
      </c>
      <c r="K127" s="162" t="s">
        <v>749</v>
      </c>
      <c r="L127" s="166"/>
      <c r="M127" s="166"/>
      <c r="N127" s="164"/>
      <c r="O127" s="166"/>
      <c r="P127" s="165"/>
      <c r="Q127" s="171"/>
    </row>
    <row r="128" spans="1:17" customFormat="1" ht="15" customHeight="1" x14ac:dyDescent="0.25">
      <c r="A128" s="168"/>
      <c r="B128" s="167"/>
      <c r="C128" s="168"/>
      <c r="D128" s="167"/>
      <c r="E128" s="167"/>
      <c r="F128" s="167"/>
      <c r="G128" s="167"/>
      <c r="H128" s="167"/>
      <c r="I128" s="164">
        <f t="shared" ca="1" si="2"/>
        <v>44939</v>
      </c>
      <c r="J128" s="163">
        <v>0.33333333333333331</v>
      </c>
      <c r="K128" s="162" t="s">
        <v>749</v>
      </c>
      <c r="L128" s="166"/>
      <c r="M128" s="166"/>
      <c r="N128" s="164"/>
      <c r="O128" s="166"/>
      <c r="P128" s="165"/>
      <c r="Q128" s="171"/>
    </row>
    <row r="129" spans="1:17" customFormat="1" ht="15" customHeight="1" x14ac:dyDescent="0.25">
      <c r="A129" s="168"/>
      <c r="B129" s="167"/>
      <c r="C129" s="168"/>
      <c r="D129" s="167"/>
      <c r="E129" s="167"/>
      <c r="F129" s="167"/>
      <c r="G129" s="167"/>
      <c r="H129" s="167"/>
      <c r="I129" s="164">
        <f t="shared" ca="1" si="2"/>
        <v>44939</v>
      </c>
      <c r="J129" s="163">
        <v>0.33333333333333331</v>
      </c>
      <c r="K129" s="162" t="s">
        <v>749</v>
      </c>
      <c r="L129" s="166"/>
      <c r="M129" s="166"/>
      <c r="N129" s="164"/>
      <c r="O129" s="166"/>
      <c r="P129" s="165"/>
      <c r="Q129" s="171"/>
    </row>
    <row r="130" spans="1:17" customFormat="1" ht="15" customHeight="1" x14ac:dyDescent="0.25">
      <c r="A130" s="168"/>
      <c r="B130" s="167"/>
      <c r="C130" s="168"/>
      <c r="D130" s="167"/>
      <c r="E130" s="167"/>
      <c r="F130" s="167"/>
      <c r="G130" s="167"/>
      <c r="H130" s="167"/>
      <c r="I130" s="164">
        <f t="shared" ca="1" si="2"/>
        <v>44939</v>
      </c>
      <c r="J130" s="163">
        <v>0.33333333333333331</v>
      </c>
      <c r="K130" s="162" t="s">
        <v>749</v>
      </c>
      <c r="L130" s="166"/>
      <c r="M130" s="166"/>
      <c r="N130" s="164"/>
      <c r="O130" s="166"/>
      <c r="P130" s="165"/>
      <c r="Q130" s="171"/>
    </row>
    <row r="131" spans="1:17" customFormat="1" ht="15" customHeight="1" x14ac:dyDescent="0.25">
      <c r="A131" s="168"/>
      <c r="B131" s="167"/>
      <c r="C131" s="168"/>
      <c r="D131" s="167"/>
      <c r="E131" s="167"/>
      <c r="F131" s="167"/>
      <c r="G131" s="167"/>
      <c r="H131" s="167"/>
      <c r="I131" s="164">
        <f t="shared" ca="1" si="2"/>
        <v>44939</v>
      </c>
      <c r="J131" s="163">
        <v>0.33333333333333331</v>
      </c>
      <c r="K131" s="162" t="s">
        <v>749</v>
      </c>
      <c r="L131" s="166"/>
      <c r="M131" s="166"/>
      <c r="N131" s="164"/>
      <c r="O131" s="166"/>
      <c r="P131" s="165"/>
      <c r="Q131" s="171"/>
    </row>
    <row r="132" spans="1:17" customFormat="1" ht="15" customHeight="1" x14ac:dyDescent="0.25">
      <c r="A132" s="168"/>
      <c r="B132" s="167"/>
      <c r="C132" s="168"/>
      <c r="D132" s="167"/>
      <c r="E132" s="167"/>
      <c r="F132" s="167"/>
      <c r="G132" s="167"/>
      <c r="H132" s="167"/>
      <c r="I132" s="164">
        <f t="shared" ca="1" si="2"/>
        <v>44939</v>
      </c>
      <c r="J132" s="163">
        <v>0.33333333333333331</v>
      </c>
      <c r="K132" s="162" t="s">
        <v>749</v>
      </c>
      <c r="L132" s="166"/>
      <c r="M132" s="166"/>
      <c r="N132" s="164"/>
      <c r="O132" s="166"/>
      <c r="P132" s="165"/>
      <c r="Q132" s="171"/>
    </row>
    <row r="133" spans="1:17" customFormat="1" ht="15" customHeight="1" x14ac:dyDescent="0.25">
      <c r="A133" s="168"/>
      <c r="B133" s="167"/>
      <c r="C133" s="168"/>
      <c r="D133" s="167"/>
      <c r="E133" s="167"/>
      <c r="F133" s="167"/>
      <c r="G133" s="167"/>
      <c r="H133" s="167"/>
      <c r="I133" s="164">
        <f t="shared" ca="1" si="2"/>
        <v>44939</v>
      </c>
      <c r="J133" s="163">
        <v>0.33333333333333331</v>
      </c>
      <c r="K133" s="162" t="s">
        <v>749</v>
      </c>
      <c r="L133" s="166"/>
      <c r="M133" s="166"/>
      <c r="N133" s="164"/>
      <c r="O133" s="166"/>
      <c r="P133" s="165"/>
      <c r="Q133" s="171"/>
    </row>
    <row r="134" spans="1:17" customFormat="1" ht="15" customHeight="1" x14ac:dyDescent="0.25">
      <c r="A134" s="168"/>
      <c r="B134" s="167"/>
      <c r="C134" s="168"/>
      <c r="D134" s="167"/>
      <c r="E134" s="167"/>
      <c r="F134" s="167"/>
      <c r="G134" s="167"/>
      <c r="H134" s="167"/>
      <c r="I134" s="164">
        <f t="shared" ca="1" si="2"/>
        <v>44939</v>
      </c>
      <c r="J134" s="163">
        <v>0.33333333333333331</v>
      </c>
      <c r="K134" s="162" t="s">
        <v>749</v>
      </c>
      <c r="L134" s="166"/>
      <c r="M134" s="166"/>
      <c r="N134" s="164"/>
      <c r="O134" s="166"/>
      <c r="P134" s="165"/>
      <c r="Q134" s="171"/>
    </row>
    <row r="135" spans="1:17" customFormat="1" ht="15" customHeight="1" x14ac:dyDescent="0.25">
      <c r="A135" s="168"/>
      <c r="B135" s="167"/>
      <c r="C135" s="168"/>
      <c r="D135" s="167"/>
      <c r="E135" s="167"/>
      <c r="F135" s="167"/>
      <c r="G135" s="167"/>
      <c r="H135" s="167"/>
      <c r="I135" s="164">
        <f t="shared" ca="1" si="2"/>
        <v>44939</v>
      </c>
      <c r="J135" s="163">
        <v>0.33333333333333331</v>
      </c>
      <c r="K135" s="162" t="s">
        <v>749</v>
      </c>
      <c r="L135" s="166"/>
      <c r="M135" s="166"/>
      <c r="N135" s="164"/>
      <c r="O135" s="166"/>
      <c r="P135" s="165"/>
      <c r="Q135" s="171"/>
    </row>
    <row r="136" spans="1:17" customFormat="1" ht="15" customHeight="1" x14ac:dyDescent="0.25">
      <c r="A136" s="168"/>
      <c r="B136" s="167"/>
      <c r="C136" s="168"/>
      <c r="D136" s="167"/>
      <c r="E136" s="167"/>
      <c r="F136" s="167"/>
      <c r="G136" s="167"/>
      <c r="H136" s="167"/>
      <c r="I136" s="164">
        <f t="shared" ca="1" si="2"/>
        <v>44939</v>
      </c>
      <c r="J136" s="163">
        <v>0.33333333333333331</v>
      </c>
      <c r="K136" s="162" t="s">
        <v>749</v>
      </c>
      <c r="L136" s="166"/>
      <c r="M136" s="166"/>
      <c r="N136" s="164"/>
      <c r="O136" s="166"/>
      <c r="P136" s="165"/>
      <c r="Q136" s="171"/>
    </row>
    <row r="137" spans="1:17" customFormat="1" ht="15" customHeight="1" x14ac:dyDescent="0.25">
      <c r="A137" s="167"/>
      <c r="B137" s="167"/>
      <c r="C137" s="167"/>
      <c r="D137" s="167"/>
      <c r="E137" s="167"/>
      <c r="F137" s="167"/>
      <c r="G137" s="167"/>
      <c r="H137" s="167"/>
      <c r="I137" s="164">
        <f t="shared" ca="1" si="2"/>
        <v>44939</v>
      </c>
      <c r="J137" s="163">
        <v>0.33333333333333331</v>
      </c>
      <c r="K137" s="162" t="s">
        <v>749</v>
      </c>
      <c r="L137" s="166"/>
      <c r="M137" s="166"/>
      <c r="N137" s="164"/>
      <c r="O137" s="166"/>
      <c r="P137" s="165"/>
      <c r="Q137" s="171"/>
    </row>
    <row r="138" spans="1:17" customFormat="1" ht="15" customHeight="1" x14ac:dyDescent="0.25">
      <c r="A138" s="167"/>
      <c r="B138" s="167"/>
      <c r="C138" s="167"/>
      <c r="D138" s="167"/>
      <c r="E138" s="167"/>
      <c r="F138" s="167"/>
      <c r="G138" s="167"/>
      <c r="H138" s="167"/>
      <c r="I138" s="164">
        <f t="shared" ca="1" si="2"/>
        <v>44939</v>
      </c>
      <c r="J138" s="163">
        <v>0.33333333333333331</v>
      </c>
      <c r="K138" s="162" t="s">
        <v>749</v>
      </c>
      <c r="L138" s="166"/>
      <c r="M138" s="166"/>
      <c r="N138" s="164"/>
      <c r="O138" s="166"/>
      <c r="P138" s="165"/>
      <c r="Q138" s="171"/>
    </row>
    <row r="139" spans="1:17" customFormat="1" ht="15" customHeight="1" x14ac:dyDescent="0.25">
      <c r="A139" s="167"/>
      <c r="B139" s="167"/>
      <c r="C139" s="167"/>
      <c r="D139" s="167"/>
      <c r="E139" s="167"/>
      <c r="F139" s="167"/>
      <c r="G139" s="167"/>
      <c r="H139" s="167"/>
      <c r="I139" s="164">
        <f t="shared" ca="1" si="2"/>
        <v>44939</v>
      </c>
      <c r="J139" s="163">
        <v>0.33333333333333331</v>
      </c>
      <c r="K139" s="162" t="s">
        <v>749</v>
      </c>
      <c r="L139" s="166"/>
      <c r="M139" s="166"/>
      <c r="N139" s="164"/>
      <c r="O139" s="166"/>
      <c r="P139" s="165"/>
      <c r="Q139" s="171"/>
    </row>
    <row r="140" spans="1:17" customFormat="1" ht="15" customHeight="1" x14ac:dyDescent="0.25">
      <c r="A140" s="167"/>
      <c r="B140" s="167"/>
      <c r="C140" s="167"/>
      <c r="D140" s="167"/>
      <c r="E140" s="167"/>
      <c r="F140" s="167"/>
      <c r="G140" s="167"/>
      <c r="H140" s="167"/>
      <c r="I140" s="164">
        <f t="shared" ca="1" si="2"/>
        <v>44939</v>
      </c>
      <c r="J140" s="163">
        <v>0.33333333333333331</v>
      </c>
      <c r="K140" s="162" t="s">
        <v>749</v>
      </c>
      <c r="L140" s="166"/>
      <c r="M140" s="166"/>
      <c r="N140" s="164"/>
      <c r="O140" s="166"/>
      <c r="P140" s="165"/>
      <c r="Q140" s="171"/>
    </row>
    <row r="141" spans="1:17" customFormat="1" ht="15" customHeight="1" x14ac:dyDescent="0.25">
      <c r="A141" s="167"/>
      <c r="B141" s="167"/>
      <c r="C141" s="167"/>
      <c r="D141" s="167"/>
      <c r="E141" s="167"/>
      <c r="F141" s="167"/>
      <c r="G141" s="167"/>
      <c r="H141" s="167"/>
      <c r="I141" s="164">
        <f t="shared" ca="1" si="2"/>
        <v>44939</v>
      </c>
      <c r="J141" s="163">
        <v>0.33333333333333331</v>
      </c>
      <c r="K141" s="162" t="s">
        <v>749</v>
      </c>
      <c r="L141" s="166"/>
      <c r="M141" s="166"/>
      <c r="N141" s="164"/>
      <c r="O141" s="166"/>
      <c r="P141" s="165"/>
      <c r="Q141" s="171"/>
    </row>
    <row r="142" spans="1:17" customFormat="1" ht="15" customHeight="1" x14ac:dyDescent="0.25">
      <c r="A142" s="167"/>
      <c r="B142" s="167"/>
      <c r="C142" s="167"/>
      <c r="D142" s="167"/>
      <c r="E142" s="167"/>
      <c r="F142" s="167"/>
      <c r="G142" s="167"/>
      <c r="H142" s="167"/>
      <c r="I142" s="164">
        <f t="shared" ca="1" si="2"/>
        <v>44939</v>
      </c>
      <c r="J142" s="163">
        <v>0.33333333333333331</v>
      </c>
      <c r="K142" s="162" t="s">
        <v>749</v>
      </c>
      <c r="L142" s="166"/>
      <c r="M142" s="166"/>
      <c r="N142" s="164"/>
      <c r="O142" s="166"/>
      <c r="P142" s="165"/>
      <c r="Q142" s="171"/>
    </row>
    <row r="143" spans="1:17" customFormat="1" ht="15" customHeight="1" x14ac:dyDescent="0.25">
      <c r="A143" s="167"/>
      <c r="B143" s="167"/>
      <c r="C143" s="167"/>
      <c r="D143" s="167"/>
      <c r="E143" s="167"/>
      <c r="F143" s="167"/>
      <c r="G143" s="167"/>
      <c r="H143" s="167"/>
      <c r="I143" s="164">
        <f t="shared" ca="1" si="2"/>
        <v>44939</v>
      </c>
      <c r="J143" s="163">
        <v>0.33333333333333331</v>
      </c>
      <c r="K143" s="162" t="s">
        <v>749</v>
      </c>
      <c r="L143" s="166"/>
      <c r="M143" s="166"/>
      <c r="N143" s="164"/>
      <c r="O143" s="166"/>
      <c r="P143" s="165"/>
      <c r="Q143" s="171"/>
    </row>
    <row r="144" spans="1:17" customFormat="1" ht="15" customHeight="1" x14ac:dyDescent="0.25">
      <c r="A144" s="167"/>
      <c r="B144" s="167"/>
      <c r="C144" s="167"/>
      <c r="D144" s="167"/>
      <c r="E144" s="167"/>
      <c r="F144" s="167"/>
      <c r="G144" s="167"/>
      <c r="H144" s="167"/>
      <c r="I144" s="164">
        <f t="shared" ca="1" si="2"/>
        <v>44939</v>
      </c>
      <c r="J144" s="163">
        <v>0.33333333333333331</v>
      </c>
      <c r="K144" s="162" t="s">
        <v>749</v>
      </c>
      <c r="L144" s="166"/>
      <c r="M144" s="166"/>
      <c r="N144" s="164"/>
      <c r="O144" s="166"/>
      <c r="P144" s="165"/>
      <c r="Q144" s="171"/>
    </row>
    <row r="145" spans="1:17" customFormat="1" ht="15" customHeight="1" x14ac:dyDescent="0.25">
      <c r="A145" s="167"/>
      <c r="B145" s="167"/>
      <c r="C145" s="167"/>
      <c r="D145" s="167"/>
      <c r="E145" s="167"/>
      <c r="F145" s="167"/>
      <c r="G145" s="167"/>
      <c r="H145" s="167"/>
      <c r="I145" s="164">
        <f t="shared" ca="1" si="2"/>
        <v>44939</v>
      </c>
      <c r="J145" s="163">
        <v>0.33333333333333331</v>
      </c>
      <c r="K145" s="162" t="s">
        <v>749</v>
      </c>
      <c r="L145" s="166"/>
      <c r="M145" s="166"/>
      <c r="N145" s="164"/>
      <c r="O145" s="166"/>
      <c r="P145" s="165"/>
      <c r="Q145" s="171"/>
    </row>
    <row r="146" spans="1:17" customFormat="1" ht="15" customHeight="1" x14ac:dyDescent="0.25">
      <c r="A146" s="168"/>
      <c r="B146" s="167"/>
      <c r="C146" s="168"/>
      <c r="D146" s="167"/>
      <c r="E146" s="167"/>
      <c r="F146" s="167"/>
      <c r="G146" s="167"/>
      <c r="H146" s="167"/>
      <c r="I146" s="164">
        <f t="shared" ca="1" si="2"/>
        <v>44939</v>
      </c>
      <c r="J146" s="163">
        <v>0.33333333333333331</v>
      </c>
      <c r="K146" s="162" t="s">
        <v>749</v>
      </c>
      <c r="L146" s="166"/>
      <c r="M146" s="166"/>
      <c r="N146" s="164"/>
      <c r="O146" s="166"/>
      <c r="P146" s="165"/>
      <c r="Q146" s="171"/>
    </row>
    <row r="147" spans="1:17" customFormat="1" ht="15" customHeight="1" x14ac:dyDescent="0.25">
      <c r="A147" s="168"/>
      <c r="B147" s="167"/>
      <c r="C147" s="168"/>
      <c r="D147" s="167"/>
      <c r="E147" s="167"/>
      <c r="F147" s="167"/>
      <c r="G147" s="167"/>
      <c r="H147" s="167"/>
      <c r="I147" s="164">
        <f t="shared" ca="1" si="2"/>
        <v>44939</v>
      </c>
      <c r="J147" s="163">
        <v>0.33333333333333331</v>
      </c>
      <c r="K147" s="162" t="s">
        <v>749</v>
      </c>
      <c r="L147" s="166"/>
      <c r="M147" s="166"/>
      <c r="N147" s="164"/>
      <c r="O147" s="166"/>
      <c r="P147" s="165"/>
      <c r="Q147" s="171"/>
    </row>
    <row r="148" spans="1:17" customFormat="1" ht="15" customHeight="1" x14ac:dyDescent="0.25">
      <c r="A148" s="168"/>
      <c r="B148" s="167"/>
      <c r="C148" s="168"/>
      <c r="D148" s="167"/>
      <c r="E148" s="167"/>
      <c r="F148" s="167"/>
      <c r="G148" s="167"/>
      <c r="H148" s="167"/>
      <c r="I148" s="164">
        <f t="shared" ca="1" si="2"/>
        <v>44939</v>
      </c>
      <c r="J148" s="163">
        <v>0.33333333333333331</v>
      </c>
      <c r="K148" s="162" t="s">
        <v>749</v>
      </c>
      <c r="L148" s="166"/>
      <c r="M148" s="166"/>
      <c r="N148" s="164"/>
      <c r="O148" s="166"/>
      <c r="P148" s="165"/>
      <c r="Q148" s="171"/>
    </row>
    <row r="149" spans="1:17" customFormat="1" ht="15" customHeight="1" x14ac:dyDescent="0.25">
      <c r="A149" s="168"/>
      <c r="B149" s="167"/>
      <c r="C149" s="168"/>
      <c r="D149" s="167"/>
      <c r="E149" s="167"/>
      <c r="F149" s="167"/>
      <c r="G149" s="167"/>
      <c r="H149" s="167"/>
      <c r="I149" s="164">
        <f t="shared" ca="1" si="2"/>
        <v>44939</v>
      </c>
      <c r="J149" s="163">
        <v>0.33333333333333331</v>
      </c>
      <c r="K149" s="162" t="s">
        <v>749</v>
      </c>
      <c r="L149" s="166"/>
      <c r="M149" s="166"/>
      <c r="N149" s="164"/>
      <c r="O149" s="166"/>
      <c r="P149" s="165"/>
      <c r="Q149" s="171"/>
    </row>
    <row r="150" spans="1:17" customFormat="1" ht="15" customHeight="1" x14ac:dyDescent="0.25">
      <c r="A150" s="168"/>
      <c r="B150" s="167"/>
      <c r="C150" s="168"/>
      <c r="D150" s="167"/>
      <c r="E150" s="167"/>
      <c r="F150" s="167"/>
      <c r="G150" s="167"/>
      <c r="H150" s="167"/>
      <c r="I150" s="164">
        <f t="shared" ca="1" si="2"/>
        <v>44939</v>
      </c>
      <c r="J150" s="163">
        <v>0.33333333333333331</v>
      </c>
      <c r="K150" s="162" t="s">
        <v>749</v>
      </c>
      <c r="L150" s="166"/>
      <c r="M150" s="166"/>
      <c r="N150" s="164"/>
      <c r="O150" s="166"/>
      <c r="P150" s="165"/>
      <c r="Q150" s="171"/>
    </row>
    <row r="151" spans="1:17" customFormat="1" ht="15" customHeight="1" x14ac:dyDescent="0.25">
      <c r="A151" s="168"/>
      <c r="B151" s="167"/>
      <c r="C151" s="168"/>
      <c r="D151" s="167"/>
      <c r="E151" s="167"/>
      <c r="F151" s="167"/>
      <c r="G151" s="167"/>
      <c r="H151" s="167"/>
      <c r="I151" s="164">
        <f t="shared" ca="1" si="2"/>
        <v>44939</v>
      </c>
      <c r="J151" s="163">
        <v>0.33333333333333331</v>
      </c>
      <c r="K151" s="162" t="s">
        <v>749</v>
      </c>
      <c r="L151" s="166"/>
      <c r="M151" s="166"/>
      <c r="N151" s="164"/>
      <c r="O151" s="166"/>
      <c r="P151" s="165"/>
      <c r="Q151" s="171"/>
    </row>
    <row r="152" spans="1:17" customFormat="1" ht="15" customHeight="1" x14ac:dyDescent="0.25">
      <c r="A152" s="167"/>
      <c r="B152" s="167"/>
      <c r="C152" s="167"/>
      <c r="D152" s="167"/>
      <c r="E152" s="167"/>
      <c r="F152" s="167"/>
      <c r="G152" s="167"/>
      <c r="H152" s="167"/>
      <c r="I152" s="164">
        <f t="shared" ref="I152:I215" ca="1" si="3">TODAY()</f>
        <v>44939</v>
      </c>
      <c r="J152" s="163">
        <v>0.33333333333333331</v>
      </c>
      <c r="K152" s="162" t="s">
        <v>749</v>
      </c>
      <c r="L152" s="166"/>
      <c r="M152" s="166"/>
      <c r="N152" s="164"/>
      <c r="O152" s="166"/>
      <c r="P152" s="165"/>
      <c r="Q152" s="171"/>
    </row>
    <row r="153" spans="1:17" customFormat="1" ht="15" customHeight="1" x14ac:dyDescent="0.25">
      <c r="A153" s="167"/>
      <c r="B153" s="167"/>
      <c r="C153" s="167"/>
      <c r="D153" s="167"/>
      <c r="E153" s="167"/>
      <c r="F153" s="167"/>
      <c r="G153" s="167"/>
      <c r="H153" s="167"/>
      <c r="I153" s="164">
        <f t="shared" ca="1" si="3"/>
        <v>44939</v>
      </c>
      <c r="J153" s="163">
        <v>0.33333333333333331</v>
      </c>
      <c r="K153" s="162" t="s">
        <v>749</v>
      </c>
      <c r="L153" s="166"/>
      <c r="M153" s="166"/>
      <c r="N153" s="164"/>
      <c r="O153" s="166"/>
      <c r="P153" s="165"/>
      <c r="Q153" s="171"/>
    </row>
    <row r="154" spans="1:17" customFormat="1" ht="15" customHeight="1" x14ac:dyDescent="0.25">
      <c r="A154" s="167"/>
      <c r="B154" s="167"/>
      <c r="C154" s="167"/>
      <c r="D154" s="167"/>
      <c r="E154" s="167"/>
      <c r="F154" s="167"/>
      <c r="G154" s="167"/>
      <c r="H154" s="167"/>
      <c r="I154" s="164">
        <f t="shared" ca="1" si="3"/>
        <v>44939</v>
      </c>
      <c r="J154" s="163">
        <v>0.33333333333333331</v>
      </c>
      <c r="K154" s="162" t="s">
        <v>749</v>
      </c>
      <c r="L154" s="166"/>
      <c r="M154" s="166"/>
      <c r="N154" s="164"/>
      <c r="O154" s="166"/>
      <c r="P154" s="165"/>
      <c r="Q154" s="171"/>
    </row>
    <row r="155" spans="1:17" customFormat="1" ht="15" customHeight="1" x14ac:dyDescent="0.25">
      <c r="A155" s="167"/>
      <c r="B155" s="167"/>
      <c r="C155" s="167"/>
      <c r="D155" s="167"/>
      <c r="E155" s="167"/>
      <c r="F155" s="167"/>
      <c r="G155" s="167"/>
      <c r="H155" s="167"/>
      <c r="I155" s="164">
        <f t="shared" ca="1" si="3"/>
        <v>44939</v>
      </c>
      <c r="J155" s="163">
        <v>0.33333333333333331</v>
      </c>
      <c r="K155" s="162" t="s">
        <v>749</v>
      </c>
      <c r="L155" s="166"/>
      <c r="M155" s="166"/>
      <c r="N155" s="164"/>
      <c r="O155" s="166"/>
      <c r="P155" s="165"/>
      <c r="Q155" s="171"/>
    </row>
    <row r="156" spans="1:17" customFormat="1" ht="15" customHeight="1" x14ac:dyDescent="0.25">
      <c r="A156" s="167"/>
      <c r="B156" s="167"/>
      <c r="C156" s="167"/>
      <c r="D156" s="167"/>
      <c r="E156" s="167"/>
      <c r="F156" s="167"/>
      <c r="G156" s="167"/>
      <c r="H156" s="167"/>
      <c r="I156" s="164">
        <f t="shared" ca="1" si="3"/>
        <v>44939</v>
      </c>
      <c r="J156" s="163">
        <v>0.33333333333333331</v>
      </c>
      <c r="K156" s="162" t="s">
        <v>749</v>
      </c>
      <c r="L156" s="166"/>
      <c r="M156" s="166"/>
      <c r="N156" s="164"/>
      <c r="O156" s="166"/>
      <c r="P156" s="165"/>
      <c r="Q156" s="171"/>
    </row>
    <row r="157" spans="1:17" customFormat="1" ht="15" customHeight="1" x14ac:dyDescent="0.25">
      <c r="A157" s="167"/>
      <c r="B157" s="167"/>
      <c r="C157" s="167"/>
      <c r="D157" s="167"/>
      <c r="E157" s="167"/>
      <c r="F157" s="167"/>
      <c r="G157" s="167"/>
      <c r="H157" s="167"/>
      <c r="I157" s="164">
        <f t="shared" ca="1" si="3"/>
        <v>44939</v>
      </c>
      <c r="J157" s="163">
        <v>0.33333333333333331</v>
      </c>
      <c r="K157" s="162" t="s">
        <v>749</v>
      </c>
      <c r="L157" s="166"/>
      <c r="M157" s="166"/>
      <c r="N157" s="164"/>
      <c r="O157" s="166"/>
      <c r="P157" s="165"/>
      <c r="Q157" s="171"/>
    </row>
    <row r="158" spans="1:17" customFormat="1" ht="15" customHeight="1" x14ac:dyDescent="0.25">
      <c r="A158" s="167"/>
      <c r="B158" s="167"/>
      <c r="C158" s="167"/>
      <c r="D158" s="167"/>
      <c r="E158" s="167"/>
      <c r="F158" s="167"/>
      <c r="G158" s="167"/>
      <c r="H158" s="167"/>
      <c r="I158" s="164">
        <f t="shared" ca="1" si="3"/>
        <v>44939</v>
      </c>
      <c r="J158" s="163">
        <v>0.33333333333333331</v>
      </c>
      <c r="K158" s="162" t="s">
        <v>749</v>
      </c>
      <c r="L158" s="166"/>
      <c r="M158" s="166"/>
      <c r="N158" s="164"/>
      <c r="O158" s="166"/>
      <c r="P158" s="165"/>
      <c r="Q158" s="171"/>
    </row>
    <row r="159" spans="1:17" customFormat="1" ht="15" customHeight="1" x14ac:dyDescent="0.25">
      <c r="A159" s="167"/>
      <c r="B159" s="167"/>
      <c r="C159" s="167"/>
      <c r="D159" s="167"/>
      <c r="E159" s="167"/>
      <c r="F159" s="167"/>
      <c r="G159" s="167"/>
      <c r="H159" s="167"/>
      <c r="I159" s="164">
        <f t="shared" ca="1" si="3"/>
        <v>44939</v>
      </c>
      <c r="J159" s="163">
        <v>0.33333333333333331</v>
      </c>
      <c r="K159" s="162" t="s">
        <v>749</v>
      </c>
      <c r="L159" s="166"/>
      <c r="M159" s="166"/>
      <c r="N159" s="164"/>
      <c r="O159" s="166"/>
      <c r="P159" s="165"/>
      <c r="Q159" s="171"/>
    </row>
    <row r="160" spans="1:17" customFormat="1" ht="15" customHeight="1" x14ac:dyDescent="0.25">
      <c r="A160" s="167"/>
      <c r="B160" s="167"/>
      <c r="C160" s="167"/>
      <c r="D160" s="167"/>
      <c r="E160" s="167"/>
      <c r="F160" s="167"/>
      <c r="G160" s="167"/>
      <c r="H160" s="167"/>
      <c r="I160" s="164">
        <f t="shared" ca="1" si="3"/>
        <v>44939</v>
      </c>
      <c r="J160" s="163">
        <v>0.33333333333333331</v>
      </c>
      <c r="K160" s="162" t="s">
        <v>749</v>
      </c>
      <c r="L160" s="166"/>
      <c r="M160" s="166"/>
      <c r="N160" s="164"/>
      <c r="O160" s="166"/>
      <c r="P160" s="165"/>
      <c r="Q160" s="171"/>
    </row>
    <row r="161" spans="1:17" customFormat="1" ht="15" customHeight="1" x14ac:dyDescent="0.25">
      <c r="A161" s="167"/>
      <c r="B161" s="167"/>
      <c r="C161" s="167"/>
      <c r="D161" s="167"/>
      <c r="E161" s="167"/>
      <c r="F161" s="167"/>
      <c r="G161" s="167"/>
      <c r="H161" s="167"/>
      <c r="I161" s="164">
        <f t="shared" ca="1" si="3"/>
        <v>44939</v>
      </c>
      <c r="J161" s="163">
        <v>0.33333333333333331</v>
      </c>
      <c r="K161" s="162" t="s">
        <v>749</v>
      </c>
      <c r="L161" s="166"/>
      <c r="M161" s="166"/>
      <c r="N161" s="164"/>
      <c r="O161" s="166"/>
      <c r="P161" s="165"/>
      <c r="Q161" s="171"/>
    </row>
    <row r="162" spans="1:17" customFormat="1" ht="15" customHeight="1" x14ac:dyDescent="0.25">
      <c r="A162" s="167"/>
      <c r="B162" s="167"/>
      <c r="C162" s="167"/>
      <c r="D162" s="167"/>
      <c r="E162" s="167"/>
      <c r="F162" s="167"/>
      <c r="G162" s="167"/>
      <c r="H162" s="167"/>
      <c r="I162" s="164">
        <f t="shared" ca="1" si="3"/>
        <v>44939</v>
      </c>
      <c r="J162" s="163">
        <v>0.33333333333333331</v>
      </c>
      <c r="K162" s="162" t="s">
        <v>749</v>
      </c>
      <c r="L162" s="166"/>
      <c r="M162" s="166"/>
      <c r="N162" s="164"/>
      <c r="O162" s="166"/>
      <c r="P162" s="165"/>
      <c r="Q162" s="171"/>
    </row>
    <row r="163" spans="1:17" customFormat="1" ht="15" customHeight="1" x14ac:dyDescent="0.25">
      <c r="A163" s="167"/>
      <c r="B163" s="167"/>
      <c r="C163" s="167"/>
      <c r="D163" s="167"/>
      <c r="E163" s="167"/>
      <c r="F163" s="167"/>
      <c r="G163" s="167"/>
      <c r="H163" s="167"/>
      <c r="I163" s="164">
        <f t="shared" ca="1" si="3"/>
        <v>44939</v>
      </c>
      <c r="J163" s="163">
        <v>0.33333333333333331</v>
      </c>
      <c r="K163" s="162" t="s">
        <v>749</v>
      </c>
      <c r="L163" s="166"/>
      <c r="M163" s="166"/>
      <c r="N163" s="164"/>
      <c r="O163" s="166"/>
      <c r="P163" s="165"/>
      <c r="Q163" s="171"/>
    </row>
    <row r="164" spans="1:17" customFormat="1" ht="15" customHeight="1" x14ac:dyDescent="0.25">
      <c r="A164" s="167"/>
      <c r="B164" s="167"/>
      <c r="C164" s="167"/>
      <c r="D164" s="167"/>
      <c r="E164" s="167"/>
      <c r="F164" s="167"/>
      <c r="G164" s="167"/>
      <c r="H164" s="167"/>
      <c r="I164" s="164">
        <f t="shared" ca="1" si="3"/>
        <v>44939</v>
      </c>
      <c r="J164" s="163">
        <v>0.33333333333333331</v>
      </c>
      <c r="K164" s="162" t="s">
        <v>749</v>
      </c>
      <c r="L164" s="166"/>
      <c r="M164" s="166"/>
      <c r="N164" s="164"/>
      <c r="O164" s="166"/>
      <c r="P164" s="165"/>
      <c r="Q164" s="171"/>
    </row>
    <row r="165" spans="1:17" customFormat="1" ht="15" customHeight="1" x14ac:dyDescent="0.25">
      <c r="A165" s="167"/>
      <c r="B165" s="167"/>
      <c r="C165" s="167"/>
      <c r="D165" s="167"/>
      <c r="E165" s="167"/>
      <c r="F165" s="167"/>
      <c r="G165" s="167"/>
      <c r="H165" s="167"/>
      <c r="I165" s="164">
        <f t="shared" ca="1" si="3"/>
        <v>44939</v>
      </c>
      <c r="J165" s="163">
        <v>0.33333333333333331</v>
      </c>
      <c r="K165" s="162" t="s">
        <v>749</v>
      </c>
      <c r="L165" s="166"/>
      <c r="M165" s="166"/>
      <c r="N165" s="164"/>
      <c r="O165" s="166"/>
      <c r="P165" s="165"/>
      <c r="Q165" s="171"/>
    </row>
    <row r="166" spans="1:17" customFormat="1" ht="15" customHeight="1" x14ac:dyDescent="0.25">
      <c r="A166" s="167"/>
      <c r="B166" s="167"/>
      <c r="C166" s="167"/>
      <c r="D166" s="167"/>
      <c r="E166" s="167"/>
      <c r="F166" s="167"/>
      <c r="G166" s="167"/>
      <c r="H166" s="167"/>
      <c r="I166" s="164">
        <f t="shared" ca="1" si="3"/>
        <v>44939</v>
      </c>
      <c r="J166" s="163">
        <v>0.33333333333333331</v>
      </c>
      <c r="K166" s="162" t="s">
        <v>749</v>
      </c>
      <c r="L166" s="166"/>
      <c r="M166" s="166"/>
      <c r="N166" s="164"/>
      <c r="O166" s="166"/>
      <c r="P166" s="165"/>
      <c r="Q166" s="171"/>
    </row>
    <row r="167" spans="1:17" customFormat="1" ht="15" customHeight="1" x14ac:dyDescent="0.25">
      <c r="A167" s="167"/>
      <c r="B167" s="167"/>
      <c r="C167" s="167"/>
      <c r="D167" s="167"/>
      <c r="E167" s="167"/>
      <c r="F167" s="167"/>
      <c r="G167" s="167"/>
      <c r="H167" s="167"/>
      <c r="I167" s="164">
        <f t="shared" ca="1" si="3"/>
        <v>44939</v>
      </c>
      <c r="J167" s="163">
        <v>0.33333333333333331</v>
      </c>
      <c r="K167" s="162" t="s">
        <v>749</v>
      </c>
      <c r="L167" s="166"/>
      <c r="M167" s="166"/>
      <c r="N167" s="164"/>
      <c r="O167" s="166"/>
      <c r="P167" s="165"/>
      <c r="Q167" s="171"/>
    </row>
    <row r="168" spans="1:17" customFormat="1" ht="15" customHeight="1" x14ac:dyDescent="0.25">
      <c r="A168" s="167"/>
      <c r="B168" s="167"/>
      <c r="C168" s="167"/>
      <c r="D168" s="167"/>
      <c r="E168" s="167"/>
      <c r="F168" s="167"/>
      <c r="G168" s="167"/>
      <c r="H168" s="167"/>
      <c r="I168" s="164">
        <f t="shared" ca="1" si="3"/>
        <v>44939</v>
      </c>
      <c r="J168" s="163">
        <v>0.33333333333333331</v>
      </c>
      <c r="K168" s="162" t="s">
        <v>749</v>
      </c>
      <c r="L168" s="166"/>
      <c r="M168" s="166"/>
      <c r="N168" s="164"/>
      <c r="O168" s="166"/>
      <c r="P168" s="165"/>
      <c r="Q168" s="171"/>
    </row>
    <row r="169" spans="1:17" customFormat="1" ht="15" customHeight="1" x14ac:dyDescent="0.25">
      <c r="A169" s="167"/>
      <c r="B169" s="167"/>
      <c r="C169" s="167"/>
      <c r="D169" s="167"/>
      <c r="E169" s="167"/>
      <c r="F169" s="167"/>
      <c r="G169" s="167"/>
      <c r="H169" s="167"/>
      <c r="I169" s="164">
        <f t="shared" ca="1" si="3"/>
        <v>44939</v>
      </c>
      <c r="J169" s="163">
        <v>0.33333333333333331</v>
      </c>
      <c r="K169" s="162" t="s">
        <v>749</v>
      </c>
      <c r="L169" s="166"/>
      <c r="M169" s="166"/>
      <c r="N169" s="164"/>
      <c r="O169" s="166"/>
      <c r="P169" s="165"/>
      <c r="Q169" s="171"/>
    </row>
    <row r="170" spans="1:17" customFormat="1" ht="15" customHeight="1" x14ac:dyDescent="0.25">
      <c r="A170" s="167"/>
      <c r="B170" s="167"/>
      <c r="C170" s="167"/>
      <c r="D170" s="167"/>
      <c r="E170" s="167"/>
      <c r="F170" s="167"/>
      <c r="G170" s="167"/>
      <c r="H170" s="167"/>
      <c r="I170" s="164">
        <f t="shared" ca="1" si="3"/>
        <v>44939</v>
      </c>
      <c r="J170" s="163">
        <v>0.33333333333333331</v>
      </c>
      <c r="K170" s="162" t="s">
        <v>749</v>
      </c>
      <c r="L170" s="166"/>
      <c r="M170" s="166"/>
      <c r="N170" s="164"/>
      <c r="O170" s="166"/>
      <c r="P170" s="165"/>
      <c r="Q170" s="171"/>
    </row>
    <row r="171" spans="1:17" customFormat="1" ht="15" customHeight="1" x14ac:dyDescent="0.25">
      <c r="A171" s="167"/>
      <c r="B171" s="167"/>
      <c r="C171" s="167"/>
      <c r="D171" s="167"/>
      <c r="E171" s="167"/>
      <c r="F171" s="167"/>
      <c r="G171" s="167"/>
      <c r="H171" s="167"/>
      <c r="I171" s="164">
        <f t="shared" ca="1" si="3"/>
        <v>44939</v>
      </c>
      <c r="J171" s="163">
        <v>0.33333333333333331</v>
      </c>
      <c r="K171" s="162" t="s">
        <v>749</v>
      </c>
      <c r="L171" s="166"/>
      <c r="M171" s="166"/>
      <c r="N171" s="164"/>
      <c r="O171" s="166"/>
      <c r="P171" s="165"/>
      <c r="Q171" s="171"/>
    </row>
    <row r="172" spans="1:17" customFormat="1" ht="15" customHeight="1" x14ac:dyDescent="0.25">
      <c r="A172" s="167"/>
      <c r="B172" s="167"/>
      <c r="C172" s="167"/>
      <c r="D172" s="167"/>
      <c r="E172" s="167"/>
      <c r="F172" s="167"/>
      <c r="G172" s="167"/>
      <c r="H172" s="167"/>
      <c r="I172" s="164">
        <f t="shared" ca="1" si="3"/>
        <v>44939</v>
      </c>
      <c r="J172" s="163">
        <v>0.33333333333333331</v>
      </c>
      <c r="K172" s="162" t="s">
        <v>749</v>
      </c>
      <c r="L172" s="166"/>
      <c r="M172" s="166"/>
      <c r="N172" s="164"/>
      <c r="O172" s="166"/>
      <c r="P172" s="165"/>
      <c r="Q172" s="171"/>
    </row>
    <row r="173" spans="1:17" customFormat="1" ht="15" customHeight="1" x14ac:dyDescent="0.25">
      <c r="A173" s="168"/>
      <c r="B173" s="167"/>
      <c r="C173" s="168"/>
      <c r="D173" s="167"/>
      <c r="E173" s="167"/>
      <c r="F173" s="167"/>
      <c r="G173" s="167"/>
      <c r="H173" s="167"/>
      <c r="I173" s="164">
        <f t="shared" ca="1" si="3"/>
        <v>44939</v>
      </c>
      <c r="J173" s="163">
        <v>0.33333333333333331</v>
      </c>
      <c r="K173" s="162" t="s">
        <v>749</v>
      </c>
      <c r="L173" s="166"/>
      <c r="M173" s="166"/>
      <c r="N173" s="164"/>
      <c r="O173" s="166"/>
      <c r="P173" s="165"/>
      <c r="Q173" s="171"/>
    </row>
    <row r="174" spans="1:17" customFormat="1" ht="15" customHeight="1" x14ac:dyDescent="0.25">
      <c r="A174" s="168"/>
      <c r="B174" s="167"/>
      <c r="C174" s="168"/>
      <c r="D174" s="167"/>
      <c r="E174" s="167"/>
      <c r="F174" s="167"/>
      <c r="G174" s="167"/>
      <c r="H174" s="167"/>
      <c r="I174" s="164">
        <f t="shared" ca="1" si="3"/>
        <v>44939</v>
      </c>
      <c r="J174" s="163">
        <v>0.33333333333333331</v>
      </c>
      <c r="K174" s="162" t="s">
        <v>749</v>
      </c>
      <c r="L174" s="166"/>
      <c r="M174" s="166"/>
      <c r="N174" s="164"/>
      <c r="O174" s="166"/>
      <c r="P174" s="165"/>
      <c r="Q174" s="171"/>
    </row>
    <row r="175" spans="1:17" customFormat="1" ht="15" customHeight="1" x14ac:dyDescent="0.25">
      <c r="A175" s="167"/>
      <c r="B175" s="167"/>
      <c r="C175" s="167"/>
      <c r="D175" s="167"/>
      <c r="E175" s="167"/>
      <c r="F175" s="167"/>
      <c r="G175" s="167"/>
      <c r="H175" s="167"/>
      <c r="I175" s="164">
        <f t="shared" ca="1" si="3"/>
        <v>44939</v>
      </c>
      <c r="J175" s="163">
        <v>0.33333333333333331</v>
      </c>
      <c r="K175" s="162" t="s">
        <v>749</v>
      </c>
      <c r="L175" s="166"/>
      <c r="M175" s="166"/>
      <c r="N175" s="164"/>
      <c r="O175" s="166"/>
      <c r="P175" s="165"/>
      <c r="Q175" s="171"/>
    </row>
    <row r="176" spans="1:17" customFormat="1" ht="15" customHeight="1" x14ac:dyDescent="0.25">
      <c r="A176" s="167"/>
      <c r="B176" s="167"/>
      <c r="C176" s="167"/>
      <c r="D176" s="167"/>
      <c r="E176" s="167"/>
      <c r="F176" s="167"/>
      <c r="G176" s="167"/>
      <c r="H176" s="167"/>
      <c r="I176" s="164">
        <f t="shared" ca="1" si="3"/>
        <v>44939</v>
      </c>
      <c r="J176" s="163">
        <v>0.33333333333333331</v>
      </c>
      <c r="K176" s="162" t="s">
        <v>749</v>
      </c>
      <c r="L176" s="166"/>
      <c r="M176" s="166"/>
      <c r="N176" s="164"/>
      <c r="O176" s="166"/>
      <c r="P176" s="165"/>
      <c r="Q176" s="171"/>
    </row>
    <row r="177" spans="1:17" customFormat="1" ht="15" customHeight="1" x14ac:dyDescent="0.25">
      <c r="A177" s="167"/>
      <c r="B177" s="167"/>
      <c r="C177" s="167"/>
      <c r="D177" s="167"/>
      <c r="E177" s="167"/>
      <c r="F177" s="167"/>
      <c r="G177" s="167"/>
      <c r="H177" s="167"/>
      <c r="I177" s="164">
        <f t="shared" ca="1" si="3"/>
        <v>44939</v>
      </c>
      <c r="J177" s="163">
        <v>0.33333333333333331</v>
      </c>
      <c r="K177" s="162" t="s">
        <v>749</v>
      </c>
      <c r="L177" s="166"/>
      <c r="M177" s="166"/>
      <c r="N177" s="164"/>
      <c r="O177" s="166"/>
      <c r="P177" s="165"/>
      <c r="Q177" s="171"/>
    </row>
    <row r="178" spans="1:17" customFormat="1" ht="15" customHeight="1" x14ac:dyDescent="0.25">
      <c r="A178" s="167"/>
      <c r="B178" s="167"/>
      <c r="C178" s="167"/>
      <c r="D178" s="167"/>
      <c r="E178" s="167"/>
      <c r="F178" s="167"/>
      <c r="G178" s="167"/>
      <c r="H178" s="167"/>
      <c r="I178" s="164">
        <f t="shared" ca="1" si="3"/>
        <v>44939</v>
      </c>
      <c r="J178" s="163">
        <v>0.33333333333333331</v>
      </c>
      <c r="K178" s="162" t="s">
        <v>749</v>
      </c>
      <c r="L178" s="166"/>
      <c r="M178" s="166"/>
      <c r="N178" s="164"/>
      <c r="O178" s="166"/>
      <c r="P178" s="165"/>
      <c r="Q178" s="171"/>
    </row>
    <row r="179" spans="1:17" customFormat="1" ht="15" customHeight="1" x14ac:dyDescent="0.25">
      <c r="A179" s="167"/>
      <c r="B179" s="167"/>
      <c r="C179" s="167"/>
      <c r="D179" s="167"/>
      <c r="E179" s="167"/>
      <c r="F179" s="167"/>
      <c r="G179" s="167"/>
      <c r="H179" s="167"/>
      <c r="I179" s="164">
        <f t="shared" ca="1" si="3"/>
        <v>44939</v>
      </c>
      <c r="J179" s="163">
        <v>0.33333333333333331</v>
      </c>
      <c r="K179" s="162" t="s">
        <v>749</v>
      </c>
      <c r="L179" s="166"/>
      <c r="M179" s="166"/>
      <c r="N179" s="164"/>
      <c r="O179" s="166"/>
      <c r="P179" s="165"/>
      <c r="Q179" s="171"/>
    </row>
    <row r="180" spans="1:17" customFormat="1" ht="15" customHeight="1" x14ac:dyDescent="0.25">
      <c r="A180" s="167"/>
      <c r="B180" s="167"/>
      <c r="C180" s="167"/>
      <c r="D180" s="167"/>
      <c r="E180" s="167"/>
      <c r="F180" s="167"/>
      <c r="G180" s="167"/>
      <c r="H180" s="167"/>
      <c r="I180" s="164">
        <f t="shared" ca="1" si="3"/>
        <v>44939</v>
      </c>
      <c r="J180" s="163">
        <v>0.33333333333333331</v>
      </c>
      <c r="K180" s="162" t="s">
        <v>749</v>
      </c>
      <c r="L180" s="166"/>
      <c r="M180" s="166"/>
      <c r="N180" s="164"/>
      <c r="O180" s="166"/>
      <c r="P180" s="165"/>
      <c r="Q180" s="171"/>
    </row>
    <row r="181" spans="1:17" customFormat="1" ht="15" customHeight="1" x14ac:dyDescent="0.25">
      <c r="A181" s="167"/>
      <c r="B181" s="167"/>
      <c r="C181" s="167"/>
      <c r="D181" s="167"/>
      <c r="E181" s="167"/>
      <c r="F181" s="167"/>
      <c r="G181" s="167"/>
      <c r="H181" s="167"/>
      <c r="I181" s="164">
        <f t="shared" ca="1" si="3"/>
        <v>44939</v>
      </c>
      <c r="J181" s="163">
        <v>0.33333333333333331</v>
      </c>
      <c r="K181" s="162" t="s">
        <v>749</v>
      </c>
      <c r="L181" s="166"/>
      <c r="M181" s="166"/>
      <c r="N181" s="164"/>
      <c r="O181" s="166"/>
      <c r="P181" s="165"/>
      <c r="Q181" s="171"/>
    </row>
    <row r="182" spans="1:17" customFormat="1" ht="15" customHeight="1" x14ac:dyDescent="0.25">
      <c r="A182" s="167"/>
      <c r="B182" s="167"/>
      <c r="C182" s="167"/>
      <c r="D182" s="167"/>
      <c r="E182" s="167"/>
      <c r="F182" s="167"/>
      <c r="G182" s="167"/>
      <c r="H182" s="167"/>
      <c r="I182" s="164">
        <f t="shared" ca="1" si="3"/>
        <v>44939</v>
      </c>
      <c r="J182" s="163">
        <v>0.33333333333333331</v>
      </c>
      <c r="K182" s="162" t="s">
        <v>749</v>
      </c>
      <c r="L182" s="166"/>
      <c r="M182" s="166"/>
      <c r="N182" s="164"/>
      <c r="O182" s="166"/>
      <c r="P182" s="165"/>
      <c r="Q182" s="171"/>
    </row>
    <row r="183" spans="1:17" customFormat="1" ht="15" customHeight="1" x14ac:dyDescent="0.25">
      <c r="A183" s="167"/>
      <c r="B183" s="167"/>
      <c r="C183" s="167"/>
      <c r="D183" s="167"/>
      <c r="E183" s="167"/>
      <c r="F183" s="167"/>
      <c r="G183" s="167"/>
      <c r="H183" s="167"/>
      <c r="I183" s="164">
        <f t="shared" ca="1" si="3"/>
        <v>44939</v>
      </c>
      <c r="J183" s="163">
        <v>0.33333333333333331</v>
      </c>
      <c r="K183" s="162" t="s">
        <v>749</v>
      </c>
      <c r="L183" s="166"/>
      <c r="M183" s="166"/>
      <c r="N183" s="164"/>
      <c r="O183" s="166"/>
      <c r="P183" s="165"/>
      <c r="Q183" s="171"/>
    </row>
    <row r="184" spans="1:17" customFormat="1" ht="15" customHeight="1" x14ac:dyDescent="0.25">
      <c r="A184" s="167"/>
      <c r="B184" s="167"/>
      <c r="C184" s="167"/>
      <c r="D184" s="167"/>
      <c r="E184" s="167"/>
      <c r="F184" s="167"/>
      <c r="G184" s="167"/>
      <c r="H184" s="167"/>
      <c r="I184" s="164">
        <f t="shared" ca="1" si="3"/>
        <v>44939</v>
      </c>
      <c r="J184" s="163">
        <v>0.33333333333333331</v>
      </c>
      <c r="K184" s="162" t="s">
        <v>749</v>
      </c>
      <c r="L184" s="166"/>
      <c r="M184" s="166"/>
      <c r="N184" s="164"/>
      <c r="O184" s="166"/>
      <c r="P184" s="165"/>
      <c r="Q184" s="171"/>
    </row>
    <row r="185" spans="1:17" customFormat="1" ht="15" customHeight="1" x14ac:dyDescent="0.25">
      <c r="A185" s="167"/>
      <c r="B185" s="167"/>
      <c r="C185" s="167"/>
      <c r="D185" s="167"/>
      <c r="E185" s="167"/>
      <c r="F185" s="167"/>
      <c r="G185" s="167"/>
      <c r="H185" s="167"/>
      <c r="I185" s="164">
        <f t="shared" ca="1" si="3"/>
        <v>44939</v>
      </c>
      <c r="J185" s="163">
        <v>0.33333333333333331</v>
      </c>
      <c r="K185" s="162" t="s">
        <v>749</v>
      </c>
      <c r="L185" s="166"/>
      <c r="M185" s="166"/>
      <c r="N185" s="164"/>
      <c r="O185" s="166"/>
      <c r="P185" s="165"/>
      <c r="Q185" s="171"/>
    </row>
    <row r="186" spans="1:17" customFormat="1" ht="15" customHeight="1" x14ac:dyDescent="0.25">
      <c r="A186" s="167"/>
      <c r="B186" s="167"/>
      <c r="C186" s="167"/>
      <c r="D186" s="167"/>
      <c r="E186" s="167"/>
      <c r="F186" s="167"/>
      <c r="G186" s="167"/>
      <c r="H186" s="167"/>
      <c r="I186" s="164">
        <f t="shared" ca="1" si="3"/>
        <v>44939</v>
      </c>
      <c r="J186" s="163">
        <v>0.33333333333333331</v>
      </c>
      <c r="K186" s="162" t="s">
        <v>749</v>
      </c>
      <c r="L186" s="166"/>
      <c r="M186" s="166"/>
      <c r="N186" s="164"/>
      <c r="O186" s="166"/>
      <c r="P186" s="165"/>
      <c r="Q186" s="171"/>
    </row>
    <row r="187" spans="1:17" customFormat="1" ht="15" customHeight="1" x14ac:dyDescent="0.25">
      <c r="A187" s="167"/>
      <c r="B187" s="167"/>
      <c r="C187" s="167"/>
      <c r="D187" s="167"/>
      <c r="E187" s="167"/>
      <c r="F187" s="167"/>
      <c r="G187" s="167"/>
      <c r="H187" s="167"/>
      <c r="I187" s="164">
        <f t="shared" ca="1" si="3"/>
        <v>44939</v>
      </c>
      <c r="J187" s="163">
        <v>0.33333333333333331</v>
      </c>
      <c r="K187" s="162" t="s">
        <v>749</v>
      </c>
      <c r="L187" s="166"/>
      <c r="M187" s="166"/>
      <c r="N187" s="164"/>
      <c r="O187" s="166"/>
      <c r="P187" s="165"/>
      <c r="Q187" s="171"/>
    </row>
    <row r="188" spans="1:17" customFormat="1" ht="15" customHeight="1" x14ac:dyDescent="0.25">
      <c r="A188" s="168"/>
      <c r="B188" s="167"/>
      <c r="C188" s="168"/>
      <c r="D188" s="167"/>
      <c r="E188" s="167"/>
      <c r="F188" s="167"/>
      <c r="G188" s="167"/>
      <c r="H188" s="167"/>
      <c r="I188" s="164">
        <f t="shared" ca="1" si="3"/>
        <v>44939</v>
      </c>
      <c r="J188" s="163">
        <v>0.33333333333333331</v>
      </c>
      <c r="K188" s="162" t="s">
        <v>749</v>
      </c>
      <c r="L188" s="166"/>
      <c r="M188" s="166"/>
      <c r="N188" s="164"/>
      <c r="O188" s="166"/>
      <c r="P188" s="165"/>
      <c r="Q188" s="171"/>
    </row>
    <row r="189" spans="1:17" customFormat="1" ht="15" customHeight="1" x14ac:dyDescent="0.25">
      <c r="A189" s="168"/>
      <c r="B189" s="167"/>
      <c r="C189" s="168"/>
      <c r="D189" s="167"/>
      <c r="E189" s="167"/>
      <c r="F189" s="167"/>
      <c r="G189" s="167"/>
      <c r="H189" s="167"/>
      <c r="I189" s="164">
        <f t="shared" ca="1" si="3"/>
        <v>44939</v>
      </c>
      <c r="J189" s="163">
        <v>0.33333333333333331</v>
      </c>
      <c r="K189" s="162" t="s">
        <v>749</v>
      </c>
      <c r="L189" s="166"/>
      <c r="M189" s="166"/>
      <c r="N189" s="164"/>
      <c r="O189" s="166"/>
      <c r="P189" s="165"/>
      <c r="Q189" s="171"/>
    </row>
    <row r="190" spans="1:17" customFormat="1" ht="15" customHeight="1" x14ac:dyDescent="0.25">
      <c r="A190" s="168"/>
      <c r="B190" s="167"/>
      <c r="C190" s="168"/>
      <c r="D190" s="167"/>
      <c r="E190" s="167"/>
      <c r="F190" s="167"/>
      <c r="G190" s="167"/>
      <c r="H190" s="167"/>
      <c r="I190" s="164">
        <f t="shared" ca="1" si="3"/>
        <v>44939</v>
      </c>
      <c r="J190" s="163">
        <v>0.33333333333333331</v>
      </c>
      <c r="K190" s="162" t="s">
        <v>749</v>
      </c>
      <c r="L190" s="166"/>
      <c r="M190" s="166"/>
      <c r="N190" s="164"/>
      <c r="O190" s="166"/>
      <c r="P190" s="165"/>
      <c r="Q190" s="171"/>
    </row>
    <row r="191" spans="1:17" customFormat="1" ht="15" customHeight="1" x14ac:dyDescent="0.25">
      <c r="A191" s="168"/>
      <c r="B191" s="167"/>
      <c r="C191" s="168"/>
      <c r="D191" s="167"/>
      <c r="E191" s="167"/>
      <c r="F191" s="167"/>
      <c r="G191" s="167"/>
      <c r="H191" s="167"/>
      <c r="I191" s="164">
        <f t="shared" ca="1" si="3"/>
        <v>44939</v>
      </c>
      <c r="J191" s="163">
        <v>0.33333333333333331</v>
      </c>
      <c r="K191" s="162" t="s">
        <v>749</v>
      </c>
      <c r="L191" s="166"/>
      <c r="M191" s="166"/>
      <c r="N191" s="164"/>
      <c r="O191" s="166"/>
      <c r="P191" s="165"/>
      <c r="Q191" s="171"/>
    </row>
    <row r="192" spans="1:17" customFormat="1" ht="15" customHeight="1" x14ac:dyDescent="0.25">
      <c r="A192" s="168"/>
      <c r="B192" s="167"/>
      <c r="C192" s="168"/>
      <c r="D192" s="167"/>
      <c r="E192" s="167"/>
      <c r="F192" s="167"/>
      <c r="G192" s="167"/>
      <c r="H192" s="167"/>
      <c r="I192" s="164">
        <f t="shared" ca="1" si="3"/>
        <v>44939</v>
      </c>
      <c r="J192" s="163">
        <v>0.33333333333333331</v>
      </c>
      <c r="K192" s="162" t="s">
        <v>749</v>
      </c>
      <c r="L192" s="166"/>
      <c r="M192" s="166"/>
      <c r="N192" s="164"/>
      <c r="O192" s="166"/>
      <c r="P192" s="165"/>
      <c r="Q192" s="171"/>
    </row>
    <row r="193" spans="1:17" customFormat="1" ht="15" customHeight="1" x14ac:dyDescent="0.25">
      <c r="A193" s="168"/>
      <c r="B193" s="167"/>
      <c r="C193" s="168"/>
      <c r="D193" s="167"/>
      <c r="E193" s="167"/>
      <c r="F193" s="167"/>
      <c r="G193" s="167"/>
      <c r="H193" s="167"/>
      <c r="I193" s="164">
        <f t="shared" ca="1" si="3"/>
        <v>44939</v>
      </c>
      <c r="J193" s="163">
        <v>0.33333333333333331</v>
      </c>
      <c r="K193" s="162" t="s">
        <v>749</v>
      </c>
      <c r="L193" s="166"/>
      <c r="M193" s="166"/>
      <c r="N193" s="164"/>
      <c r="O193" s="166"/>
      <c r="P193" s="165"/>
      <c r="Q193" s="171"/>
    </row>
    <row r="194" spans="1:17" customFormat="1" ht="15" customHeight="1" x14ac:dyDescent="0.25">
      <c r="A194" s="168"/>
      <c r="B194" s="167"/>
      <c r="C194" s="168"/>
      <c r="D194" s="167"/>
      <c r="E194" s="167"/>
      <c r="F194" s="167"/>
      <c r="G194" s="167"/>
      <c r="H194" s="167"/>
      <c r="I194" s="164">
        <f t="shared" ca="1" si="3"/>
        <v>44939</v>
      </c>
      <c r="J194" s="163">
        <v>0.33333333333333331</v>
      </c>
      <c r="K194" s="162" t="s">
        <v>749</v>
      </c>
      <c r="L194" s="166"/>
      <c r="M194" s="166"/>
      <c r="N194" s="164"/>
      <c r="O194" s="166"/>
      <c r="P194" s="165"/>
      <c r="Q194" s="171"/>
    </row>
    <row r="195" spans="1:17" customFormat="1" ht="15" customHeight="1" x14ac:dyDescent="0.25">
      <c r="A195" s="168"/>
      <c r="B195" s="167"/>
      <c r="C195" s="168"/>
      <c r="D195" s="167"/>
      <c r="E195" s="167"/>
      <c r="F195" s="167"/>
      <c r="G195" s="167"/>
      <c r="H195" s="167"/>
      <c r="I195" s="164">
        <f t="shared" ca="1" si="3"/>
        <v>44939</v>
      </c>
      <c r="J195" s="163">
        <v>0.33333333333333331</v>
      </c>
      <c r="K195" s="162" t="s">
        <v>749</v>
      </c>
      <c r="L195" s="166"/>
      <c r="M195" s="166"/>
      <c r="N195" s="164"/>
      <c r="O195" s="166"/>
      <c r="P195" s="165"/>
      <c r="Q195" s="171"/>
    </row>
    <row r="196" spans="1:17" customFormat="1" ht="15" customHeight="1" x14ac:dyDescent="0.25">
      <c r="A196" s="168"/>
      <c r="B196" s="167"/>
      <c r="C196" s="168"/>
      <c r="D196" s="167"/>
      <c r="E196" s="167"/>
      <c r="F196" s="167"/>
      <c r="G196" s="167"/>
      <c r="H196" s="167"/>
      <c r="I196" s="164">
        <f t="shared" ca="1" si="3"/>
        <v>44939</v>
      </c>
      <c r="J196" s="163">
        <v>0.33333333333333331</v>
      </c>
      <c r="K196" s="162" t="s">
        <v>749</v>
      </c>
      <c r="L196" s="166"/>
      <c r="M196" s="166"/>
      <c r="N196" s="164"/>
      <c r="O196" s="166"/>
      <c r="P196" s="165"/>
      <c r="Q196" s="171"/>
    </row>
    <row r="197" spans="1:17" customFormat="1" ht="15" customHeight="1" x14ac:dyDescent="0.25">
      <c r="A197" s="168"/>
      <c r="B197" s="167"/>
      <c r="C197" s="168"/>
      <c r="D197" s="167"/>
      <c r="E197" s="167"/>
      <c r="F197" s="167"/>
      <c r="G197" s="167"/>
      <c r="H197" s="167"/>
      <c r="I197" s="164">
        <f t="shared" ca="1" si="3"/>
        <v>44939</v>
      </c>
      <c r="J197" s="163">
        <v>0.33333333333333331</v>
      </c>
      <c r="K197" s="162" t="s">
        <v>749</v>
      </c>
      <c r="L197" s="166"/>
      <c r="M197" s="166"/>
      <c r="N197" s="164"/>
      <c r="O197" s="166"/>
      <c r="P197" s="165"/>
      <c r="Q197" s="171"/>
    </row>
    <row r="198" spans="1:17" customFormat="1" ht="15" customHeight="1" x14ac:dyDescent="0.25">
      <c r="A198" s="168"/>
      <c r="B198" s="167"/>
      <c r="C198" s="168"/>
      <c r="D198" s="167"/>
      <c r="E198" s="167"/>
      <c r="F198" s="167"/>
      <c r="G198" s="167"/>
      <c r="H198" s="167"/>
      <c r="I198" s="164">
        <f t="shared" ca="1" si="3"/>
        <v>44939</v>
      </c>
      <c r="J198" s="163">
        <v>0.33333333333333331</v>
      </c>
      <c r="K198" s="162" t="s">
        <v>749</v>
      </c>
      <c r="L198" s="166"/>
      <c r="M198" s="166"/>
      <c r="N198" s="164"/>
      <c r="O198" s="166"/>
      <c r="P198" s="165"/>
      <c r="Q198" s="171"/>
    </row>
    <row r="199" spans="1:17" customFormat="1" ht="15" customHeight="1" x14ac:dyDescent="0.25">
      <c r="A199" s="168"/>
      <c r="B199" s="167"/>
      <c r="C199" s="168"/>
      <c r="D199" s="167"/>
      <c r="E199" s="167"/>
      <c r="F199" s="167"/>
      <c r="G199" s="167"/>
      <c r="H199" s="167"/>
      <c r="I199" s="164">
        <f t="shared" ca="1" si="3"/>
        <v>44939</v>
      </c>
      <c r="J199" s="163">
        <v>0.33333333333333331</v>
      </c>
      <c r="K199" s="162" t="s">
        <v>749</v>
      </c>
      <c r="L199" s="166"/>
      <c r="M199" s="166"/>
      <c r="N199" s="164"/>
      <c r="O199" s="166"/>
      <c r="P199" s="165"/>
      <c r="Q199" s="171"/>
    </row>
    <row r="200" spans="1:17" customFormat="1" ht="15" customHeight="1" x14ac:dyDescent="0.25">
      <c r="A200" s="168"/>
      <c r="B200" s="167"/>
      <c r="C200" s="168"/>
      <c r="D200" s="167"/>
      <c r="E200" s="167"/>
      <c r="F200" s="167"/>
      <c r="G200" s="167"/>
      <c r="H200" s="167"/>
      <c r="I200" s="164">
        <f t="shared" ca="1" si="3"/>
        <v>44939</v>
      </c>
      <c r="J200" s="163">
        <v>0.33333333333333331</v>
      </c>
      <c r="K200" s="162" t="s">
        <v>749</v>
      </c>
      <c r="L200" s="166"/>
      <c r="M200" s="166"/>
      <c r="N200" s="164"/>
      <c r="O200" s="166"/>
      <c r="P200" s="165"/>
      <c r="Q200" s="171"/>
    </row>
    <row r="201" spans="1:17" customFormat="1" ht="15" customHeight="1" x14ac:dyDescent="0.25">
      <c r="A201" s="168"/>
      <c r="B201" s="167"/>
      <c r="C201" s="168"/>
      <c r="D201" s="167"/>
      <c r="E201" s="167"/>
      <c r="F201" s="167"/>
      <c r="G201" s="167"/>
      <c r="H201" s="167"/>
      <c r="I201" s="164">
        <f t="shared" ca="1" si="3"/>
        <v>44939</v>
      </c>
      <c r="J201" s="163">
        <v>0.33333333333333331</v>
      </c>
      <c r="K201" s="162" t="s">
        <v>749</v>
      </c>
      <c r="L201" s="166"/>
      <c r="M201" s="166"/>
      <c r="N201" s="164"/>
      <c r="O201" s="166"/>
      <c r="P201" s="165"/>
      <c r="Q201" s="171"/>
    </row>
    <row r="202" spans="1:17" customFormat="1" ht="15" customHeight="1" x14ac:dyDescent="0.25">
      <c r="A202" s="168"/>
      <c r="B202" s="167"/>
      <c r="C202" s="168"/>
      <c r="D202" s="167"/>
      <c r="E202" s="167"/>
      <c r="F202" s="167"/>
      <c r="G202" s="167"/>
      <c r="H202" s="167"/>
      <c r="I202" s="164">
        <f t="shared" ca="1" si="3"/>
        <v>44939</v>
      </c>
      <c r="J202" s="163">
        <v>0.33333333333333331</v>
      </c>
      <c r="K202" s="162" t="s">
        <v>749</v>
      </c>
      <c r="L202" s="166"/>
      <c r="M202" s="166"/>
      <c r="N202" s="164"/>
      <c r="O202" s="166"/>
      <c r="P202" s="165"/>
      <c r="Q202" s="171"/>
    </row>
    <row r="203" spans="1:17" customFormat="1" ht="15" customHeight="1" x14ac:dyDescent="0.25">
      <c r="A203" s="167"/>
      <c r="B203" s="167"/>
      <c r="C203" s="167"/>
      <c r="D203" s="167"/>
      <c r="E203" s="167"/>
      <c r="F203" s="167"/>
      <c r="G203" s="167"/>
      <c r="H203" s="167"/>
      <c r="I203" s="164">
        <f t="shared" ca="1" si="3"/>
        <v>44939</v>
      </c>
      <c r="J203" s="163">
        <v>0.33333333333333331</v>
      </c>
      <c r="K203" s="162" t="s">
        <v>749</v>
      </c>
      <c r="L203" s="166"/>
      <c r="M203" s="166"/>
      <c r="N203" s="164"/>
      <c r="O203" s="166"/>
      <c r="P203" s="165"/>
      <c r="Q203" s="171"/>
    </row>
    <row r="204" spans="1:17" customFormat="1" ht="15" customHeight="1" x14ac:dyDescent="0.25">
      <c r="A204" s="167"/>
      <c r="B204" s="167"/>
      <c r="C204" s="167"/>
      <c r="D204" s="167"/>
      <c r="E204" s="167"/>
      <c r="F204" s="167"/>
      <c r="G204" s="167"/>
      <c r="H204" s="167"/>
      <c r="I204" s="164">
        <f t="shared" ca="1" si="3"/>
        <v>44939</v>
      </c>
      <c r="J204" s="163">
        <v>0.33333333333333331</v>
      </c>
      <c r="K204" s="162" t="s">
        <v>749</v>
      </c>
      <c r="L204" s="166"/>
      <c r="M204" s="166"/>
      <c r="N204" s="164"/>
      <c r="O204" s="166"/>
      <c r="P204" s="165"/>
      <c r="Q204" s="171"/>
    </row>
    <row r="205" spans="1:17" customFormat="1" ht="15" customHeight="1" x14ac:dyDescent="0.25">
      <c r="A205" s="168"/>
      <c r="B205" s="167"/>
      <c r="C205" s="168"/>
      <c r="D205" s="167"/>
      <c r="E205" s="167"/>
      <c r="F205" s="167"/>
      <c r="G205" s="167"/>
      <c r="H205" s="167"/>
      <c r="I205" s="164">
        <f t="shared" ca="1" si="3"/>
        <v>44939</v>
      </c>
      <c r="J205" s="163">
        <v>0.33333333333333331</v>
      </c>
      <c r="K205" s="162" t="s">
        <v>749</v>
      </c>
      <c r="L205" s="166"/>
      <c r="M205" s="166"/>
      <c r="N205" s="164"/>
      <c r="O205" s="166"/>
      <c r="P205" s="165"/>
      <c r="Q205" s="171"/>
    </row>
    <row r="206" spans="1:17" customFormat="1" ht="15" customHeight="1" x14ac:dyDescent="0.25">
      <c r="A206" s="168"/>
      <c r="B206" s="167"/>
      <c r="C206" s="168"/>
      <c r="D206" s="167"/>
      <c r="E206" s="167"/>
      <c r="F206" s="167"/>
      <c r="G206" s="167"/>
      <c r="H206" s="167"/>
      <c r="I206" s="164">
        <f t="shared" ca="1" si="3"/>
        <v>44939</v>
      </c>
      <c r="J206" s="163">
        <v>0.33333333333333331</v>
      </c>
      <c r="K206" s="162" t="s">
        <v>749</v>
      </c>
      <c r="L206" s="166"/>
      <c r="M206" s="166"/>
      <c r="N206" s="164"/>
      <c r="O206" s="166"/>
      <c r="P206" s="165"/>
      <c r="Q206" s="171"/>
    </row>
    <row r="207" spans="1:17" customFormat="1" ht="15" customHeight="1" x14ac:dyDescent="0.25">
      <c r="A207" s="160"/>
      <c r="B207" s="167"/>
      <c r="C207" s="168"/>
      <c r="D207" s="167"/>
      <c r="E207" s="167"/>
      <c r="F207" s="167"/>
      <c r="G207" s="167"/>
      <c r="H207" s="167"/>
      <c r="I207" s="164">
        <f t="shared" ca="1" si="3"/>
        <v>44939</v>
      </c>
      <c r="J207" s="163">
        <v>0.33333333333333331</v>
      </c>
      <c r="K207" s="162" t="s">
        <v>749</v>
      </c>
      <c r="L207" s="166"/>
      <c r="M207" s="166"/>
      <c r="N207" s="164"/>
      <c r="O207" s="166"/>
      <c r="P207" s="165"/>
      <c r="Q207" s="171"/>
    </row>
    <row r="208" spans="1:17" customFormat="1" ht="15" customHeight="1" x14ac:dyDescent="0.25">
      <c r="A208" s="168"/>
      <c r="B208" s="167"/>
      <c r="C208" s="168"/>
      <c r="D208" s="167"/>
      <c r="E208" s="167"/>
      <c r="F208" s="167"/>
      <c r="G208" s="167"/>
      <c r="H208" s="167"/>
      <c r="I208" s="164">
        <f t="shared" ca="1" si="3"/>
        <v>44939</v>
      </c>
      <c r="J208" s="163">
        <v>0.33333333333333331</v>
      </c>
      <c r="K208" s="162" t="s">
        <v>749</v>
      </c>
      <c r="L208" s="166"/>
      <c r="M208" s="166"/>
      <c r="N208" s="164"/>
      <c r="O208" s="166"/>
      <c r="P208" s="165"/>
      <c r="Q208" s="171"/>
    </row>
    <row r="209" spans="1:17" customFormat="1" ht="15" customHeight="1" x14ac:dyDescent="0.25">
      <c r="A209" s="168"/>
      <c r="B209" s="167"/>
      <c r="C209" s="168"/>
      <c r="D209" s="167"/>
      <c r="E209" s="167"/>
      <c r="F209" s="167"/>
      <c r="G209" s="167"/>
      <c r="H209" s="167"/>
      <c r="I209" s="164">
        <f t="shared" ca="1" si="3"/>
        <v>44939</v>
      </c>
      <c r="J209" s="163">
        <v>0.33333333333333331</v>
      </c>
      <c r="K209" s="162" t="s">
        <v>749</v>
      </c>
      <c r="L209" s="166"/>
      <c r="M209" s="166"/>
      <c r="N209" s="164"/>
      <c r="O209" s="166"/>
      <c r="P209" s="165"/>
      <c r="Q209" s="171"/>
    </row>
    <row r="210" spans="1:17" customFormat="1" ht="15" customHeight="1" x14ac:dyDescent="0.25">
      <c r="A210" s="168"/>
      <c r="B210" s="167"/>
      <c r="C210" s="168"/>
      <c r="D210" s="167"/>
      <c r="E210" s="167"/>
      <c r="F210" s="167"/>
      <c r="G210" s="167"/>
      <c r="H210" s="167"/>
      <c r="I210" s="164">
        <f t="shared" ca="1" si="3"/>
        <v>44939</v>
      </c>
      <c r="J210" s="163">
        <v>0.33333333333333331</v>
      </c>
      <c r="K210" s="162" t="s">
        <v>749</v>
      </c>
      <c r="L210" s="166"/>
      <c r="M210" s="166"/>
      <c r="N210" s="164"/>
      <c r="O210" s="166"/>
      <c r="P210" s="165"/>
      <c r="Q210" s="171"/>
    </row>
    <row r="211" spans="1:17" customFormat="1" ht="15" customHeight="1" x14ac:dyDescent="0.25">
      <c r="A211" s="168"/>
      <c r="B211" s="167"/>
      <c r="C211" s="168"/>
      <c r="D211" s="167"/>
      <c r="E211" s="167"/>
      <c r="F211" s="167"/>
      <c r="G211" s="167"/>
      <c r="H211" s="167"/>
      <c r="I211" s="164">
        <f t="shared" ca="1" si="3"/>
        <v>44939</v>
      </c>
      <c r="J211" s="163">
        <v>0.33333333333333331</v>
      </c>
      <c r="K211" s="162" t="s">
        <v>749</v>
      </c>
      <c r="L211" s="166"/>
      <c r="M211" s="166"/>
      <c r="N211" s="164"/>
      <c r="O211" s="166"/>
      <c r="P211" s="165"/>
      <c r="Q211" s="171"/>
    </row>
    <row r="212" spans="1:17" customFormat="1" ht="15" customHeight="1" x14ac:dyDescent="0.25">
      <c r="A212" s="168"/>
      <c r="B212" s="167"/>
      <c r="C212" s="168"/>
      <c r="D212" s="167"/>
      <c r="E212" s="167"/>
      <c r="F212" s="167"/>
      <c r="G212" s="167"/>
      <c r="H212" s="167"/>
      <c r="I212" s="164">
        <f t="shared" ca="1" si="3"/>
        <v>44939</v>
      </c>
      <c r="J212" s="163">
        <v>0.33333333333333331</v>
      </c>
      <c r="K212" s="162" t="s">
        <v>749</v>
      </c>
      <c r="L212" s="166"/>
      <c r="M212" s="166"/>
      <c r="N212" s="164"/>
      <c r="O212" s="166"/>
      <c r="P212" s="165"/>
      <c r="Q212" s="171"/>
    </row>
    <row r="213" spans="1:17" customFormat="1" ht="15" customHeight="1" x14ac:dyDescent="0.25">
      <c r="A213" s="168"/>
      <c r="B213" s="167"/>
      <c r="C213" s="168"/>
      <c r="D213" s="167"/>
      <c r="E213" s="167"/>
      <c r="F213" s="167"/>
      <c r="G213" s="167"/>
      <c r="H213" s="167"/>
      <c r="I213" s="164">
        <f t="shared" ca="1" si="3"/>
        <v>44939</v>
      </c>
      <c r="J213" s="163">
        <v>0.33333333333333331</v>
      </c>
      <c r="K213" s="162" t="s">
        <v>749</v>
      </c>
      <c r="L213" s="166"/>
      <c r="M213" s="166"/>
      <c r="N213" s="164"/>
      <c r="O213" s="166"/>
      <c r="P213" s="165"/>
      <c r="Q213" s="171"/>
    </row>
    <row r="214" spans="1:17" customFormat="1" ht="15" customHeight="1" x14ac:dyDescent="0.25">
      <c r="A214" s="168"/>
      <c r="B214" s="167"/>
      <c r="C214" s="168"/>
      <c r="D214" s="167"/>
      <c r="E214" s="167"/>
      <c r="F214" s="167"/>
      <c r="G214" s="167"/>
      <c r="H214" s="167"/>
      <c r="I214" s="164">
        <f t="shared" ca="1" si="3"/>
        <v>44939</v>
      </c>
      <c r="J214" s="163">
        <v>0.33333333333333331</v>
      </c>
      <c r="K214" s="162" t="s">
        <v>749</v>
      </c>
      <c r="L214" s="166"/>
      <c r="M214" s="166"/>
      <c r="N214" s="164"/>
      <c r="O214" s="166"/>
      <c r="P214" s="165"/>
      <c r="Q214" s="171"/>
    </row>
    <row r="215" spans="1:17" customFormat="1" ht="15" customHeight="1" x14ac:dyDescent="0.25">
      <c r="A215" s="168"/>
      <c r="B215" s="167"/>
      <c r="C215" s="168"/>
      <c r="D215" s="167"/>
      <c r="E215" s="167"/>
      <c r="F215" s="167"/>
      <c r="G215" s="167"/>
      <c r="H215" s="167"/>
      <c r="I215" s="164">
        <f t="shared" ca="1" si="3"/>
        <v>44939</v>
      </c>
      <c r="J215" s="163">
        <v>0.33333333333333331</v>
      </c>
      <c r="K215" s="162" t="s">
        <v>749</v>
      </c>
      <c r="L215" s="166"/>
      <c r="M215" s="166"/>
      <c r="N215" s="164"/>
      <c r="O215" s="166"/>
      <c r="P215" s="165"/>
      <c r="Q215" s="171"/>
    </row>
    <row r="216" spans="1:17" customFormat="1" ht="15" customHeight="1" x14ac:dyDescent="0.25">
      <c r="A216" s="168"/>
      <c r="B216" s="160"/>
      <c r="C216" s="168"/>
      <c r="D216" s="167"/>
      <c r="E216" s="167"/>
      <c r="F216" s="167"/>
      <c r="G216" s="167"/>
      <c r="H216" s="167"/>
      <c r="I216" s="164">
        <f t="shared" ref="I216:I279" ca="1" si="4">TODAY()</f>
        <v>44939</v>
      </c>
      <c r="J216" s="163">
        <v>0.33333333333333331</v>
      </c>
      <c r="K216" s="162" t="s">
        <v>749</v>
      </c>
      <c r="L216" s="166"/>
      <c r="M216" s="166"/>
      <c r="N216" s="164"/>
      <c r="O216" s="166"/>
      <c r="P216" s="165"/>
      <c r="Q216" s="171"/>
    </row>
    <row r="217" spans="1:17" customFormat="1" ht="15" customHeight="1" x14ac:dyDescent="0.25">
      <c r="A217" s="167"/>
      <c r="B217" s="167"/>
      <c r="C217" s="167"/>
      <c r="D217" s="167"/>
      <c r="E217" s="167"/>
      <c r="F217" s="167"/>
      <c r="G217" s="167"/>
      <c r="H217" s="167"/>
      <c r="I217" s="164">
        <f t="shared" ca="1" si="4"/>
        <v>44939</v>
      </c>
      <c r="J217" s="163">
        <v>0.33333333333333331</v>
      </c>
      <c r="K217" s="162" t="s">
        <v>749</v>
      </c>
      <c r="L217" s="166"/>
      <c r="M217" s="166"/>
      <c r="N217" s="164"/>
      <c r="O217" s="166"/>
      <c r="P217" s="165"/>
      <c r="Q217" s="171"/>
    </row>
    <row r="218" spans="1:17" customFormat="1" ht="15" customHeight="1" x14ac:dyDescent="0.25">
      <c r="A218" s="167"/>
      <c r="B218" s="167"/>
      <c r="C218" s="167"/>
      <c r="D218" s="167"/>
      <c r="E218" s="167"/>
      <c r="F218" s="167"/>
      <c r="G218" s="167"/>
      <c r="H218" s="167"/>
      <c r="I218" s="164">
        <f t="shared" ca="1" si="4"/>
        <v>44939</v>
      </c>
      <c r="J218" s="163">
        <v>0.33333333333333331</v>
      </c>
      <c r="K218" s="162" t="s">
        <v>749</v>
      </c>
      <c r="L218" s="166"/>
      <c r="M218" s="166"/>
      <c r="N218" s="164"/>
      <c r="O218" s="166"/>
      <c r="P218" s="165"/>
      <c r="Q218" s="171"/>
    </row>
    <row r="219" spans="1:17" customFormat="1" ht="15" customHeight="1" x14ac:dyDescent="0.25">
      <c r="A219" s="167"/>
      <c r="B219" s="167"/>
      <c r="C219" s="167"/>
      <c r="D219" s="167"/>
      <c r="E219" s="167"/>
      <c r="F219" s="167"/>
      <c r="G219" s="167"/>
      <c r="H219" s="167"/>
      <c r="I219" s="164">
        <f t="shared" ca="1" si="4"/>
        <v>44939</v>
      </c>
      <c r="J219" s="163">
        <v>0.33333333333333331</v>
      </c>
      <c r="K219" s="162" t="s">
        <v>749</v>
      </c>
      <c r="L219" s="166"/>
      <c r="M219" s="166"/>
      <c r="N219" s="164"/>
      <c r="O219" s="166"/>
      <c r="P219" s="165"/>
      <c r="Q219" s="171"/>
    </row>
    <row r="220" spans="1:17" customFormat="1" ht="15" customHeight="1" x14ac:dyDescent="0.25">
      <c r="A220" s="167"/>
      <c r="B220" s="167"/>
      <c r="C220" s="167"/>
      <c r="D220" s="167"/>
      <c r="E220" s="167"/>
      <c r="F220" s="167"/>
      <c r="G220" s="167"/>
      <c r="H220" s="167"/>
      <c r="I220" s="164">
        <f t="shared" ca="1" si="4"/>
        <v>44939</v>
      </c>
      <c r="J220" s="163">
        <v>0.33333333333333331</v>
      </c>
      <c r="K220" s="162" t="s">
        <v>749</v>
      </c>
      <c r="L220" s="166"/>
      <c r="M220" s="166"/>
      <c r="N220" s="164"/>
      <c r="O220" s="166"/>
      <c r="P220" s="165"/>
      <c r="Q220" s="171"/>
    </row>
    <row r="221" spans="1:17" customFormat="1" ht="15" customHeight="1" x14ac:dyDescent="0.25">
      <c r="A221" s="167"/>
      <c r="B221" s="167"/>
      <c r="C221" s="167"/>
      <c r="D221" s="167"/>
      <c r="E221" s="167"/>
      <c r="F221" s="167"/>
      <c r="G221" s="167"/>
      <c r="H221" s="167"/>
      <c r="I221" s="164">
        <f t="shared" ca="1" si="4"/>
        <v>44939</v>
      </c>
      <c r="J221" s="163">
        <v>0.33333333333333331</v>
      </c>
      <c r="K221" s="162" t="s">
        <v>749</v>
      </c>
      <c r="L221" s="166"/>
      <c r="M221" s="166"/>
      <c r="N221" s="164"/>
      <c r="O221" s="166"/>
      <c r="P221" s="165"/>
      <c r="Q221" s="171"/>
    </row>
    <row r="222" spans="1:17" customFormat="1" ht="15" customHeight="1" x14ac:dyDescent="0.25">
      <c r="A222" s="168"/>
      <c r="B222" s="167"/>
      <c r="C222" s="168"/>
      <c r="D222" s="167"/>
      <c r="E222" s="167"/>
      <c r="F222" s="167"/>
      <c r="G222" s="167"/>
      <c r="H222" s="167"/>
      <c r="I222" s="164">
        <f t="shared" ca="1" si="4"/>
        <v>44939</v>
      </c>
      <c r="J222" s="163">
        <v>0.33333333333333331</v>
      </c>
      <c r="K222" s="162" t="s">
        <v>749</v>
      </c>
      <c r="L222" s="166"/>
      <c r="M222" s="166"/>
      <c r="N222" s="164"/>
      <c r="O222" s="166"/>
      <c r="P222" s="165"/>
      <c r="Q222" s="171"/>
    </row>
    <row r="223" spans="1:17" customFormat="1" ht="15" customHeight="1" x14ac:dyDescent="0.25">
      <c r="A223" s="168"/>
      <c r="B223" s="167"/>
      <c r="C223" s="168"/>
      <c r="D223" s="167"/>
      <c r="E223" s="167"/>
      <c r="F223" s="167"/>
      <c r="G223" s="167"/>
      <c r="H223" s="167"/>
      <c r="I223" s="164">
        <f t="shared" ca="1" si="4"/>
        <v>44939</v>
      </c>
      <c r="J223" s="163">
        <v>0.33333333333333331</v>
      </c>
      <c r="K223" s="162" t="s">
        <v>749</v>
      </c>
      <c r="L223" s="166"/>
      <c r="M223" s="166"/>
      <c r="N223" s="164"/>
      <c r="O223" s="166"/>
      <c r="P223" s="165"/>
      <c r="Q223" s="171"/>
    </row>
    <row r="224" spans="1:17" customFormat="1" ht="15" customHeight="1" x14ac:dyDescent="0.25">
      <c r="A224" s="167"/>
      <c r="B224" s="167"/>
      <c r="C224" s="167"/>
      <c r="D224" s="167"/>
      <c r="E224" s="167"/>
      <c r="F224" s="167"/>
      <c r="G224" s="167"/>
      <c r="H224" s="167"/>
      <c r="I224" s="164">
        <f t="shared" ca="1" si="4"/>
        <v>44939</v>
      </c>
      <c r="J224" s="163">
        <v>0.33333333333333331</v>
      </c>
      <c r="K224" s="162" t="s">
        <v>749</v>
      </c>
      <c r="L224" s="166"/>
      <c r="M224" s="166"/>
      <c r="N224" s="164"/>
      <c r="O224" s="166"/>
      <c r="P224" s="165"/>
      <c r="Q224" s="171"/>
    </row>
    <row r="225" spans="1:17" customFormat="1" ht="15" customHeight="1" x14ac:dyDescent="0.25">
      <c r="A225" s="167"/>
      <c r="B225" s="167"/>
      <c r="C225" s="167"/>
      <c r="D225" s="167"/>
      <c r="E225" s="167"/>
      <c r="F225" s="167"/>
      <c r="G225" s="167"/>
      <c r="H225" s="167"/>
      <c r="I225" s="164">
        <f t="shared" ca="1" si="4"/>
        <v>44939</v>
      </c>
      <c r="J225" s="163">
        <v>0.33333333333333331</v>
      </c>
      <c r="K225" s="162" t="s">
        <v>749</v>
      </c>
      <c r="L225" s="166"/>
      <c r="M225" s="166"/>
      <c r="N225" s="164"/>
      <c r="O225" s="166"/>
      <c r="P225" s="165"/>
      <c r="Q225" s="171"/>
    </row>
    <row r="226" spans="1:17" customFormat="1" ht="15" customHeight="1" x14ac:dyDescent="0.25">
      <c r="A226" s="167"/>
      <c r="B226" s="167"/>
      <c r="C226" s="167"/>
      <c r="D226" s="167"/>
      <c r="E226" s="167"/>
      <c r="F226" s="167"/>
      <c r="G226" s="167"/>
      <c r="H226" s="167"/>
      <c r="I226" s="164">
        <f t="shared" ca="1" si="4"/>
        <v>44939</v>
      </c>
      <c r="J226" s="163">
        <v>0.33333333333333331</v>
      </c>
      <c r="K226" s="162" t="s">
        <v>749</v>
      </c>
      <c r="L226" s="166"/>
      <c r="M226" s="166"/>
      <c r="N226" s="164"/>
      <c r="O226" s="166"/>
      <c r="P226" s="165"/>
      <c r="Q226" s="171"/>
    </row>
    <row r="227" spans="1:17" customFormat="1" ht="15" customHeight="1" x14ac:dyDescent="0.25">
      <c r="A227" s="167"/>
      <c r="B227" s="167"/>
      <c r="C227" s="167"/>
      <c r="D227" s="167"/>
      <c r="E227" s="167"/>
      <c r="F227" s="167"/>
      <c r="G227" s="167"/>
      <c r="H227" s="167"/>
      <c r="I227" s="164">
        <f t="shared" ca="1" si="4"/>
        <v>44939</v>
      </c>
      <c r="J227" s="163">
        <v>0.33333333333333331</v>
      </c>
      <c r="K227" s="162" t="s">
        <v>749</v>
      </c>
      <c r="L227" s="166"/>
      <c r="M227" s="166"/>
      <c r="N227" s="164"/>
      <c r="O227" s="166"/>
      <c r="P227" s="165"/>
      <c r="Q227" s="171"/>
    </row>
    <row r="228" spans="1:17" customFormat="1" ht="15" customHeight="1" x14ac:dyDescent="0.25">
      <c r="A228" s="168"/>
      <c r="B228" s="167"/>
      <c r="C228" s="168"/>
      <c r="D228" s="167"/>
      <c r="E228" s="167"/>
      <c r="F228" s="167"/>
      <c r="G228" s="167"/>
      <c r="H228" s="167"/>
      <c r="I228" s="164">
        <f t="shared" ca="1" si="4"/>
        <v>44939</v>
      </c>
      <c r="J228" s="163">
        <v>0.33333333333333331</v>
      </c>
      <c r="K228" s="162" t="s">
        <v>749</v>
      </c>
      <c r="L228" s="166"/>
      <c r="M228" s="166"/>
      <c r="N228" s="164"/>
      <c r="O228" s="166"/>
      <c r="P228" s="165"/>
      <c r="Q228" s="171"/>
    </row>
    <row r="229" spans="1:17" customFormat="1" ht="15" customHeight="1" x14ac:dyDescent="0.25">
      <c r="A229" s="167"/>
      <c r="B229" s="167"/>
      <c r="C229" s="167"/>
      <c r="D229" s="167"/>
      <c r="E229" s="167"/>
      <c r="F229" s="167"/>
      <c r="G229" s="167"/>
      <c r="H229" s="167"/>
      <c r="I229" s="164">
        <f t="shared" ca="1" si="4"/>
        <v>44939</v>
      </c>
      <c r="J229" s="163">
        <v>0.33333333333333331</v>
      </c>
      <c r="K229" s="162" t="s">
        <v>749</v>
      </c>
      <c r="L229" s="166"/>
      <c r="M229" s="166"/>
      <c r="N229" s="164"/>
      <c r="O229" s="166"/>
      <c r="P229" s="165"/>
      <c r="Q229" s="171"/>
    </row>
    <row r="230" spans="1:17" customFormat="1" ht="15" customHeight="1" x14ac:dyDescent="0.25">
      <c r="A230" s="167"/>
      <c r="B230" s="167"/>
      <c r="C230" s="167"/>
      <c r="D230" s="167"/>
      <c r="E230" s="167"/>
      <c r="F230" s="167"/>
      <c r="G230" s="167"/>
      <c r="H230" s="167"/>
      <c r="I230" s="164">
        <f t="shared" ca="1" si="4"/>
        <v>44939</v>
      </c>
      <c r="J230" s="163">
        <v>0.33333333333333331</v>
      </c>
      <c r="K230" s="162" t="s">
        <v>749</v>
      </c>
      <c r="L230" s="166"/>
      <c r="M230" s="166"/>
      <c r="N230" s="164"/>
      <c r="O230" s="166"/>
      <c r="P230" s="165"/>
      <c r="Q230" s="171"/>
    </row>
    <row r="231" spans="1:17" customFormat="1" ht="15" customHeight="1" x14ac:dyDescent="0.25">
      <c r="A231" s="167"/>
      <c r="B231" s="167"/>
      <c r="C231" s="167"/>
      <c r="D231" s="167"/>
      <c r="E231" s="167"/>
      <c r="F231" s="167"/>
      <c r="G231" s="167"/>
      <c r="H231" s="167"/>
      <c r="I231" s="164">
        <f t="shared" ca="1" si="4"/>
        <v>44939</v>
      </c>
      <c r="J231" s="163">
        <v>0.33333333333333331</v>
      </c>
      <c r="K231" s="162" t="s">
        <v>749</v>
      </c>
      <c r="L231" s="166"/>
      <c r="M231" s="166"/>
      <c r="N231" s="164"/>
      <c r="O231" s="166"/>
      <c r="P231" s="165"/>
      <c r="Q231" s="171"/>
    </row>
    <row r="232" spans="1:17" customFormat="1" ht="15" customHeight="1" x14ac:dyDescent="0.25">
      <c r="A232" s="167"/>
      <c r="B232" s="167"/>
      <c r="C232" s="167"/>
      <c r="D232" s="167"/>
      <c r="E232" s="167"/>
      <c r="F232" s="167"/>
      <c r="G232" s="167"/>
      <c r="H232" s="167"/>
      <c r="I232" s="164">
        <f t="shared" ca="1" si="4"/>
        <v>44939</v>
      </c>
      <c r="J232" s="163">
        <v>0.33333333333333331</v>
      </c>
      <c r="K232" s="162" t="s">
        <v>749</v>
      </c>
      <c r="L232" s="166"/>
      <c r="M232" s="166"/>
      <c r="N232" s="164"/>
      <c r="O232" s="166"/>
      <c r="P232" s="165"/>
      <c r="Q232" s="171"/>
    </row>
    <row r="233" spans="1:17" customFormat="1" ht="15" customHeight="1" x14ac:dyDescent="0.25">
      <c r="A233" s="167"/>
      <c r="B233" s="167"/>
      <c r="C233" s="167"/>
      <c r="D233" s="167"/>
      <c r="E233" s="167"/>
      <c r="F233" s="167"/>
      <c r="G233" s="167"/>
      <c r="H233" s="167"/>
      <c r="I233" s="164">
        <f t="shared" ca="1" si="4"/>
        <v>44939</v>
      </c>
      <c r="J233" s="163">
        <v>0.33333333333333331</v>
      </c>
      <c r="K233" s="162" t="s">
        <v>749</v>
      </c>
      <c r="L233" s="166"/>
      <c r="M233" s="166"/>
      <c r="N233" s="164"/>
      <c r="O233" s="166"/>
      <c r="P233" s="165"/>
      <c r="Q233" s="171"/>
    </row>
    <row r="234" spans="1:17" customFormat="1" ht="15" customHeight="1" x14ac:dyDescent="0.25">
      <c r="A234" s="167"/>
      <c r="B234" s="167"/>
      <c r="C234" s="167"/>
      <c r="D234" s="167"/>
      <c r="E234" s="167"/>
      <c r="F234" s="167"/>
      <c r="G234" s="167"/>
      <c r="H234" s="167"/>
      <c r="I234" s="164">
        <f t="shared" ca="1" si="4"/>
        <v>44939</v>
      </c>
      <c r="J234" s="163">
        <v>0.33333333333333331</v>
      </c>
      <c r="K234" s="162" t="s">
        <v>749</v>
      </c>
      <c r="L234" s="166"/>
      <c r="M234" s="166"/>
      <c r="N234" s="164"/>
      <c r="O234" s="166"/>
      <c r="P234" s="165"/>
      <c r="Q234" s="171"/>
    </row>
    <row r="235" spans="1:17" customFormat="1" ht="15" customHeight="1" x14ac:dyDescent="0.25">
      <c r="A235" s="167"/>
      <c r="B235" s="167"/>
      <c r="C235" s="167"/>
      <c r="D235" s="167"/>
      <c r="E235" s="167"/>
      <c r="F235" s="167"/>
      <c r="G235" s="167"/>
      <c r="H235" s="167"/>
      <c r="I235" s="164">
        <f t="shared" ca="1" si="4"/>
        <v>44939</v>
      </c>
      <c r="J235" s="163">
        <v>0.33333333333333331</v>
      </c>
      <c r="K235" s="162" t="s">
        <v>749</v>
      </c>
      <c r="L235" s="166"/>
      <c r="M235" s="166"/>
      <c r="N235" s="164"/>
      <c r="O235" s="166"/>
      <c r="P235" s="165"/>
      <c r="Q235" s="171"/>
    </row>
    <row r="236" spans="1:17" customFormat="1" ht="15" customHeight="1" x14ac:dyDescent="0.25">
      <c r="A236" s="168"/>
      <c r="B236" s="167"/>
      <c r="C236" s="168"/>
      <c r="D236" s="167"/>
      <c r="E236" s="167"/>
      <c r="F236" s="167"/>
      <c r="G236" s="167"/>
      <c r="H236" s="167"/>
      <c r="I236" s="164">
        <f t="shared" ca="1" si="4"/>
        <v>44939</v>
      </c>
      <c r="J236" s="163">
        <v>0.33333333333333331</v>
      </c>
      <c r="K236" s="162" t="s">
        <v>749</v>
      </c>
      <c r="L236" s="166"/>
      <c r="M236" s="166"/>
      <c r="N236" s="164"/>
      <c r="O236" s="166"/>
      <c r="P236" s="165"/>
      <c r="Q236" s="171"/>
    </row>
    <row r="237" spans="1:17" customFormat="1" ht="15" customHeight="1" x14ac:dyDescent="0.25">
      <c r="A237" s="167"/>
      <c r="B237" s="167"/>
      <c r="C237" s="167"/>
      <c r="D237" s="167"/>
      <c r="E237" s="167"/>
      <c r="F237" s="167"/>
      <c r="G237" s="167"/>
      <c r="H237" s="167"/>
      <c r="I237" s="164">
        <f t="shared" ca="1" si="4"/>
        <v>44939</v>
      </c>
      <c r="J237" s="163">
        <v>0.33333333333333331</v>
      </c>
      <c r="K237" s="162" t="s">
        <v>749</v>
      </c>
      <c r="L237" s="166"/>
      <c r="M237" s="166"/>
      <c r="N237" s="164"/>
      <c r="O237" s="166"/>
      <c r="P237" s="165"/>
      <c r="Q237" s="171"/>
    </row>
    <row r="238" spans="1:17" customFormat="1" ht="15" customHeight="1" x14ac:dyDescent="0.25">
      <c r="A238" s="167"/>
      <c r="B238" s="167"/>
      <c r="C238" s="167"/>
      <c r="D238" s="167"/>
      <c r="E238" s="167"/>
      <c r="F238" s="167"/>
      <c r="G238" s="167"/>
      <c r="H238" s="167"/>
      <c r="I238" s="164">
        <f t="shared" ca="1" si="4"/>
        <v>44939</v>
      </c>
      <c r="J238" s="163">
        <v>0.33333333333333331</v>
      </c>
      <c r="K238" s="162" t="s">
        <v>749</v>
      </c>
      <c r="L238" s="166"/>
      <c r="M238" s="166"/>
      <c r="N238" s="164"/>
      <c r="O238" s="166"/>
      <c r="P238" s="165"/>
      <c r="Q238" s="171"/>
    </row>
    <row r="239" spans="1:17" customFormat="1" ht="15" customHeight="1" x14ac:dyDescent="0.25">
      <c r="A239" s="167"/>
      <c r="B239" s="167"/>
      <c r="C239" s="167"/>
      <c r="D239" s="167"/>
      <c r="E239" s="167"/>
      <c r="F239" s="167"/>
      <c r="G239" s="167"/>
      <c r="H239" s="167"/>
      <c r="I239" s="164">
        <f t="shared" ca="1" si="4"/>
        <v>44939</v>
      </c>
      <c r="J239" s="163">
        <v>0.33333333333333331</v>
      </c>
      <c r="K239" s="162" t="s">
        <v>749</v>
      </c>
      <c r="L239" s="166"/>
      <c r="M239" s="166"/>
      <c r="N239" s="164"/>
      <c r="O239" s="166"/>
      <c r="P239" s="165"/>
      <c r="Q239" s="171"/>
    </row>
    <row r="240" spans="1:17" customFormat="1" ht="15" customHeight="1" x14ac:dyDescent="0.25">
      <c r="A240" s="167"/>
      <c r="B240" s="167"/>
      <c r="C240" s="167"/>
      <c r="D240" s="167"/>
      <c r="E240" s="167"/>
      <c r="F240" s="167"/>
      <c r="G240" s="167"/>
      <c r="H240" s="167"/>
      <c r="I240" s="164">
        <f t="shared" ca="1" si="4"/>
        <v>44939</v>
      </c>
      <c r="J240" s="163">
        <v>0.33333333333333331</v>
      </c>
      <c r="K240" s="162" t="s">
        <v>749</v>
      </c>
      <c r="L240" s="166"/>
      <c r="M240" s="166"/>
      <c r="N240" s="164"/>
      <c r="O240" s="166"/>
      <c r="P240" s="165"/>
      <c r="Q240" s="171"/>
    </row>
    <row r="241" spans="1:17" customFormat="1" ht="15" customHeight="1" x14ac:dyDescent="0.25">
      <c r="A241" s="167"/>
      <c r="B241" s="167"/>
      <c r="C241" s="167"/>
      <c r="D241" s="167"/>
      <c r="E241" s="167"/>
      <c r="F241" s="167"/>
      <c r="G241" s="167"/>
      <c r="H241" s="167"/>
      <c r="I241" s="164">
        <f t="shared" ca="1" si="4"/>
        <v>44939</v>
      </c>
      <c r="J241" s="163">
        <v>0.33333333333333331</v>
      </c>
      <c r="K241" s="162" t="s">
        <v>749</v>
      </c>
      <c r="L241" s="166"/>
      <c r="M241" s="166"/>
      <c r="N241" s="164"/>
      <c r="O241" s="166"/>
      <c r="P241" s="165"/>
      <c r="Q241" s="171"/>
    </row>
    <row r="242" spans="1:17" customFormat="1" ht="15" customHeight="1" x14ac:dyDescent="0.25">
      <c r="A242" s="168"/>
      <c r="B242" s="167"/>
      <c r="C242" s="168"/>
      <c r="D242" s="167"/>
      <c r="E242" s="167"/>
      <c r="F242" s="167"/>
      <c r="G242" s="167"/>
      <c r="H242" s="167"/>
      <c r="I242" s="164">
        <f t="shared" ca="1" si="4"/>
        <v>44939</v>
      </c>
      <c r="J242" s="163">
        <v>0.33333333333333331</v>
      </c>
      <c r="K242" s="162" t="s">
        <v>749</v>
      </c>
      <c r="L242" s="166"/>
      <c r="M242" s="166"/>
      <c r="N242" s="164"/>
      <c r="O242" s="166"/>
      <c r="P242" s="165"/>
      <c r="Q242" s="171"/>
    </row>
    <row r="243" spans="1:17" customFormat="1" ht="15" customHeight="1" x14ac:dyDescent="0.25">
      <c r="A243" s="168"/>
      <c r="B243" s="167"/>
      <c r="C243" s="168"/>
      <c r="D243" s="167"/>
      <c r="E243" s="167"/>
      <c r="F243" s="167"/>
      <c r="G243" s="167"/>
      <c r="H243" s="167"/>
      <c r="I243" s="164">
        <f t="shared" ca="1" si="4"/>
        <v>44939</v>
      </c>
      <c r="J243" s="163">
        <v>0.33333333333333331</v>
      </c>
      <c r="K243" s="162" t="s">
        <v>749</v>
      </c>
      <c r="L243" s="166"/>
      <c r="M243" s="166"/>
      <c r="N243" s="164"/>
      <c r="O243" s="166"/>
      <c r="P243" s="165"/>
      <c r="Q243" s="171"/>
    </row>
    <row r="244" spans="1:17" customFormat="1" ht="15" customHeight="1" x14ac:dyDescent="0.25">
      <c r="A244" s="168"/>
      <c r="B244" s="167"/>
      <c r="C244" s="168"/>
      <c r="D244" s="167"/>
      <c r="E244" s="167"/>
      <c r="F244" s="167"/>
      <c r="G244" s="167"/>
      <c r="H244" s="167"/>
      <c r="I244" s="164">
        <f t="shared" ca="1" si="4"/>
        <v>44939</v>
      </c>
      <c r="J244" s="163">
        <v>0.33333333333333331</v>
      </c>
      <c r="K244" s="162" t="s">
        <v>749</v>
      </c>
      <c r="L244" s="166"/>
      <c r="M244" s="166"/>
      <c r="N244" s="164"/>
      <c r="O244" s="166"/>
      <c r="P244" s="165"/>
      <c r="Q244" s="171"/>
    </row>
    <row r="245" spans="1:17" customFormat="1" ht="15" customHeight="1" x14ac:dyDescent="0.25">
      <c r="A245" s="167"/>
      <c r="B245" s="167"/>
      <c r="C245" s="167"/>
      <c r="D245" s="167"/>
      <c r="E245" s="167"/>
      <c r="F245" s="167"/>
      <c r="G245" s="167"/>
      <c r="H245" s="167"/>
      <c r="I245" s="164">
        <f t="shared" ca="1" si="4"/>
        <v>44939</v>
      </c>
      <c r="J245" s="163">
        <v>0.33333333333333331</v>
      </c>
      <c r="K245" s="162" t="s">
        <v>749</v>
      </c>
      <c r="L245" s="166"/>
      <c r="M245" s="166"/>
      <c r="N245" s="164"/>
      <c r="O245" s="166"/>
      <c r="P245" s="165"/>
      <c r="Q245" s="171"/>
    </row>
    <row r="246" spans="1:17" customFormat="1" ht="15" customHeight="1" x14ac:dyDescent="0.25">
      <c r="A246" s="167"/>
      <c r="B246" s="167"/>
      <c r="C246" s="167"/>
      <c r="D246" s="167"/>
      <c r="E246" s="167"/>
      <c r="F246" s="167"/>
      <c r="G246" s="167"/>
      <c r="H246" s="167"/>
      <c r="I246" s="164">
        <f t="shared" ca="1" si="4"/>
        <v>44939</v>
      </c>
      <c r="J246" s="163">
        <v>0.33333333333333331</v>
      </c>
      <c r="K246" s="162" t="s">
        <v>749</v>
      </c>
      <c r="L246" s="166"/>
      <c r="M246" s="166"/>
      <c r="N246" s="164"/>
      <c r="O246" s="166"/>
      <c r="P246" s="165"/>
      <c r="Q246" s="171"/>
    </row>
    <row r="247" spans="1:17" customFormat="1" ht="15" customHeight="1" x14ac:dyDescent="0.25">
      <c r="A247" s="167"/>
      <c r="B247" s="167"/>
      <c r="C247" s="167"/>
      <c r="D247" s="167"/>
      <c r="E247" s="167"/>
      <c r="F247" s="167"/>
      <c r="G247" s="167"/>
      <c r="H247" s="167"/>
      <c r="I247" s="164">
        <f t="shared" ca="1" si="4"/>
        <v>44939</v>
      </c>
      <c r="J247" s="163">
        <v>0.33333333333333331</v>
      </c>
      <c r="K247" s="162" t="s">
        <v>749</v>
      </c>
      <c r="L247" s="166"/>
      <c r="M247" s="166"/>
      <c r="N247" s="164"/>
      <c r="O247" s="166"/>
      <c r="P247" s="165"/>
      <c r="Q247" s="171"/>
    </row>
    <row r="248" spans="1:17" customFormat="1" ht="15" customHeight="1" x14ac:dyDescent="0.25">
      <c r="A248" s="167"/>
      <c r="B248" s="167"/>
      <c r="C248" s="167"/>
      <c r="D248" s="167"/>
      <c r="E248" s="167"/>
      <c r="F248" s="167"/>
      <c r="G248" s="167"/>
      <c r="H248" s="167"/>
      <c r="I248" s="164">
        <f t="shared" ca="1" si="4"/>
        <v>44939</v>
      </c>
      <c r="J248" s="163">
        <v>0.33333333333333331</v>
      </c>
      <c r="K248" s="162" t="s">
        <v>749</v>
      </c>
      <c r="L248" s="166"/>
      <c r="M248" s="166"/>
      <c r="N248" s="164"/>
      <c r="O248" s="166"/>
      <c r="P248" s="165"/>
      <c r="Q248" s="171"/>
    </row>
    <row r="249" spans="1:17" customFormat="1" ht="15" customHeight="1" x14ac:dyDescent="0.25">
      <c r="A249" s="167"/>
      <c r="B249" s="167"/>
      <c r="C249" s="167"/>
      <c r="D249" s="167"/>
      <c r="E249" s="167"/>
      <c r="F249" s="167"/>
      <c r="G249" s="167"/>
      <c r="H249" s="167"/>
      <c r="I249" s="164">
        <f t="shared" ca="1" si="4"/>
        <v>44939</v>
      </c>
      <c r="J249" s="163">
        <v>0.33333333333333331</v>
      </c>
      <c r="K249" s="162" t="s">
        <v>749</v>
      </c>
      <c r="L249" s="166"/>
      <c r="M249" s="166"/>
      <c r="N249" s="164"/>
      <c r="O249" s="166"/>
      <c r="P249" s="165"/>
      <c r="Q249" s="171"/>
    </row>
    <row r="250" spans="1:17" customFormat="1" ht="15" customHeight="1" x14ac:dyDescent="0.25">
      <c r="A250" s="168"/>
      <c r="B250" s="167"/>
      <c r="C250" s="168"/>
      <c r="D250" s="167"/>
      <c r="E250" s="167"/>
      <c r="F250" s="167"/>
      <c r="G250" s="167"/>
      <c r="H250" s="167"/>
      <c r="I250" s="164">
        <f t="shared" ca="1" si="4"/>
        <v>44939</v>
      </c>
      <c r="J250" s="163">
        <v>0.33333333333333331</v>
      </c>
      <c r="K250" s="162" t="s">
        <v>749</v>
      </c>
      <c r="L250" s="166"/>
      <c r="M250" s="166"/>
      <c r="N250" s="164"/>
      <c r="O250" s="166"/>
      <c r="P250" s="165"/>
      <c r="Q250" s="171"/>
    </row>
    <row r="251" spans="1:17" customFormat="1" ht="15" customHeight="1" x14ac:dyDescent="0.25">
      <c r="A251" s="168"/>
      <c r="B251" s="167"/>
      <c r="C251" s="168"/>
      <c r="D251" s="167"/>
      <c r="E251" s="167"/>
      <c r="F251" s="167"/>
      <c r="G251" s="167"/>
      <c r="H251" s="167"/>
      <c r="I251" s="164">
        <f t="shared" ca="1" si="4"/>
        <v>44939</v>
      </c>
      <c r="J251" s="163">
        <v>0.33333333333333331</v>
      </c>
      <c r="K251" s="162" t="s">
        <v>749</v>
      </c>
      <c r="L251" s="166"/>
      <c r="M251" s="166"/>
      <c r="N251" s="164"/>
      <c r="O251" s="166"/>
      <c r="P251" s="165"/>
      <c r="Q251" s="171"/>
    </row>
    <row r="252" spans="1:17" customFormat="1" ht="15" customHeight="1" x14ac:dyDescent="0.25">
      <c r="A252" s="168"/>
      <c r="B252" s="167"/>
      <c r="C252" s="168"/>
      <c r="D252" s="167"/>
      <c r="E252" s="167"/>
      <c r="F252" s="167"/>
      <c r="G252" s="167"/>
      <c r="H252" s="167"/>
      <c r="I252" s="164">
        <f t="shared" ca="1" si="4"/>
        <v>44939</v>
      </c>
      <c r="J252" s="163">
        <v>0.33333333333333331</v>
      </c>
      <c r="K252" s="162" t="s">
        <v>749</v>
      </c>
      <c r="L252" s="166"/>
      <c r="M252" s="166"/>
      <c r="N252" s="164"/>
      <c r="O252" s="166"/>
      <c r="P252" s="165"/>
      <c r="Q252" s="171"/>
    </row>
    <row r="253" spans="1:17" customFormat="1" ht="15" customHeight="1" x14ac:dyDescent="0.25">
      <c r="A253" s="168"/>
      <c r="B253" s="167"/>
      <c r="C253" s="168"/>
      <c r="D253" s="167"/>
      <c r="E253" s="167"/>
      <c r="F253" s="167"/>
      <c r="G253" s="167"/>
      <c r="H253" s="167"/>
      <c r="I253" s="164">
        <f t="shared" ca="1" si="4"/>
        <v>44939</v>
      </c>
      <c r="J253" s="163">
        <v>0.33333333333333331</v>
      </c>
      <c r="K253" s="162" t="s">
        <v>749</v>
      </c>
      <c r="L253" s="166"/>
      <c r="M253" s="166"/>
      <c r="N253" s="164"/>
      <c r="O253" s="166"/>
      <c r="P253" s="165"/>
      <c r="Q253" s="171"/>
    </row>
    <row r="254" spans="1:17" customFormat="1" ht="15" customHeight="1" x14ac:dyDescent="0.25">
      <c r="A254" s="168"/>
      <c r="B254" s="167"/>
      <c r="C254" s="168"/>
      <c r="D254" s="167"/>
      <c r="E254" s="167"/>
      <c r="F254" s="167"/>
      <c r="G254" s="167"/>
      <c r="H254" s="167"/>
      <c r="I254" s="164">
        <f t="shared" ca="1" si="4"/>
        <v>44939</v>
      </c>
      <c r="J254" s="163">
        <v>0.33333333333333331</v>
      </c>
      <c r="K254" s="162" t="s">
        <v>749</v>
      </c>
      <c r="L254" s="166"/>
      <c r="M254" s="166"/>
      <c r="N254" s="164"/>
      <c r="O254" s="166"/>
      <c r="P254" s="165"/>
      <c r="Q254" s="171"/>
    </row>
    <row r="255" spans="1:17" customFormat="1" ht="15" customHeight="1" x14ac:dyDescent="0.25">
      <c r="A255" s="168"/>
      <c r="B255" s="167"/>
      <c r="C255" s="168"/>
      <c r="D255" s="167"/>
      <c r="E255" s="167"/>
      <c r="F255" s="167"/>
      <c r="G255" s="167"/>
      <c r="H255" s="167"/>
      <c r="I255" s="164">
        <f t="shared" ca="1" si="4"/>
        <v>44939</v>
      </c>
      <c r="J255" s="163">
        <v>0.33333333333333331</v>
      </c>
      <c r="K255" s="162" t="s">
        <v>749</v>
      </c>
      <c r="L255" s="166"/>
      <c r="M255" s="166"/>
      <c r="N255" s="164"/>
      <c r="O255" s="166"/>
      <c r="P255" s="165"/>
      <c r="Q255" s="171"/>
    </row>
    <row r="256" spans="1:17" customFormat="1" ht="15" customHeight="1" x14ac:dyDescent="0.25">
      <c r="A256" s="168"/>
      <c r="B256" s="167"/>
      <c r="C256" s="168"/>
      <c r="D256" s="167"/>
      <c r="E256" s="167"/>
      <c r="F256" s="167"/>
      <c r="G256" s="167"/>
      <c r="H256" s="167"/>
      <c r="I256" s="164">
        <f t="shared" ca="1" si="4"/>
        <v>44939</v>
      </c>
      <c r="J256" s="163">
        <v>0.33333333333333331</v>
      </c>
      <c r="K256" s="162" t="s">
        <v>749</v>
      </c>
      <c r="L256" s="166"/>
      <c r="M256" s="166"/>
      <c r="N256" s="164"/>
      <c r="O256" s="166"/>
      <c r="P256" s="165"/>
      <c r="Q256" s="171"/>
    </row>
    <row r="257" spans="1:17" customFormat="1" ht="15" customHeight="1" x14ac:dyDescent="0.25">
      <c r="A257" s="168"/>
      <c r="B257" s="167"/>
      <c r="C257" s="168"/>
      <c r="D257" s="167"/>
      <c r="E257" s="167"/>
      <c r="F257" s="167"/>
      <c r="G257" s="167"/>
      <c r="H257" s="167"/>
      <c r="I257" s="164">
        <f t="shared" ca="1" si="4"/>
        <v>44939</v>
      </c>
      <c r="J257" s="163">
        <v>0.33333333333333331</v>
      </c>
      <c r="K257" s="162" t="s">
        <v>749</v>
      </c>
      <c r="L257" s="166"/>
      <c r="M257" s="166"/>
      <c r="N257" s="164"/>
      <c r="O257" s="166"/>
      <c r="P257" s="165"/>
      <c r="Q257" s="171"/>
    </row>
    <row r="258" spans="1:17" customFormat="1" ht="15" customHeight="1" x14ac:dyDescent="0.25">
      <c r="A258" s="168"/>
      <c r="B258" s="167"/>
      <c r="C258" s="168"/>
      <c r="D258" s="167"/>
      <c r="E258" s="167"/>
      <c r="F258" s="167"/>
      <c r="G258" s="167"/>
      <c r="H258" s="167"/>
      <c r="I258" s="164">
        <f t="shared" ca="1" si="4"/>
        <v>44939</v>
      </c>
      <c r="J258" s="163">
        <v>0.33333333333333331</v>
      </c>
      <c r="K258" s="162" t="s">
        <v>749</v>
      </c>
      <c r="L258" s="166"/>
      <c r="M258" s="166"/>
      <c r="N258" s="164"/>
      <c r="O258" s="166"/>
      <c r="P258" s="165"/>
      <c r="Q258" s="171"/>
    </row>
    <row r="259" spans="1:17" customFormat="1" ht="15" customHeight="1" x14ac:dyDescent="0.25">
      <c r="A259" s="168"/>
      <c r="B259" s="167"/>
      <c r="C259" s="168"/>
      <c r="D259" s="167"/>
      <c r="E259" s="167"/>
      <c r="F259" s="167"/>
      <c r="G259" s="167"/>
      <c r="H259" s="167"/>
      <c r="I259" s="164">
        <f t="shared" ca="1" si="4"/>
        <v>44939</v>
      </c>
      <c r="J259" s="163">
        <v>0.33333333333333331</v>
      </c>
      <c r="K259" s="162" t="s">
        <v>749</v>
      </c>
      <c r="L259" s="166"/>
      <c r="M259" s="166"/>
      <c r="N259" s="164"/>
      <c r="O259" s="166"/>
      <c r="P259" s="165"/>
      <c r="Q259" s="171"/>
    </row>
    <row r="260" spans="1:17" customFormat="1" ht="15" customHeight="1" x14ac:dyDescent="0.25">
      <c r="A260" s="168"/>
      <c r="B260" s="167"/>
      <c r="C260" s="168"/>
      <c r="D260" s="167"/>
      <c r="E260" s="167"/>
      <c r="F260" s="167"/>
      <c r="G260" s="167"/>
      <c r="H260" s="167"/>
      <c r="I260" s="164">
        <f t="shared" ca="1" si="4"/>
        <v>44939</v>
      </c>
      <c r="J260" s="163">
        <v>0.33333333333333331</v>
      </c>
      <c r="K260" s="162" t="s">
        <v>749</v>
      </c>
      <c r="L260" s="166"/>
      <c r="M260" s="166"/>
      <c r="N260" s="164"/>
      <c r="O260" s="166"/>
      <c r="P260" s="165"/>
      <c r="Q260" s="171"/>
    </row>
    <row r="261" spans="1:17" customFormat="1" ht="15" customHeight="1" x14ac:dyDescent="0.25">
      <c r="A261" s="168"/>
      <c r="B261" s="167"/>
      <c r="C261" s="168"/>
      <c r="D261" s="167"/>
      <c r="E261" s="167"/>
      <c r="F261" s="167"/>
      <c r="G261" s="167"/>
      <c r="H261" s="167"/>
      <c r="I261" s="164">
        <f t="shared" ca="1" si="4"/>
        <v>44939</v>
      </c>
      <c r="J261" s="163">
        <v>0.33333333333333331</v>
      </c>
      <c r="K261" s="162" t="s">
        <v>749</v>
      </c>
      <c r="L261" s="166"/>
      <c r="M261" s="166"/>
      <c r="N261" s="164"/>
      <c r="O261" s="166"/>
      <c r="P261" s="165"/>
      <c r="Q261" s="171"/>
    </row>
    <row r="262" spans="1:17" customFormat="1" ht="15" customHeight="1" x14ac:dyDescent="0.25">
      <c r="A262" s="168"/>
      <c r="B262" s="167"/>
      <c r="C262" s="168"/>
      <c r="D262" s="167"/>
      <c r="E262" s="167"/>
      <c r="F262" s="167"/>
      <c r="G262" s="167"/>
      <c r="H262" s="167"/>
      <c r="I262" s="164">
        <f t="shared" ca="1" si="4"/>
        <v>44939</v>
      </c>
      <c r="J262" s="163">
        <v>0.33333333333333331</v>
      </c>
      <c r="K262" s="162" t="s">
        <v>749</v>
      </c>
      <c r="L262" s="166"/>
      <c r="M262" s="166"/>
      <c r="N262" s="164"/>
      <c r="O262" s="166"/>
      <c r="P262" s="165"/>
      <c r="Q262" s="171"/>
    </row>
    <row r="263" spans="1:17" customFormat="1" ht="15" customHeight="1" x14ac:dyDescent="0.25">
      <c r="A263" s="168"/>
      <c r="B263" s="167"/>
      <c r="C263" s="168"/>
      <c r="D263" s="167"/>
      <c r="E263" s="167"/>
      <c r="F263" s="167"/>
      <c r="G263" s="167"/>
      <c r="H263" s="167"/>
      <c r="I263" s="164">
        <f t="shared" ca="1" si="4"/>
        <v>44939</v>
      </c>
      <c r="J263" s="163">
        <v>0.33333333333333331</v>
      </c>
      <c r="K263" s="162" t="s">
        <v>749</v>
      </c>
      <c r="L263" s="166"/>
      <c r="M263" s="166"/>
      <c r="N263" s="164"/>
      <c r="O263" s="166"/>
      <c r="P263" s="165"/>
      <c r="Q263" s="171"/>
    </row>
    <row r="264" spans="1:17" customFormat="1" ht="15" customHeight="1" x14ac:dyDescent="0.25">
      <c r="A264" s="167"/>
      <c r="B264" s="167"/>
      <c r="C264" s="167"/>
      <c r="D264" s="167"/>
      <c r="E264" s="167"/>
      <c r="F264" s="167"/>
      <c r="G264" s="167"/>
      <c r="H264" s="167"/>
      <c r="I264" s="164">
        <f t="shared" ca="1" si="4"/>
        <v>44939</v>
      </c>
      <c r="J264" s="163">
        <v>0.33333333333333331</v>
      </c>
      <c r="K264" s="162" t="s">
        <v>749</v>
      </c>
      <c r="L264" s="166"/>
      <c r="M264" s="166"/>
      <c r="N264" s="164"/>
      <c r="O264" s="166"/>
      <c r="P264" s="165"/>
      <c r="Q264" s="171"/>
    </row>
    <row r="265" spans="1:17" customFormat="1" ht="15" customHeight="1" x14ac:dyDescent="0.25">
      <c r="A265" s="167"/>
      <c r="B265" s="167"/>
      <c r="C265" s="167"/>
      <c r="D265" s="167"/>
      <c r="E265" s="167"/>
      <c r="F265" s="167"/>
      <c r="G265" s="167"/>
      <c r="H265" s="167"/>
      <c r="I265" s="164">
        <f t="shared" ca="1" si="4"/>
        <v>44939</v>
      </c>
      <c r="J265" s="163">
        <v>0.33333333333333331</v>
      </c>
      <c r="K265" s="162" t="s">
        <v>749</v>
      </c>
      <c r="L265" s="166"/>
      <c r="M265" s="166"/>
      <c r="N265" s="164"/>
      <c r="O265" s="166"/>
      <c r="P265" s="165"/>
      <c r="Q265" s="171"/>
    </row>
    <row r="266" spans="1:17" customFormat="1" ht="15" customHeight="1" x14ac:dyDescent="0.25">
      <c r="A266" s="167"/>
      <c r="B266" s="167"/>
      <c r="C266" s="167"/>
      <c r="D266" s="167"/>
      <c r="E266" s="167"/>
      <c r="F266" s="167"/>
      <c r="G266" s="167"/>
      <c r="H266" s="167"/>
      <c r="I266" s="164">
        <f t="shared" ca="1" si="4"/>
        <v>44939</v>
      </c>
      <c r="J266" s="163">
        <v>0.33333333333333331</v>
      </c>
      <c r="K266" s="162" t="s">
        <v>749</v>
      </c>
      <c r="L266" s="166"/>
      <c r="M266" s="166"/>
      <c r="N266" s="164"/>
      <c r="O266" s="166"/>
      <c r="P266" s="165"/>
      <c r="Q266" s="171"/>
    </row>
    <row r="267" spans="1:17" customFormat="1" ht="15" customHeight="1" x14ac:dyDescent="0.25">
      <c r="A267" s="167"/>
      <c r="B267" s="167"/>
      <c r="C267" s="167"/>
      <c r="D267" s="167"/>
      <c r="E267" s="167"/>
      <c r="F267" s="167"/>
      <c r="G267" s="167"/>
      <c r="H267" s="167"/>
      <c r="I267" s="164">
        <f t="shared" ca="1" si="4"/>
        <v>44939</v>
      </c>
      <c r="J267" s="163">
        <v>0.33333333333333331</v>
      </c>
      <c r="K267" s="162" t="s">
        <v>749</v>
      </c>
      <c r="L267" s="166"/>
      <c r="M267" s="166"/>
      <c r="N267" s="164"/>
      <c r="O267" s="166"/>
      <c r="P267" s="165"/>
      <c r="Q267" s="171"/>
    </row>
    <row r="268" spans="1:17" customFormat="1" ht="15" customHeight="1" x14ac:dyDescent="0.25">
      <c r="A268" s="167"/>
      <c r="B268" s="167"/>
      <c r="C268" s="167"/>
      <c r="D268" s="167"/>
      <c r="E268" s="167"/>
      <c r="F268" s="167"/>
      <c r="G268" s="167"/>
      <c r="H268" s="167"/>
      <c r="I268" s="164">
        <f t="shared" ca="1" si="4"/>
        <v>44939</v>
      </c>
      <c r="J268" s="163">
        <v>0.33333333333333331</v>
      </c>
      <c r="K268" s="162" t="s">
        <v>749</v>
      </c>
      <c r="L268" s="166"/>
      <c r="M268" s="166"/>
      <c r="N268" s="164"/>
      <c r="O268" s="166"/>
      <c r="P268" s="165"/>
      <c r="Q268" s="171"/>
    </row>
    <row r="269" spans="1:17" customFormat="1" ht="15" customHeight="1" x14ac:dyDescent="0.25">
      <c r="A269" s="167"/>
      <c r="B269" s="167"/>
      <c r="C269" s="167"/>
      <c r="D269" s="167"/>
      <c r="E269" s="167"/>
      <c r="F269" s="167"/>
      <c r="G269" s="167"/>
      <c r="H269" s="167"/>
      <c r="I269" s="164">
        <f t="shared" ca="1" si="4"/>
        <v>44939</v>
      </c>
      <c r="J269" s="163">
        <v>0.33333333333333331</v>
      </c>
      <c r="K269" s="162" t="s">
        <v>749</v>
      </c>
      <c r="L269" s="166"/>
      <c r="M269" s="166"/>
      <c r="N269" s="164"/>
      <c r="O269" s="166"/>
      <c r="P269" s="165"/>
      <c r="Q269" s="171"/>
    </row>
    <row r="270" spans="1:17" customFormat="1" ht="15" customHeight="1" x14ac:dyDescent="0.25">
      <c r="A270" s="167"/>
      <c r="B270" s="167"/>
      <c r="C270" s="167"/>
      <c r="D270" s="167"/>
      <c r="E270" s="167"/>
      <c r="F270" s="167"/>
      <c r="G270" s="167"/>
      <c r="H270" s="167"/>
      <c r="I270" s="164">
        <f t="shared" ca="1" si="4"/>
        <v>44939</v>
      </c>
      <c r="J270" s="163">
        <v>0.33333333333333331</v>
      </c>
      <c r="K270" s="162" t="s">
        <v>749</v>
      </c>
      <c r="L270" s="166"/>
      <c r="M270" s="166"/>
      <c r="N270" s="164"/>
      <c r="O270" s="166"/>
      <c r="P270" s="165"/>
      <c r="Q270" s="171"/>
    </row>
    <row r="271" spans="1:17" customFormat="1" ht="15" customHeight="1" x14ac:dyDescent="0.25">
      <c r="A271" s="167"/>
      <c r="B271" s="167"/>
      <c r="C271" s="167"/>
      <c r="D271" s="167"/>
      <c r="E271" s="167"/>
      <c r="F271" s="167"/>
      <c r="G271" s="167"/>
      <c r="H271" s="167"/>
      <c r="I271" s="164">
        <f t="shared" ca="1" si="4"/>
        <v>44939</v>
      </c>
      <c r="J271" s="163">
        <v>0.33333333333333331</v>
      </c>
      <c r="K271" s="162" t="s">
        <v>749</v>
      </c>
      <c r="L271" s="166"/>
      <c r="M271" s="166"/>
      <c r="N271" s="164"/>
      <c r="O271" s="166"/>
      <c r="P271" s="165"/>
      <c r="Q271" s="171"/>
    </row>
    <row r="272" spans="1:17" customFormat="1" ht="15" customHeight="1" x14ac:dyDescent="0.25">
      <c r="A272" s="167"/>
      <c r="B272" s="167"/>
      <c r="C272" s="167"/>
      <c r="D272" s="167"/>
      <c r="E272" s="167"/>
      <c r="F272" s="167"/>
      <c r="G272" s="167"/>
      <c r="H272" s="167"/>
      <c r="I272" s="164">
        <f t="shared" ca="1" si="4"/>
        <v>44939</v>
      </c>
      <c r="J272" s="163">
        <v>0.33333333333333331</v>
      </c>
      <c r="K272" s="162" t="s">
        <v>749</v>
      </c>
      <c r="L272" s="166"/>
      <c r="M272" s="166"/>
      <c r="N272" s="164"/>
      <c r="O272" s="166"/>
      <c r="P272" s="165"/>
      <c r="Q272" s="171"/>
    </row>
    <row r="273" spans="1:17" customFormat="1" ht="15" customHeight="1" x14ac:dyDescent="0.25">
      <c r="A273" s="167"/>
      <c r="B273" s="167"/>
      <c r="C273" s="167"/>
      <c r="D273" s="167"/>
      <c r="E273" s="167"/>
      <c r="F273" s="167"/>
      <c r="G273" s="167"/>
      <c r="H273" s="167"/>
      <c r="I273" s="164">
        <f t="shared" ca="1" si="4"/>
        <v>44939</v>
      </c>
      <c r="J273" s="163">
        <v>0.33333333333333331</v>
      </c>
      <c r="K273" s="162" t="s">
        <v>749</v>
      </c>
      <c r="L273" s="166"/>
      <c r="M273" s="166"/>
      <c r="N273" s="164"/>
      <c r="O273" s="166"/>
      <c r="P273" s="165"/>
      <c r="Q273" s="171"/>
    </row>
    <row r="274" spans="1:17" customFormat="1" ht="15" customHeight="1" x14ac:dyDescent="0.25">
      <c r="A274" s="167"/>
      <c r="B274" s="167"/>
      <c r="C274" s="167"/>
      <c r="D274" s="167"/>
      <c r="E274" s="167"/>
      <c r="F274" s="167"/>
      <c r="G274" s="167"/>
      <c r="H274" s="167"/>
      <c r="I274" s="164">
        <f t="shared" ca="1" si="4"/>
        <v>44939</v>
      </c>
      <c r="J274" s="163">
        <v>0.33333333333333331</v>
      </c>
      <c r="K274" s="162" t="s">
        <v>749</v>
      </c>
      <c r="L274" s="166"/>
      <c r="M274" s="166"/>
      <c r="N274" s="164"/>
      <c r="O274" s="166"/>
      <c r="P274" s="165"/>
      <c r="Q274" s="171"/>
    </row>
    <row r="275" spans="1:17" customFormat="1" ht="15" customHeight="1" x14ac:dyDescent="0.25">
      <c r="A275" s="167"/>
      <c r="B275" s="167"/>
      <c r="C275" s="167"/>
      <c r="D275" s="167"/>
      <c r="E275" s="167"/>
      <c r="F275" s="167"/>
      <c r="G275" s="167"/>
      <c r="H275" s="167"/>
      <c r="I275" s="164">
        <f t="shared" ca="1" si="4"/>
        <v>44939</v>
      </c>
      <c r="J275" s="163">
        <v>0.33333333333333331</v>
      </c>
      <c r="K275" s="162" t="s">
        <v>749</v>
      </c>
      <c r="L275" s="166"/>
      <c r="M275" s="166"/>
      <c r="N275" s="164"/>
      <c r="O275" s="166"/>
      <c r="P275" s="165"/>
      <c r="Q275" s="171"/>
    </row>
    <row r="276" spans="1:17" customFormat="1" ht="15" customHeight="1" x14ac:dyDescent="0.25">
      <c r="A276" s="167"/>
      <c r="B276" s="167"/>
      <c r="C276" s="167"/>
      <c r="D276" s="167"/>
      <c r="E276" s="167"/>
      <c r="F276" s="167"/>
      <c r="G276" s="167"/>
      <c r="H276" s="167"/>
      <c r="I276" s="164">
        <f t="shared" ca="1" si="4"/>
        <v>44939</v>
      </c>
      <c r="J276" s="163">
        <v>0.33333333333333331</v>
      </c>
      <c r="K276" s="162" t="s">
        <v>749</v>
      </c>
      <c r="L276" s="166"/>
      <c r="M276" s="166"/>
      <c r="N276" s="164"/>
      <c r="O276" s="166"/>
      <c r="P276" s="165"/>
      <c r="Q276" s="171"/>
    </row>
    <row r="277" spans="1:17" customFormat="1" ht="15" customHeight="1" x14ac:dyDescent="0.25">
      <c r="A277" s="167"/>
      <c r="B277" s="167"/>
      <c r="C277" s="167"/>
      <c r="D277" s="167"/>
      <c r="E277" s="167"/>
      <c r="F277" s="167"/>
      <c r="G277" s="167"/>
      <c r="H277" s="167"/>
      <c r="I277" s="164">
        <f t="shared" ca="1" si="4"/>
        <v>44939</v>
      </c>
      <c r="J277" s="163">
        <v>0.33333333333333331</v>
      </c>
      <c r="K277" s="162" t="s">
        <v>749</v>
      </c>
      <c r="L277" s="166"/>
      <c r="M277" s="166"/>
      <c r="N277" s="164"/>
      <c r="O277" s="166"/>
      <c r="P277" s="165"/>
      <c r="Q277" s="171"/>
    </row>
    <row r="278" spans="1:17" customFormat="1" ht="15" customHeight="1" x14ac:dyDescent="0.25">
      <c r="A278" s="167"/>
      <c r="B278" s="167"/>
      <c r="C278" s="167"/>
      <c r="D278" s="167"/>
      <c r="E278" s="167"/>
      <c r="F278" s="167"/>
      <c r="G278" s="167"/>
      <c r="H278" s="167"/>
      <c r="I278" s="164">
        <f t="shared" ca="1" si="4"/>
        <v>44939</v>
      </c>
      <c r="J278" s="163">
        <v>0.33333333333333331</v>
      </c>
      <c r="K278" s="162" t="s">
        <v>749</v>
      </c>
      <c r="L278" s="166"/>
      <c r="M278" s="166"/>
      <c r="N278" s="164"/>
      <c r="O278" s="166"/>
      <c r="P278" s="165"/>
      <c r="Q278" s="171"/>
    </row>
    <row r="279" spans="1:17" customFormat="1" ht="15" customHeight="1" x14ac:dyDescent="0.25">
      <c r="A279" s="167"/>
      <c r="B279" s="167"/>
      <c r="C279" s="167"/>
      <c r="D279" s="167"/>
      <c r="E279" s="167"/>
      <c r="F279" s="167"/>
      <c r="G279" s="167"/>
      <c r="H279" s="167"/>
      <c r="I279" s="164">
        <f t="shared" ca="1" si="4"/>
        <v>44939</v>
      </c>
      <c r="J279" s="163">
        <v>0.33333333333333331</v>
      </c>
      <c r="K279" s="162" t="s">
        <v>749</v>
      </c>
      <c r="L279" s="166"/>
      <c r="M279" s="166"/>
      <c r="N279" s="164"/>
      <c r="O279" s="166"/>
      <c r="P279" s="165"/>
      <c r="Q279" s="171"/>
    </row>
    <row r="280" spans="1:17" customFormat="1" ht="15" customHeight="1" x14ac:dyDescent="0.25">
      <c r="A280" s="167"/>
      <c r="B280" s="167"/>
      <c r="C280" s="167"/>
      <c r="D280" s="167"/>
      <c r="E280" s="167"/>
      <c r="F280" s="167"/>
      <c r="G280" s="167"/>
      <c r="H280" s="167"/>
      <c r="I280" s="164">
        <f t="shared" ref="I280:I343" ca="1" si="5">TODAY()</f>
        <v>44939</v>
      </c>
      <c r="J280" s="163">
        <v>0.33333333333333331</v>
      </c>
      <c r="K280" s="162" t="s">
        <v>749</v>
      </c>
      <c r="L280" s="166"/>
      <c r="M280" s="166"/>
      <c r="N280" s="164"/>
      <c r="O280" s="166"/>
      <c r="P280" s="165"/>
      <c r="Q280" s="171"/>
    </row>
    <row r="281" spans="1:17" customFormat="1" ht="15" customHeight="1" x14ac:dyDescent="0.25">
      <c r="A281" s="167"/>
      <c r="B281" s="167"/>
      <c r="C281" s="167"/>
      <c r="D281" s="167"/>
      <c r="E281" s="167"/>
      <c r="F281" s="167"/>
      <c r="G281" s="167"/>
      <c r="H281" s="167"/>
      <c r="I281" s="164">
        <f t="shared" ca="1" si="5"/>
        <v>44939</v>
      </c>
      <c r="J281" s="163">
        <v>0.33333333333333331</v>
      </c>
      <c r="K281" s="162" t="s">
        <v>749</v>
      </c>
      <c r="L281" s="166"/>
      <c r="M281" s="166"/>
      <c r="N281" s="164"/>
      <c r="O281" s="166"/>
      <c r="P281" s="165"/>
      <c r="Q281" s="171"/>
    </row>
    <row r="282" spans="1:17" customFormat="1" ht="15" customHeight="1" x14ac:dyDescent="0.25">
      <c r="A282" s="167"/>
      <c r="B282" s="167"/>
      <c r="C282" s="167"/>
      <c r="D282" s="167"/>
      <c r="E282" s="167"/>
      <c r="F282" s="167"/>
      <c r="G282" s="167"/>
      <c r="H282" s="167"/>
      <c r="I282" s="164">
        <f t="shared" ca="1" si="5"/>
        <v>44939</v>
      </c>
      <c r="J282" s="163">
        <v>0.33333333333333331</v>
      </c>
      <c r="K282" s="162" t="s">
        <v>749</v>
      </c>
      <c r="L282" s="166"/>
      <c r="M282" s="166"/>
      <c r="N282" s="164"/>
      <c r="O282" s="166"/>
      <c r="P282" s="165"/>
      <c r="Q282" s="171"/>
    </row>
    <row r="283" spans="1:17" customFormat="1" ht="15" customHeight="1" x14ac:dyDescent="0.25">
      <c r="A283" s="167"/>
      <c r="B283" s="167"/>
      <c r="C283" s="167"/>
      <c r="D283" s="167"/>
      <c r="E283" s="167"/>
      <c r="F283" s="167"/>
      <c r="G283" s="167"/>
      <c r="H283" s="167"/>
      <c r="I283" s="164">
        <f t="shared" ca="1" si="5"/>
        <v>44939</v>
      </c>
      <c r="J283" s="163">
        <v>0.33333333333333331</v>
      </c>
      <c r="K283" s="162" t="s">
        <v>749</v>
      </c>
      <c r="L283" s="166"/>
      <c r="M283" s="166"/>
      <c r="N283" s="164"/>
      <c r="O283" s="166"/>
      <c r="P283" s="165"/>
      <c r="Q283" s="171"/>
    </row>
    <row r="284" spans="1:17" customFormat="1" ht="15" customHeight="1" x14ac:dyDescent="0.25">
      <c r="A284" s="167"/>
      <c r="B284" s="167"/>
      <c r="C284" s="167"/>
      <c r="D284" s="167"/>
      <c r="E284" s="167"/>
      <c r="F284" s="167"/>
      <c r="G284" s="167"/>
      <c r="H284" s="167"/>
      <c r="I284" s="164">
        <f t="shared" ca="1" si="5"/>
        <v>44939</v>
      </c>
      <c r="J284" s="163">
        <v>0.33333333333333331</v>
      </c>
      <c r="K284" s="162" t="s">
        <v>749</v>
      </c>
      <c r="L284" s="166"/>
      <c r="M284" s="166"/>
      <c r="N284" s="164"/>
      <c r="O284" s="166"/>
      <c r="P284" s="165"/>
      <c r="Q284" s="171"/>
    </row>
    <row r="285" spans="1:17" customFormat="1" ht="15" customHeight="1" x14ac:dyDescent="0.25">
      <c r="A285" s="167"/>
      <c r="B285" s="167"/>
      <c r="C285" s="167"/>
      <c r="D285" s="167"/>
      <c r="E285" s="167"/>
      <c r="F285" s="167"/>
      <c r="G285" s="167"/>
      <c r="H285" s="167"/>
      <c r="I285" s="164">
        <f t="shared" ca="1" si="5"/>
        <v>44939</v>
      </c>
      <c r="J285" s="163">
        <v>0.33333333333333331</v>
      </c>
      <c r="K285" s="162" t="s">
        <v>749</v>
      </c>
      <c r="L285" s="166"/>
      <c r="M285" s="166"/>
      <c r="N285" s="164"/>
      <c r="O285" s="166"/>
      <c r="P285" s="165"/>
      <c r="Q285" s="171"/>
    </row>
    <row r="286" spans="1:17" customFormat="1" ht="15" customHeight="1" x14ac:dyDescent="0.25">
      <c r="A286" s="167"/>
      <c r="B286" s="167"/>
      <c r="C286" s="167"/>
      <c r="D286" s="167"/>
      <c r="E286" s="167"/>
      <c r="F286" s="167"/>
      <c r="G286" s="167"/>
      <c r="H286" s="167"/>
      <c r="I286" s="164">
        <f t="shared" ca="1" si="5"/>
        <v>44939</v>
      </c>
      <c r="J286" s="163">
        <v>0.33333333333333331</v>
      </c>
      <c r="K286" s="162" t="s">
        <v>749</v>
      </c>
      <c r="L286" s="166"/>
      <c r="M286" s="166"/>
      <c r="N286" s="164"/>
      <c r="O286" s="166"/>
      <c r="P286" s="165"/>
      <c r="Q286" s="171"/>
    </row>
    <row r="287" spans="1:17" customFormat="1" ht="15" customHeight="1" x14ac:dyDescent="0.25">
      <c r="A287" s="168"/>
      <c r="B287" s="167"/>
      <c r="C287" s="168"/>
      <c r="D287" s="167"/>
      <c r="E287" s="167"/>
      <c r="F287" s="167"/>
      <c r="G287" s="167"/>
      <c r="H287" s="167"/>
      <c r="I287" s="164">
        <f t="shared" ca="1" si="5"/>
        <v>44939</v>
      </c>
      <c r="J287" s="163">
        <v>0.33333333333333331</v>
      </c>
      <c r="K287" s="162" t="s">
        <v>749</v>
      </c>
      <c r="L287" s="166"/>
      <c r="M287" s="166"/>
      <c r="N287" s="164"/>
      <c r="O287" s="166"/>
      <c r="P287" s="165"/>
      <c r="Q287" s="171"/>
    </row>
    <row r="288" spans="1:17" customFormat="1" ht="15" customHeight="1" x14ac:dyDescent="0.25">
      <c r="A288" s="168"/>
      <c r="B288" s="167"/>
      <c r="C288" s="168"/>
      <c r="D288" s="167"/>
      <c r="E288" s="167"/>
      <c r="F288" s="167"/>
      <c r="G288" s="167"/>
      <c r="H288" s="167"/>
      <c r="I288" s="164">
        <f t="shared" ca="1" si="5"/>
        <v>44939</v>
      </c>
      <c r="J288" s="163">
        <v>0.33333333333333331</v>
      </c>
      <c r="K288" s="162" t="s">
        <v>749</v>
      </c>
      <c r="L288" s="166"/>
      <c r="M288" s="166"/>
      <c r="N288" s="164"/>
      <c r="O288" s="166"/>
      <c r="P288" s="165"/>
      <c r="Q288" s="171"/>
    </row>
    <row r="289" spans="1:17" customFormat="1" ht="15" customHeight="1" x14ac:dyDescent="0.25">
      <c r="A289" s="168"/>
      <c r="B289" s="167"/>
      <c r="C289" s="168"/>
      <c r="D289" s="167"/>
      <c r="E289" s="167"/>
      <c r="F289" s="167"/>
      <c r="G289" s="167"/>
      <c r="H289" s="167"/>
      <c r="I289" s="164">
        <f t="shared" ca="1" si="5"/>
        <v>44939</v>
      </c>
      <c r="J289" s="163">
        <v>0.33333333333333331</v>
      </c>
      <c r="K289" s="162" t="s">
        <v>749</v>
      </c>
      <c r="L289" s="166"/>
      <c r="M289" s="166"/>
      <c r="N289" s="164"/>
      <c r="O289" s="166"/>
      <c r="P289" s="165"/>
      <c r="Q289" s="171"/>
    </row>
    <row r="290" spans="1:17" customFormat="1" ht="15" customHeight="1" x14ac:dyDescent="0.25">
      <c r="A290" s="167"/>
      <c r="B290" s="167"/>
      <c r="C290" s="167"/>
      <c r="D290" s="167"/>
      <c r="E290" s="167"/>
      <c r="F290" s="167"/>
      <c r="G290" s="167"/>
      <c r="H290" s="167"/>
      <c r="I290" s="164">
        <f t="shared" ca="1" si="5"/>
        <v>44939</v>
      </c>
      <c r="J290" s="163">
        <v>0.33333333333333331</v>
      </c>
      <c r="K290" s="162" t="s">
        <v>749</v>
      </c>
      <c r="L290" s="166"/>
      <c r="M290" s="166"/>
      <c r="N290" s="164"/>
      <c r="O290" s="166"/>
      <c r="P290" s="165"/>
      <c r="Q290" s="171"/>
    </row>
    <row r="291" spans="1:17" customFormat="1" ht="15" customHeight="1" x14ac:dyDescent="0.25">
      <c r="A291" s="168"/>
      <c r="B291" s="167"/>
      <c r="C291" s="168"/>
      <c r="D291" s="167"/>
      <c r="E291" s="167"/>
      <c r="F291" s="167"/>
      <c r="G291" s="167"/>
      <c r="H291" s="167"/>
      <c r="I291" s="164">
        <f t="shared" ca="1" si="5"/>
        <v>44939</v>
      </c>
      <c r="J291" s="163">
        <v>0.33333333333333331</v>
      </c>
      <c r="K291" s="162" t="s">
        <v>749</v>
      </c>
      <c r="L291" s="166"/>
      <c r="M291" s="166"/>
      <c r="N291" s="164"/>
      <c r="O291" s="166"/>
      <c r="P291" s="165"/>
      <c r="Q291" s="171"/>
    </row>
    <row r="292" spans="1:17" customFormat="1" ht="15" customHeight="1" x14ac:dyDescent="0.25">
      <c r="A292" s="168"/>
      <c r="B292" s="167"/>
      <c r="C292" s="168"/>
      <c r="D292" s="167"/>
      <c r="E292" s="167"/>
      <c r="F292" s="167"/>
      <c r="G292" s="167"/>
      <c r="H292" s="167"/>
      <c r="I292" s="164">
        <f t="shared" ca="1" si="5"/>
        <v>44939</v>
      </c>
      <c r="J292" s="163">
        <v>0.33333333333333331</v>
      </c>
      <c r="K292" s="162" t="s">
        <v>749</v>
      </c>
      <c r="L292" s="166"/>
      <c r="M292" s="166"/>
      <c r="N292" s="164"/>
      <c r="O292" s="166"/>
      <c r="P292" s="165"/>
      <c r="Q292" s="171"/>
    </row>
    <row r="293" spans="1:17" customFormat="1" ht="15" customHeight="1" x14ac:dyDescent="0.25">
      <c r="A293" s="168"/>
      <c r="B293" s="167"/>
      <c r="C293" s="168"/>
      <c r="D293" s="167"/>
      <c r="E293" s="167"/>
      <c r="F293" s="167"/>
      <c r="G293" s="167"/>
      <c r="H293" s="167"/>
      <c r="I293" s="164">
        <f t="shared" ca="1" si="5"/>
        <v>44939</v>
      </c>
      <c r="J293" s="163">
        <v>0.33333333333333331</v>
      </c>
      <c r="K293" s="162" t="s">
        <v>749</v>
      </c>
      <c r="L293" s="166"/>
      <c r="M293" s="166"/>
      <c r="N293" s="164"/>
      <c r="O293" s="166"/>
      <c r="P293" s="165"/>
      <c r="Q293" s="171"/>
    </row>
    <row r="294" spans="1:17" customFormat="1" ht="15" customHeight="1" x14ac:dyDescent="0.25">
      <c r="A294" s="168"/>
      <c r="B294" s="167"/>
      <c r="C294" s="168"/>
      <c r="D294" s="167"/>
      <c r="E294" s="167"/>
      <c r="F294" s="167"/>
      <c r="G294" s="167"/>
      <c r="H294" s="167"/>
      <c r="I294" s="164">
        <f t="shared" ca="1" si="5"/>
        <v>44939</v>
      </c>
      <c r="J294" s="163">
        <v>0.33333333333333331</v>
      </c>
      <c r="K294" s="162" t="s">
        <v>749</v>
      </c>
      <c r="L294" s="166"/>
      <c r="M294" s="166"/>
      <c r="N294" s="164"/>
      <c r="O294" s="166"/>
      <c r="P294" s="165"/>
      <c r="Q294" s="171"/>
    </row>
    <row r="295" spans="1:17" customFormat="1" ht="15" customHeight="1" x14ac:dyDescent="0.25">
      <c r="A295" s="167"/>
      <c r="B295" s="167"/>
      <c r="C295" s="167"/>
      <c r="D295" s="167"/>
      <c r="E295" s="167"/>
      <c r="F295" s="167"/>
      <c r="G295" s="167"/>
      <c r="H295" s="167"/>
      <c r="I295" s="164">
        <f t="shared" ca="1" si="5"/>
        <v>44939</v>
      </c>
      <c r="J295" s="163">
        <v>0.33333333333333331</v>
      </c>
      <c r="K295" s="162" t="s">
        <v>749</v>
      </c>
      <c r="L295" s="166"/>
      <c r="M295" s="166"/>
      <c r="N295" s="164"/>
      <c r="O295" s="166"/>
      <c r="P295" s="165"/>
      <c r="Q295" s="171"/>
    </row>
    <row r="296" spans="1:17" customFormat="1" ht="15" customHeight="1" x14ac:dyDescent="0.25">
      <c r="A296" s="168"/>
      <c r="B296" s="167"/>
      <c r="C296" s="168"/>
      <c r="D296" s="167"/>
      <c r="E296" s="167"/>
      <c r="F296" s="167"/>
      <c r="G296" s="167"/>
      <c r="H296" s="167"/>
      <c r="I296" s="164">
        <f t="shared" ca="1" si="5"/>
        <v>44939</v>
      </c>
      <c r="J296" s="163">
        <v>0.33333333333333331</v>
      </c>
      <c r="K296" s="162" t="s">
        <v>749</v>
      </c>
      <c r="L296" s="166"/>
      <c r="M296" s="166"/>
      <c r="N296" s="164"/>
      <c r="O296" s="166"/>
      <c r="P296" s="165"/>
      <c r="Q296" s="171"/>
    </row>
    <row r="297" spans="1:17" customFormat="1" ht="15" customHeight="1" x14ac:dyDescent="0.25">
      <c r="A297" s="168"/>
      <c r="B297" s="167"/>
      <c r="C297" s="168"/>
      <c r="D297" s="167"/>
      <c r="E297" s="167"/>
      <c r="F297" s="167"/>
      <c r="G297" s="167"/>
      <c r="H297" s="167"/>
      <c r="I297" s="164">
        <f t="shared" ca="1" si="5"/>
        <v>44939</v>
      </c>
      <c r="J297" s="163">
        <v>0.33333333333333331</v>
      </c>
      <c r="K297" s="162" t="s">
        <v>749</v>
      </c>
      <c r="L297" s="166"/>
      <c r="M297" s="166"/>
      <c r="N297" s="164"/>
      <c r="O297" s="166"/>
      <c r="P297" s="165"/>
      <c r="Q297" s="171"/>
    </row>
    <row r="298" spans="1:17" customFormat="1" ht="15" customHeight="1" x14ac:dyDescent="0.25">
      <c r="A298" s="168"/>
      <c r="B298" s="167"/>
      <c r="C298" s="168"/>
      <c r="D298" s="167"/>
      <c r="E298" s="167"/>
      <c r="F298" s="167"/>
      <c r="G298" s="167"/>
      <c r="H298" s="167"/>
      <c r="I298" s="164">
        <f t="shared" ca="1" si="5"/>
        <v>44939</v>
      </c>
      <c r="J298" s="163">
        <v>0.33333333333333331</v>
      </c>
      <c r="K298" s="162" t="s">
        <v>749</v>
      </c>
      <c r="L298" s="166"/>
      <c r="M298" s="166"/>
      <c r="N298" s="164"/>
      <c r="O298" s="166"/>
      <c r="P298" s="165"/>
      <c r="Q298" s="171"/>
    </row>
    <row r="299" spans="1:17" customFormat="1" ht="15" customHeight="1" x14ac:dyDescent="0.25">
      <c r="A299" s="168"/>
      <c r="B299" s="167"/>
      <c r="C299" s="168"/>
      <c r="D299" s="167"/>
      <c r="E299" s="167"/>
      <c r="F299" s="167"/>
      <c r="G299" s="167"/>
      <c r="H299" s="167"/>
      <c r="I299" s="164">
        <f t="shared" ca="1" si="5"/>
        <v>44939</v>
      </c>
      <c r="J299" s="163">
        <v>0.33333333333333331</v>
      </c>
      <c r="K299" s="162" t="s">
        <v>749</v>
      </c>
      <c r="L299" s="166"/>
      <c r="M299" s="166"/>
      <c r="N299" s="164"/>
      <c r="O299" s="166"/>
      <c r="P299" s="165"/>
      <c r="Q299" s="171"/>
    </row>
    <row r="300" spans="1:17" customFormat="1" ht="15" hidden="1" customHeight="1" x14ac:dyDescent="0.25">
      <c r="A300" s="168"/>
      <c r="B300" s="167"/>
      <c r="C300" s="168"/>
      <c r="D300" s="167"/>
      <c r="E300" s="167"/>
      <c r="F300" s="167"/>
      <c r="G300" s="167"/>
      <c r="H300" s="167"/>
      <c r="I300" s="164">
        <f t="shared" ca="1" si="5"/>
        <v>44939</v>
      </c>
      <c r="J300" s="163">
        <v>0.33333333333333331</v>
      </c>
      <c r="K300" s="162" t="s">
        <v>749</v>
      </c>
      <c r="L300" s="166"/>
      <c r="M300" s="166"/>
      <c r="N300" s="164"/>
      <c r="O300" s="166"/>
      <c r="P300" s="165"/>
      <c r="Q300" s="171"/>
    </row>
    <row r="301" spans="1:17" customFormat="1" ht="15" hidden="1" customHeight="1" x14ac:dyDescent="0.25">
      <c r="A301" s="167"/>
      <c r="B301" s="167"/>
      <c r="C301" s="167"/>
      <c r="D301" s="167"/>
      <c r="E301" s="167"/>
      <c r="F301" s="167"/>
      <c r="G301" s="167"/>
      <c r="H301" s="167"/>
      <c r="I301" s="164">
        <f t="shared" ca="1" si="5"/>
        <v>44939</v>
      </c>
      <c r="J301" s="163">
        <v>0.33333333333333331</v>
      </c>
      <c r="K301" s="162" t="s">
        <v>749</v>
      </c>
      <c r="L301" s="166"/>
      <c r="M301" s="166"/>
      <c r="N301" s="164"/>
      <c r="O301" s="166"/>
      <c r="P301" s="165"/>
      <c r="Q301" s="171"/>
    </row>
    <row r="302" spans="1:17" customFormat="1" ht="15" hidden="1" customHeight="1" x14ac:dyDescent="0.25">
      <c r="A302" s="167"/>
      <c r="B302" s="167"/>
      <c r="C302" s="167"/>
      <c r="D302" s="167"/>
      <c r="E302" s="167"/>
      <c r="F302" s="167"/>
      <c r="G302" s="167"/>
      <c r="H302" s="167"/>
      <c r="I302" s="164">
        <f t="shared" ca="1" si="5"/>
        <v>44939</v>
      </c>
      <c r="J302" s="163">
        <v>0.33333333333333331</v>
      </c>
      <c r="K302" s="162" t="s">
        <v>749</v>
      </c>
      <c r="L302" s="166"/>
      <c r="M302" s="166"/>
      <c r="N302" s="164"/>
      <c r="O302" s="166"/>
      <c r="P302" s="165"/>
      <c r="Q302" s="171"/>
    </row>
    <row r="303" spans="1:17" customFormat="1" ht="15" hidden="1" customHeight="1" x14ac:dyDescent="0.25">
      <c r="A303" s="168"/>
      <c r="B303" s="167"/>
      <c r="C303" s="168"/>
      <c r="D303" s="167"/>
      <c r="E303" s="167"/>
      <c r="F303" s="167"/>
      <c r="G303" s="167"/>
      <c r="H303" s="167"/>
      <c r="I303" s="164">
        <f t="shared" ca="1" si="5"/>
        <v>44939</v>
      </c>
      <c r="J303" s="163">
        <v>0.33333333333333331</v>
      </c>
      <c r="K303" s="162" t="s">
        <v>749</v>
      </c>
      <c r="L303" s="166"/>
      <c r="M303" s="166"/>
      <c r="N303" s="164"/>
      <c r="O303" s="166"/>
      <c r="P303" s="165"/>
      <c r="Q303" s="171"/>
    </row>
    <row r="304" spans="1:17" customFormat="1" ht="15" hidden="1" customHeight="1" x14ac:dyDescent="0.25">
      <c r="A304" s="168"/>
      <c r="B304" s="167"/>
      <c r="C304" s="168"/>
      <c r="D304" s="167"/>
      <c r="E304" s="167"/>
      <c r="F304" s="167"/>
      <c r="G304" s="167"/>
      <c r="H304" s="167"/>
      <c r="I304" s="164">
        <f t="shared" ca="1" si="5"/>
        <v>44939</v>
      </c>
      <c r="J304" s="163">
        <v>0.33333333333333331</v>
      </c>
      <c r="K304" s="162" t="s">
        <v>749</v>
      </c>
      <c r="L304" s="166"/>
      <c r="M304" s="166"/>
      <c r="N304" s="164"/>
      <c r="O304" s="166"/>
      <c r="P304" s="165"/>
      <c r="Q304" s="171"/>
    </row>
    <row r="305" spans="1:17" customFormat="1" ht="15" hidden="1" customHeight="1" x14ac:dyDescent="0.25">
      <c r="A305" s="168"/>
      <c r="B305" s="167"/>
      <c r="C305" s="168"/>
      <c r="D305" s="167"/>
      <c r="E305" s="167"/>
      <c r="F305" s="167"/>
      <c r="G305" s="167"/>
      <c r="H305" s="167"/>
      <c r="I305" s="164">
        <f t="shared" ca="1" si="5"/>
        <v>44939</v>
      </c>
      <c r="J305" s="163">
        <v>0.33333333333333331</v>
      </c>
      <c r="K305" s="162" t="s">
        <v>749</v>
      </c>
      <c r="L305" s="166"/>
      <c r="M305" s="166"/>
      <c r="N305" s="164"/>
      <c r="O305" s="166"/>
      <c r="P305" s="165"/>
      <c r="Q305" s="171"/>
    </row>
    <row r="306" spans="1:17" customFormat="1" ht="15" hidden="1" customHeight="1" x14ac:dyDescent="0.25">
      <c r="A306" s="167"/>
      <c r="B306" s="167"/>
      <c r="C306" s="168"/>
      <c r="D306" s="167"/>
      <c r="E306" s="167"/>
      <c r="F306" s="167"/>
      <c r="G306" s="167"/>
      <c r="H306" s="167"/>
      <c r="I306" s="164">
        <f t="shared" ca="1" si="5"/>
        <v>44939</v>
      </c>
      <c r="J306" s="163">
        <v>0.33333333333333331</v>
      </c>
      <c r="K306" s="162" t="s">
        <v>749</v>
      </c>
      <c r="L306" s="166"/>
      <c r="M306" s="166"/>
      <c r="N306" s="164"/>
      <c r="O306" s="166"/>
      <c r="P306" s="165"/>
      <c r="Q306" s="171"/>
    </row>
    <row r="307" spans="1:17" customFormat="1" ht="15" hidden="1" customHeight="1" x14ac:dyDescent="0.25">
      <c r="A307" s="167"/>
      <c r="B307" s="167"/>
      <c r="C307" s="167"/>
      <c r="D307" s="167"/>
      <c r="E307" s="167"/>
      <c r="F307" s="167"/>
      <c r="G307" s="167"/>
      <c r="H307" s="167"/>
      <c r="I307" s="164">
        <f t="shared" ca="1" si="5"/>
        <v>44939</v>
      </c>
      <c r="J307" s="163">
        <v>0.33333333333333331</v>
      </c>
      <c r="K307" s="162" t="s">
        <v>749</v>
      </c>
      <c r="L307" s="166"/>
      <c r="M307" s="166"/>
      <c r="N307" s="164"/>
      <c r="O307" s="166"/>
      <c r="P307" s="165"/>
      <c r="Q307" s="171"/>
    </row>
    <row r="308" spans="1:17" customFormat="1" ht="15" hidden="1" customHeight="1" x14ac:dyDescent="0.25">
      <c r="A308" s="167"/>
      <c r="B308" s="167"/>
      <c r="C308" s="167"/>
      <c r="D308" s="167"/>
      <c r="E308" s="167"/>
      <c r="F308" s="167"/>
      <c r="G308" s="167"/>
      <c r="H308" s="167"/>
      <c r="I308" s="164">
        <f t="shared" ca="1" si="5"/>
        <v>44939</v>
      </c>
      <c r="J308" s="163">
        <v>0.33333333333333331</v>
      </c>
      <c r="K308" s="162" t="s">
        <v>749</v>
      </c>
      <c r="L308" s="166"/>
      <c r="M308" s="166"/>
      <c r="N308" s="164"/>
      <c r="O308" s="166"/>
      <c r="P308" s="165"/>
      <c r="Q308" s="171"/>
    </row>
    <row r="309" spans="1:17" customFormat="1" ht="15" hidden="1" customHeight="1" x14ac:dyDescent="0.25">
      <c r="A309" s="167"/>
      <c r="B309" s="167"/>
      <c r="C309" s="167"/>
      <c r="D309" s="167"/>
      <c r="E309" s="167"/>
      <c r="F309" s="167"/>
      <c r="G309" s="167"/>
      <c r="H309" s="167"/>
      <c r="I309" s="164">
        <f t="shared" ca="1" si="5"/>
        <v>44939</v>
      </c>
      <c r="J309" s="163">
        <v>0.33333333333333331</v>
      </c>
      <c r="K309" s="162" t="s">
        <v>749</v>
      </c>
      <c r="L309" s="166"/>
      <c r="M309" s="166"/>
      <c r="N309" s="164"/>
      <c r="O309" s="166"/>
      <c r="P309" s="165"/>
      <c r="Q309" s="171"/>
    </row>
    <row r="310" spans="1:17" customFormat="1" ht="15" hidden="1" customHeight="1" x14ac:dyDescent="0.25">
      <c r="A310" s="168"/>
      <c r="B310" s="167"/>
      <c r="C310" s="168"/>
      <c r="D310" s="167"/>
      <c r="E310" s="167"/>
      <c r="F310" s="167"/>
      <c r="G310" s="167"/>
      <c r="H310" s="167"/>
      <c r="I310" s="164">
        <f t="shared" ca="1" si="5"/>
        <v>44939</v>
      </c>
      <c r="J310" s="163">
        <v>0.33333333333333331</v>
      </c>
      <c r="K310" s="162" t="s">
        <v>749</v>
      </c>
      <c r="L310" s="166"/>
      <c r="M310" s="166"/>
      <c r="N310" s="164"/>
      <c r="O310" s="166"/>
      <c r="P310" s="165"/>
      <c r="Q310" s="171"/>
    </row>
    <row r="311" spans="1:17" customFormat="1" ht="15" hidden="1" customHeight="1" x14ac:dyDescent="0.25">
      <c r="A311" s="168"/>
      <c r="B311" s="167"/>
      <c r="C311" s="168"/>
      <c r="D311" s="167"/>
      <c r="E311" s="167"/>
      <c r="F311" s="167"/>
      <c r="G311" s="167"/>
      <c r="H311" s="167"/>
      <c r="I311" s="164">
        <f t="shared" ca="1" si="5"/>
        <v>44939</v>
      </c>
      <c r="J311" s="163">
        <v>0.33333333333333331</v>
      </c>
      <c r="K311" s="162" t="s">
        <v>749</v>
      </c>
      <c r="L311" s="166"/>
      <c r="M311" s="166"/>
      <c r="N311" s="164"/>
      <c r="O311" s="166"/>
      <c r="P311" s="165"/>
      <c r="Q311" s="171"/>
    </row>
    <row r="312" spans="1:17" customFormat="1" ht="15" hidden="1" customHeight="1" x14ac:dyDescent="0.25">
      <c r="A312" s="168"/>
      <c r="B312" s="167"/>
      <c r="C312" s="168"/>
      <c r="D312" s="167"/>
      <c r="E312" s="167"/>
      <c r="F312" s="167"/>
      <c r="G312" s="167"/>
      <c r="H312" s="167"/>
      <c r="I312" s="164">
        <f t="shared" ca="1" si="5"/>
        <v>44939</v>
      </c>
      <c r="J312" s="163">
        <v>0.33333333333333331</v>
      </c>
      <c r="K312" s="162" t="s">
        <v>749</v>
      </c>
      <c r="L312" s="166"/>
      <c r="M312" s="166"/>
      <c r="N312" s="164"/>
      <c r="O312" s="166"/>
      <c r="P312" s="165"/>
      <c r="Q312" s="171"/>
    </row>
    <row r="313" spans="1:17" customFormat="1" ht="15" hidden="1" customHeight="1" x14ac:dyDescent="0.25">
      <c r="A313" s="168"/>
      <c r="B313" s="167"/>
      <c r="C313" s="168"/>
      <c r="D313" s="167"/>
      <c r="E313" s="167"/>
      <c r="F313" s="167"/>
      <c r="G313" s="167"/>
      <c r="H313" s="167"/>
      <c r="I313" s="164">
        <f t="shared" ca="1" si="5"/>
        <v>44939</v>
      </c>
      <c r="J313" s="163">
        <v>0.33333333333333331</v>
      </c>
      <c r="K313" s="162" t="s">
        <v>749</v>
      </c>
      <c r="L313" s="166"/>
      <c r="M313" s="166"/>
      <c r="N313" s="164"/>
      <c r="O313" s="166"/>
      <c r="P313" s="165"/>
      <c r="Q313" s="171"/>
    </row>
    <row r="314" spans="1:17" customFormat="1" ht="15" hidden="1" customHeight="1" x14ac:dyDescent="0.25">
      <c r="A314" s="168"/>
      <c r="B314" s="167"/>
      <c r="C314" s="168"/>
      <c r="D314" s="167"/>
      <c r="E314" s="167"/>
      <c r="F314" s="167"/>
      <c r="G314" s="167"/>
      <c r="H314" s="167"/>
      <c r="I314" s="164">
        <f t="shared" ca="1" si="5"/>
        <v>44939</v>
      </c>
      <c r="J314" s="163">
        <v>0.33333333333333331</v>
      </c>
      <c r="K314" s="162" t="s">
        <v>749</v>
      </c>
      <c r="L314" s="166"/>
      <c r="M314" s="166"/>
      <c r="N314" s="164"/>
      <c r="O314" s="166"/>
      <c r="P314" s="165"/>
      <c r="Q314" s="171"/>
    </row>
    <row r="315" spans="1:17" ht="15" hidden="1" customHeight="1" x14ac:dyDescent="0.25">
      <c r="A315" s="168"/>
      <c r="B315" s="167"/>
      <c r="C315" s="168"/>
      <c r="D315" s="167"/>
      <c r="E315" s="167"/>
      <c r="F315" s="167"/>
      <c r="G315" s="167"/>
      <c r="H315" s="167"/>
      <c r="I315" s="164">
        <f t="shared" ca="1" si="5"/>
        <v>44939</v>
      </c>
      <c r="J315" s="163">
        <v>0.33333333333333331</v>
      </c>
      <c r="K315" s="162" t="s">
        <v>749</v>
      </c>
      <c r="L315" s="166"/>
      <c r="M315" s="166"/>
      <c r="N315" s="164"/>
      <c r="O315" s="166"/>
      <c r="P315" s="165"/>
    </row>
    <row r="316" spans="1:17" ht="15" hidden="1" customHeight="1" x14ac:dyDescent="0.25">
      <c r="A316" s="168"/>
      <c r="B316" s="167"/>
      <c r="C316" s="168"/>
      <c r="D316" s="167"/>
      <c r="E316" s="167"/>
      <c r="F316" s="167"/>
      <c r="G316" s="167"/>
      <c r="H316" s="167"/>
      <c r="I316" s="164">
        <f t="shared" ca="1" si="5"/>
        <v>44939</v>
      </c>
      <c r="J316" s="163">
        <v>0.33333333333333331</v>
      </c>
      <c r="K316" s="162" t="s">
        <v>749</v>
      </c>
      <c r="L316" s="166"/>
      <c r="M316" s="166"/>
      <c r="N316" s="164"/>
      <c r="O316" s="166"/>
      <c r="P316" s="165"/>
    </row>
    <row r="317" spans="1:17" ht="15" hidden="1" customHeight="1" x14ac:dyDescent="0.25">
      <c r="A317" s="168"/>
      <c r="B317" s="167"/>
      <c r="C317" s="168"/>
      <c r="D317" s="167"/>
      <c r="E317" s="167"/>
      <c r="F317" s="167"/>
      <c r="G317" s="167"/>
      <c r="H317" s="167"/>
      <c r="I317" s="164">
        <f t="shared" ca="1" si="5"/>
        <v>44939</v>
      </c>
      <c r="J317" s="163">
        <v>0.33333333333333331</v>
      </c>
      <c r="K317" s="162" t="s">
        <v>749</v>
      </c>
      <c r="L317" s="166"/>
      <c r="M317" s="166"/>
      <c r="N317" s="164"/>
      <c r="O317" s="166"/>
      <c r="P317" s="165"/>
    </row>
    <row r="318" spans="1:17" ht="15" hidden="1" customHeight="1" x14ac:dyDescent="0.25">
      <c r="A318" s="168"/>
      <c r="B318" s="167"/>
      <c r="C318" s="168"/>
      <c r="D318" s="167"/>
      <c r="E318" s="167"/>
      <c r="F318" s="167"/>
      <c r="G318" s="167"/>
      <c r="H318" s="167"/>
      <c r="I318" s="164">
        <f t="shared" ca="1" si="5"/>
        <v>44939</v>
      </c>
      <c r="J318" s="163">
        <v>0.33333333333333331</v>
      </c>
      <c r="K318" s="162" t="s">
        <v>749</v>
      </c>
      <c r="L318" s="166"/>
      <c r="M318" s="166"/>
      <c r="N318" s="164"/>
      <c r="O318" s="166"/>
      <c r="P318" s="165"/>
    </row>
    <row r="319" spans="1:17" ht="15" hidden="1" customHeight="1" x14ac:dyDescent="0.25">
      <c r="A319" s="167"/>
      <c r="B319" s="167"/>
      <c r="C319" s="168"/>
      <c r="D319" s="167"/>
      <c r="E319" s="167"/>
      <c r="F319" s="167"/>
      <c r="G319" s="167"/>
      <c r="H319" s="167"/>
      <c r="I319" s="164">
        <f t="shared" ca="1" si="5"/>
        <v>44939</v>
      </c>
      <c r="J319" s="163">
        <v>0.33333333333333331</v>
      </c>
      <c r="K319" s="162" t="s">
        <v>749</v>
      </c>
      <c r="L319" s="166"/>
      <c r="M319" s="166"/>
      <c r="N319" s="164"/>
      <c r="O319" s="166"/>
      <c r="P319" s="165"/>
    </row>
    <row r="320" spans="1:17" ht="15" hidden="1" customHeight="1" x14ac:dyDescent="0.25">
      <c r="A320" s="167"/>
      <c r="B320" s="167"/>
      <c r="C320" s="167"/>
      <c r="D320" s="167"/>
      <c r="E320" s="167"/>
      <c r="F320" s="167"/>
      <c r="G320" s="167"/>
      <c r="H320" s="167"/>
      <c r="I320" s="164">
        <f t="shared" ca="1" si="5"/>
        <v>44939</v>
      </c>
      <c r="J320" s="163">
        <v>0.33333333333333331</v>
      </c>
      <c r="K320" s="162" t="s">
        <v>749</v>
      </c>
      <c r="L320" s="166"/>
      <c r="M320" s="166"/>
      <c r="N320" s="164"/>
      <c r="O320" s="166"/>
      <c r="P320" s="165"/>
    </row>
    <row r="321" spans="1:16" ht="15" hidden="1" customHeight="1" x14ac:dyDescent="0.25">
      <c r="A321" s="167"/>
      <c r="B321" s="167"/>
      <c r="C321" s="167"/>
      <c r="D321" s="167"/>
      <c r="E321" s="167"/>
      <c r="F321" s="167"/>
      <c r="G321" s="167"/>
      <c r="H321" s="167"/>
      <c r="I321" s="164">
        <f t="shared" ca="1" si="5"/>
        <v>44939</v>
      </c>
      <c r="J321" s="163">
        <v>0.33333333333333331</v>
      </c>
      <c r="K321" s="162" t="s">
        <v>749</v>
      </c>
      <c r="L321" s="166"/>
      <c r="M321" s="166"/>
      <c r="N321" s="164"/>
      <c r="O321" s="166"/>
      <c r="P321" s="165"/>
    </row>
    <row r="322" spans="1:16" ht="15" hidden="1" customHeight="1" x14ac:dyDescent="0.25">
      <c r="A322" s="167"/>
      <c r="B322" s="167"/>
      <c r="C322" s="167"/>
      <c r="D322" s="167"/>
      <c r="E322" s="167"/>
      <c r="F322" s="167"/>
      <c r="G322" s="167"/>
      <c r="H322" s="167"/>
      <c r="I322" s="164">
        <f t="shared" ca="1" si="5"/>
        <v>44939</v>
      </c>
      <c r="J322" s="163">
        <v>0.33333333333333331</v>
      </c>
      <c r="K322" s="162" t="s">
        <v>749</v>
      </c>
      <c r="L322" s="166"/>
      <c r="M322" s="166"/>
      <c r="N322" s="164"/>
      <c r="O322" s="166"/>
      <c r="P322" s="165"/>
    </row>
    <row r="323" spans="1:16" ht="15" hidden="1" customHeight="1" x14ac:dyDescent="0.25">
      <c r="A323" s="167"/>
      <c r="B323" s="167"/>
      <c r="C323" s="167"/>
      <c r="D323" s="167"/>
      <c r="E323" s="167"/>
      <c r="F323" s="167"/>
      <c r="G323" s="167"/>
      <c r="H323" s="167"/>
      <c r="I323" s="164">
        <f t="shared" ca="1" si="5"/>
        <v>44939</v>
      </c>
      <c r="J323" s="163">
        <v>0.33333333333333331</v>
      </c>
      <c r="K323" s="162" t="s">
        <v>749</v>
      </c>
      <c r="L323" s="166"/>
      <c r="M323" s="166"/>
      <c r="N323" s="164"/>
      <c r="O323" s="166"/>
      <c r="P323" s="165"/>
    </row>
    <row r="324" spans="1:16" ht="15" hidden="1" customHeight="1" x14ac:dyDescent="0.25">
      <c r="A324" s="167"/>
      <c r="B324" s="167"/>
      <c r="C324" s="167"/>
      <c r="D324" s="167"/>
      <c r="E324" s="167"/>
      <c r="F324" s="167"/>
      <c r="G324" s="167"/>
      <c r="H324" s="167"/>
      <c r="I324" s="164">
        <f t="shared" ca="1" si="5"/>
        <v>44939</v>
      </c>
      <c r="J324" s="163">
        <v>0.33333333333333331</v>
      </c>
      <c r="K324" s="162" t="s">
        <v>749</v>
      </c>
      <c r="L324" s="166"/>
      <c r="M324" s="166"/>
      <c r="N324" s="164"/>
      <c r="O324" s="166"/>
      <c r="P324" s="165"/>
    </row>
    <row r="325" spans="1:16" ht="15" hidden="1" customHeight="1" x14ac:dyDescent="0.25">
      <c r="A325" s="167"/>
      <c r="B325" s="167"/>
      <c r="C325" s="167"/>
      <c r="D325" s="167"/>
      <c r="E325" s="167"/>
      <c r="F325" s="167"/>
      <c r="G325" s="167"/>
      <c r="H325" s="167"/>
      <c r="I325" s="164">
        <f t="shared" ca="1" si="5"/>
        <v>44939</v>
      </c>
      <c r="J325" s="163">
        <v>0.33333333333333331</v>
      </c>
      <c r="K325" s="162" t="s">
        <v>749</v>
      </c>
      <c r="L325" s="166"/>
      <c r="M325" s="166"/>
      <c r="N325" s="164"/>
      <c r="O325" s="166"/>
      <c r="P325" s="165"/>
    </row>
    <row r="326" spans="1:16" ht="15" hidden="1" customHeight="1" x14ac:dyDescent="0.25">
      <c r="A326" s="168"/>
      <c r="B326" s="167"/>
      <c r="C326" s="167"/>
      <c r="D326" s="167"/>
      <c r="E326" s="167"/>
      <c r="F326" s="167"/>
      <c r="G326" s="167"/>
      <c r="H326" s="167"/>
      <c r="I326" s="164">
        <f t="shared" ca="1" si="5"/>
        <v>44939</v>
      </c>
      <c r="J326" s="163">
        <v>0.33333333333333331</v>
      </c>
      <c r="K326" s="162" t="s">
        <v>749</v>
      </c>
      <c r="L326" s="166"/>
      <c r="M326" s="166"/>
      <c r="N326" s="164"/>
      <c r="O326" s="166"/>
      <c r="P326" s="165"/>
    </row>
    <row r="327" spans="1:16" ht="15" hidden="1" customHeight="1" x14ac:dyDescent="0.25">
      <c r="A327" s="168"/>
      <c r="B327" s="167"/>
      <c r="C327" s="168"/>
      <c r="D327" s="167"/>
      <c r="E327" s="167"/>
      <c r="F327" s="167"/>
      <c r="G327" s="167"/>
      <c r="H327" s="167"/>
      <c r="I327" s="164">
        <f t="shared" ca="1" si="5"/>
        <v>44939</v>
      </c>
      <c r="J327" s="163">
        <v>0.33333333333333331</v>
      </c>
      <c r="K327" s="162" t="s">
        <v>749</v>
      </c>
      <c r="L327" s="166"/>
      <c r="M327" s="166"/>
      <c r="N327" s="164"/>
      <c r="O327" s="166"/>
      <c r="P327" s="165"/>
    </row>
    <row r="328" spans="1:16" ht="15" hidden="1" customHeight="1" x14ac:dyDescent="0.25">
      <c r="A328" s="168"/>
      <c r="B328" s="167"/>
      <c r="C328" s="168"/>
      <c r="D328" s="167"/>
      <c r="E328" s="167"/>
      <c r="F328" s="167"/>
      <c r="G328" s="167"/>
      <c r="H328" s="167"/>
      <c r="I328" s="164">
        <f t="shared" ca="1" si="5"/>
        <v>44939</v>
      </c>
      <c r="J328" s="163">
        <v>0.33333333333333331</v>
      </c>
      <c r="K328" s="162" t="s">
        <v>749</v>
      </c>
      <c r="L328" s="166"/>
      <c r="M328" s="166"/>
      <c r="N328" s="164"/>
      <c r="O328" s="166"/>
      <c r="P328" s="165"/>
    </row>
    <row r="329" spans="1:16" ht="15" hidden="1" customHeight="1" x14ac:dyDescent="0.25">
      <c r="A329" s="168"/>
      <c r="B329" s="167"/>
      <c r="C329" s="168"/>
      <c r="D329" s="167"/>
      <c r="E329" s="167"/>
      <c r="F329" s="167"/>
      <c r="G329" s="167"/>
      <c r="H329" s="167"/>
      <c r="I329" s="164">
        <f t="shared" ca="1" si="5"/>
        <v>44939</v>
      </c>
      <c r="J329" s="163">
        <v>0.33333333333333331</v>
      </c>
      <c r="K329" s="162" t="s">
        <v>749</v>
      </c>
      <c r="L329" s="166"/>
      <c r="M329" s="166"/>
      <c r="N329" s="164"/>
      <c r="O329" s="166"/>
      <c r="P329" s="165"/>
    </row>
    <row r="330" spans="1:16" ht="15" hidden="1" customHeight="1" x14ac:dyDescent="0.25">
      <c r="A330" s="167"/>
      <c r="B330" s="167"/>
      <c r="C330" s="167"/>
      <c r="D330" s="167"/>
      <c r="E330" s="167"/>
      <c r="F330" s="167"/>
      <c r="G330" s="167"/>
      <c r="H330" s="167"/>
      <c r="I330" s="164">
        <f t="shared" ca="1" si="5"/>
        <v>44939</v>
      </c>
      <c r="J330" s="163">
        <v>0.33333333333333331</v>
      </c>
      <c r="K330" s="162" t="s">
        <v>749</v>
      </c>
      <c r="L330" s="166"/>
      <c r="M330" s="166"/>
      <c r="N330" s="164"/>
      <c r="O330" s="166"/>
      <c r="P330" s="165"/>
    </row>
    <row r="331" spans="1:16" ht="15" hidden="1" customHeight="1" x14ac:dyDescent="0.25">
      <c r="A331" s="167"/>
      <c r="B331" s="167"/>
      <c r="C331" s="167"/>
      <c r="D331" s="167"/>
      <c r="E331" s="167"/>
      <c r="F331" s="167"/>
      <c r="G331" s="167"/>
      <c r="H331" s="167"/>
      <c r="I331" s="164">
        <f t="shared" ca="1" si="5"/>
        <v>44939</v>
      </c>
      <c r="J331" s="163">
        <v>0.33333333333333331</v>
      </c>
      <c r="K331" s="162" t="s">
        <v>749</v>
      </c>
      <c r="L331" s="166"/>
      <c r="M331" s="166"/>
      <c r="N331" s="164"/>
      <c r="O331" s="166"/>
      <c r="P331" s="165"/>
    </row>
    <row r="332" spans="1:16" ht="15" hidden="1" customHeight="1" x14ac:dyDescent="0.25">
      <c r="A332" s="167"/>
      <c r="B332" s="167"/>
      <c r="C332" s="167"/>
      <c r="D332" s="167"/>
      <c r="E332" s="167"/>
      <c r="F332" s="167"/>
      <c r="G332" s="167"/>
      <c r="H332" s="167"/>
      <c r="I332" s="164">
        <f t="shared" ca="1" si="5"/>
        <v>44939</v>
      </c>
      <c r="J332" s="163">
        <v>0.33333333333333331</v>
      </c>
      <c r="K332" s="162" t="s">
        <v>749</v>
      </c>
      <c r="L332" s="166"/>
      <c r="M332" s="166"/>
      <c r="N332" s="164"/>
      <c r="O332" s="166"/>
      <c r="P332" s="165"/>
    </row>
    <row r="333" spans="1:16" ht="15" hidden="1" customHeight="1" x14ac:dyDescent="0.25">
      <c r="A333" s="167"/>
      <c r="B333" s="167"/>
      <c r="C333" s="167"/>
      <c r="D333" s="167"/>
      <c r="E333" s="167"/>
      <c r="F333" s="167"/>
      <c r="G333" s="167"/>
      <c r="H333" s="167"/>
      <c r="I333" s="164">
        <f t="shared" ca="1" si="5"/>
        <v>44939</v>
      </c>
      <c r="J333" s="163">
        <v>0.33333333333333331</v>
      </c>
      <c r="K333" s="162" t="s">
        <v>749</v>
      </c>
      <c r="L333" s="166"/>
      <c r="M333" s="166"/>
      <c r="N333" s="164"/>
      <c r="O333" s="166"/>
      <c r="P333" s="165"/>
    </row>
    <row r="334" spans="1:16" ht="15" hidden="1" customHeight="1" x14ac:dyDescent="0.25">
      <c r="A334" s="167"/>
      <c r="B334" s="167"/>
      <c r="C334" s="167"/>
      <c r="D334" s="167"/>
      <c r="E334" s="167"/>
      <c r="F334" s="167"/>
      <c r="G334" s="167"/>
      <c r="H334" s="167"/>
      <c r="I334" s="164">
        <f t="shared" ca="1" si="5"/>
        <v>44939</v>
      </c>
      <c r="J334" s="163">
        <v>0.33333333333333331</v>
      </c>
      <c r="K334" s="162" t="s">
        <v>749</v>
      </c>
      <c r="L334" s="166"/>
      <c r="M334" s="166"/>
      <c r="N334" s="164"/>
      <c r="O334" s="166"/>
      <c r="P334" s="165"/>
    </row>
    <row r="335" spans="1:16" ht="15" hidden="1" customHeight="1" x14ac:dyDescent="0.25">
      <c r="A335" s="167"/>
      <c r="B335" s="167"/>
      <c r="C335" s="167"/>
      <c r="D335" s="167"/>
      <c r="E335" s="167"/>
      <c r="F335" s="167"/>
      <c r="G335" s="167"/>
      <c r="H335" s="167"/>
      <c r="I335" s="164">
        <f t="shared" ca="1" si="5"/>
        <v>44939</v>
      </c>
      <c r="J335" s="163">
        <v>0.33333333333333331</v>
      </c>
      <c r="K335" s="162" t="s">
        <v>749</v>
      </c>
      <c r="L335" s="166"/>
      <c r="M335" s="166"/>
      <c r="N335" s="164"/>
      <c r="O335" s="166"/>
      <c r="P335" s="165"/>
    </row>
    <row r="336" spans="1:16" ht="15" hidden="1" customHeight="1" x14ac:dyDescent="0.25">
      <c r="A336" s="167"/>
      <c r="B336" s="167"/>
      <c r="C336" s="167"/>
      <c r="D336" s="167"/>
      <c r="E336" s="167"/>
      <c r="F336" s="167"/>
      <c r="G336" s="167"/>
      <c r="H336" s="167"/>
      <c r="I336" s="164">
        <f t="shared" ca="1" si="5"/>
        <v>44939</v>
      </c>
      <c r="J336" s="163">
        <v>0.33333333333333331</v>
      </c>
      <c r="K336" s="162" t="s">
        <v>749</v>
      </c>
      <c r="L336" s="166"/>
      <c r="M336" s="166"/>
      <c r="N336" s="164"/>
      <c r="O336" s="166"/>
      <c r="P336" s="165"/>
    </row>
    <row r="337" spans="1:16" ht="15" hidden="1" customHeight="1" x14ac:dyDescent="0.25">
      <c r="A337" s="167"/>
      <c r="B337" s="167"/>
      <c r="C337" s="167"/>
      <c r="D337" s="167"/>
      <c r="E337" s="167"/>
      <c r="F337" s="167"/>
      <c r="G337" s="167"/>
      <c r="H337" s="167"/>
      <c r="I337" s="164">
        <f t="shared" ca="1" si="5"/>
        <v>44939</v>
      </c>
      <c r="J337" s="163">
        <v>0.33333333333333331</v>
      </c>
      <c r="K337" s="162" t="s">
        <v>749</v>
      </c>
      <c r="L337" s="166"/>
      <c r="M337" s="166"/>
      <c r="N337" s="164"/>
      <c r="O337" s="166"/>
      <c r="P337" s="165"/>
    </row>
    <row r="338" spans="1:16" ht="15" hidden="1" customHeight="1" x14ac:dyDescent="0.25">
      <c r="A338" s="167"/>
      <c r="B338" s="167"/>
      <c r="C338" s="167"/>
      <c r="D338" s="167"/>
      <c r="E338" s="167"/>
      <c r="F338" s="167"/>
      <c r="G338" s="167"/>
      <c r="H338" s="167"/>
      <c r="I338" s="164">
        <f t="shared" ca="1" si="5"/>
        <v>44939</v>
      </c>
      <c r="J338" s="163">
        <v>0.33333333333333331</v>
      </c>
      <c r="K338" s="162" t="s">
        <v>749</v>
      </c>
      <c r="L338" s="166"/>
      <c r="M338" s="166"/>
      <c r="N338" s="164"/>
      <c r="O338" s="166"/>
      <c r="P338" s="165"/>
    </row>
    <row r="339" spans="1:16" ht="15" hidden="1" customHeight="1" x14ac:dyDescent="0.25">
      <c r="A339" s="167"/>
      <c r="B339" s="167"/>
      <c r="C339" s="167"/>
      <c r="D339" s="167"/>
      <c r="E339" s="167"/>
      <c r="F339" s="167"/>
      <c r="G339" s="167"/>
      <c r="H339" s="167"/>
      <c r="I339" s="164">
        <f t="shared" ca="1" si="5"/>
        <v>44939</v>
      </c>
      <c r="J339" s="163">
        <v>0.33333333333333331</v>
      </c>
      <c r="K339" s="162" t="s">
        <v>749</v>
      </c>
      <c r="L339" s="166"/>
      <c r="M339" s="166"/>
      <c r="N339" s="164"/>
      <c r="O339" s="166"/>
      <c r="P339" s="165"/>
    </row>
    <row r="340" spans="1:16" ht="15" hidden="1" customHeight="1" x14ac:dyDescent="0.25">
      <c r="A340" s="168"/>
      <c r="B340" s="167"/>
      <c r="C340" s="167"/>
      <c r="D340" s="167"/>
      <c r="E340" s="167"/>
      <c r="F340" s="167"/>
      <c r="G340" s="167"/>
      <c r="H340" s="167"/>
      <c r="I340" s="164">
        <f t="shared" ca="1" si="5"/>
        <v>44939</v>
      </c>
      <c r="J340" s="163">
        <v>0.33333333333333331</v>
      </c>
      <c r="K340" s="162" t="s">
        <v>749</v>
      </c>
      <c r="L340" s="166"/>
      <c r="M340" s="166"/>
      <c r="N340" s="164"/>
      <c r="O340" s="166"/>
      <c r="P340" s="165"/>
    </row>
    <row r="341" spans="1:16" ht="15" hidden="1" customHeight="1" x14ac:dyDescent="0.25">
      <c r="A341" s="168"/>
      <c r="B341" s="167"/>
      <c r="C341" s="167"/>
      <c r="D341" s="167"/>
      <c r="E341" s="167"/>
      <c r="F341" s="167"/>
      <c r="G341" s="167"/>
      <c r="H341" s="167"/>
      <c r="I341" s="164">
        <f t="shared" ca="1" si="5"/>
        <v>44939</v>
      </c>
      <c r="J341" s="163">
        <v>0.33333333333333331</v>
      </c>
      <c r="K341" s="162" t="s">
        <v>749</v>
      </c>
      <c r="L341" s="166"/>
      <c r="M341" s="166"/>
      <c r="N341" s="164"/>
      <c r="O341" s="166"/>
      <c r="P341" s="165"/>
    </row>
    <row r="342" spans="1:16" ht="15" hidden="1" customHeight="1" x14ac:dyDescent="0.25">
      <c r="A342" s="168"/>
      <c r="B342" s="167"/>
      <c r="C342" s="167"/>
      <c r="D342" s="167"/>
      <c r="E342" s="167"/>
      <c r="F342" s="167"/>
      <c r="G342" s="167"/>
      <c r="H342" s="167"/>
      <c r="I342" s="164">
        <f t="shared" ca="1" si="5"/>
        <v>44939</v>
      </c>
      <c r="J342" s="163">
        <v>0.33333333333333331</v>
      </c>
      <c r="K342" s="162" t="s">
        <v>749</v>
      </c>
      <c r="L342" s="166"/>
      <c r="M342" s="166"/>
      <c r="N342" s="164"/>
      <c r="O342" s="166"/>
      <c r="P342" s="165"/>
    </row>
    <row r="343" spans="1:16" ht="15" hidden="1" customHeight="1" x14ac:dyDescent="0.25">
      <c r="A343" s="168"/>
      <c r="B343" s="167"/>
      <c r="C343" s="167"/>
      <c r="D343" s="167"/>
      <c r="E343" s="167"/>
      <c r="F343" s="167"/>
      <c r="G343" s="167"/>
      <c r="H343" s="167"/>
      <c r="I343" s="164">
        <f t="shared" ca="1" si="5"/>
        <v>44939</v>
      </c>
      <c r="J343" s="163">
        <v>0.33333333333333331</v>
      </c>
      <c r="K343" s="162" t="s">
        <v>749</v>
      </c>
      <c r="L343" s="166"/>
      <c r="M343" s="166"/>
      <c r="N343" s="164"/>
      <c r="O343" s="166"/>
      <c r="P343" s="165"/>
    </row>
    <row r="344" spans="1:16" ht="15" hidden="1" customHeight="1" x14ac:dyDescent="0.25">
      <c r="A344" s="168"/>
      <c r="B344" s="167"/>
      <c r="C344" s="167"/>
      <c r="D344" s="167"/>
      <c r="E344" s="167"/>
      <c r="F344" s="167"/>
      <c r="G344" s="167"/>
      <c r="H344" s="167"/>
      <c r="I344" s="164">
        <f t="shared" ref="I344:I407" ca="1" si="6">TODAY()</f>
        <v>44939</v>
      </c>
      <c r="J344" s="163">
        <v>0.33333333333333331</v>
      </c>
      <c r="K344" s="162" t="s">
        <v>749</v>
      </c>
      <c r="L344" s="166"/>
      <c r="M344" s="166"/>
      <c r="N344" s="164"/>
      <c r="O344" s="166"/>
      <c r="P344" s="165"/>
    </row>
    <row r="345" spans="1:16" ht="15" hidden="1" customHeight="1" x14ac:dyDescent="0.25">
      <c r="A345" s="168"/>
      <c r="B345" s="167"/>
      <c r="C345" s="167"/>
      <c r="D345" s="167"/>
      <c r="E345" s="167"/>
      <c r="F345" s="167"/>
      <c r="G345" s="167"/>
      <c r="H345" s="167"/>
      <c r="I345" s="164">
        <f t="shared" ca="1" si="6"/>
        <v>44939</v>
      </c>
      <c r="J345" s="163">
        <v>0.33333333333333331</v>
      </c>
      <c r="K345" s="162" t="s">
        <v>749</v>
      </c>
      <c r="L345" s="166"/>
      <c r="M345" s="166"/>
      <c r="N345" s="164"/>
      <c r="O345" s="166"/>
      <c r="P345" s="165"/>
    </row>
    <row r="346" spans="1:16" ht="15" hidden="1" customHeight="1" x14ac:dyDescent="0.25">
      <c r="A346" s="168"/>
      <c r="B346" s="167"/>
      <c r="C346" s="167"/>
      <c r="D346" s="167"/>
      <c r="E346" s="167"/>
      <c r="F346" s="167"/>
      <c r="G346" s="167"/>
      <c r="H346" s="167"/>
      <c r="I346" s="164">
        <f t="shared" ca="1" si="6"/>
        <v>44939</v>
      </c>
      <c r="J346" s="163">
        <v>0.33333333333333331</v>
      </c>
      <c r="K346" s="162" t="s">
        <v>749</v>
      </c>
      <c r="L346" s="166"/>
      <c r="M346" s="166"/>
      <c r="N346" s="164"/>
      <c r="O346" s="166"/>
      <c r="P346" s="165"/>
    </row>
    <row r="347" spans="1:16" ht="15" hidden="1" customHeight="1" x14ac:dyDescent="0.25">
      <c r="A347" s="168"/>
      <c r="B347" s="167"/>
      <c r="C347" s="167"/>
      <c r="D347" s="167"/>
      <c r="E347" s="167"/>
      <c r="F347" s="167"/>
      <c r="G347" s="167"/>
      <c r="H347" s="167"/>
      <c r="I347" s="164">
        <f t="shared" ca="1" si="6"/>
        <v>44939</v>
      </c>
      <c r="J347" s="163">
        <v>0.33333333333333331</v>
      </c>
      <c r="K347" s="162" t="s">
        <v>749</v>
      </c>
      <c r="L347" s="166"/>
      <c r="M347" s="166"/>
      <c r="N347" s="164"/>
      <c r="O347" s="166"/>
      <c r="P347" s="165"/>
    </row>
    <row r="348" spans="1:16" ht="15" hidden="1" customHeight="1" x14ac:dyDescent="0.25">
      <c r="A348" s="167"/>
      <c r="B348" s="167"/>
      <c r="C348" s="167"/>
      <c r="D348" s="167"/>
      <c r="E348" s="167"/>
      <c r="F348" s="167"/>
      <c r="G348" s="167"/>
      <c r="H348" s="167"/>
      <c r="I348" s="164">
        <f t="shared" ca="1" si="6"/>
        <v>44939</v>
      </c>
      <c r="J348" s="163">
        <v>0.33333333333333331</v>
      </c>
      <c r="K348" s="162" t="s">
        <v>749</v>
      </c>
      <c r="L348" s="166"/>
      <c r="M348" s="166"/>
      <c r="N348" s="164"/>
      <c r="O348" s="166"/>
      <c r="P348" s="165"/>
    </row>
    <row r="349" spans="1:16" ht="15" hidden="1" customHeight="1" x14ac:dyDescent="0.25">
      <c r="A349" s="167"/>
      <c r="B349" s="167"/>
      <c r="C349" s="167"/>
      <c r="D349" s="167"/>
      <c r="E349" s="167"/>
      <c r="F349" s="167"/>
      <c r="G349" s="167"/>
      <c r="H349" s="167"/>
      <c r="I349" s="164">
        <f t="shared" ca="1" si="6"/>
        <v>44939</v>
      </c>
      <c r="J349" s="163">
        <v>0.33333333333333331</v>
      </c>
      <c r="K349" s="162" t="s">
        <v>749</v>
      </c>
      <c r="L349" s="166"/>
      <c r="M349" s="166"/>
      <c r="N349" s="164"/>
      <c r="O349" s="166"/>
      <c r="P349" s="165"/>
    </row>
    <row r="350" spans="1:16" ht="15" hidden="1" customHeight="1" x14ac:dyDescent="0.25">
      <c r="A350" s="167"/>
      <c r="B350" s="167"/>
      <c r="C350" s="167"/>
      <c r="D350" s="167"/>
      <c r="E350" s="167"/>
      <c r="F350" s="167"/>
      <c r="G350" s="167"/>
      <c r="H350" s="167"/>
      <c r="I350" s="164">
        <f t="shared" ca="1" si="6"/>
        <v>44939</v>
      </c>
      <c r="J350" s="163">
        <v>0.33333333333333331</v>
      </c>
      <c r="K350" s="162" t="s">
        <v>749</v>
      </c>
      <c r="L350" s="166"/>
      <c r="M350" s="166"/>
      <c r="N350" s="164"/>
      <c r="O350" s="166"/>
      <c r="P350" s="165"/>
    </row>
    <row r="351" spans="1:16" ht="15" hidden="1" customHeight="1" x14ac:dyDescent="0.25">
      <c r="A351" s="167"/>
      <c r="B351" s="167"/>
      <c r="C351" s="167"/>
      <c r="D351" s="167"/>
      <c r="E351" s="167"/>
      <c r="F351" s="167"/>
      <c r="G351" s="167"/>
      <c r="H351" s="167"/>
      <c r="I351" s="164">
        <f t="shared" ca="1" si="6"/>
        <v>44939</v>
      </c>
      <c r="J351" s="163">
        <v>0.33333333333333331</v>
      </c>
      <c r="K351" s="162" t="s">
        <v>749</v>
      </c>
      <c r="L351" s="166"/>
      <c r="M351" s="166"/>
      <c r="N351" s="164"/>
      <c r="O351" s="166"/>
      <c r="P351" s="165"/>
    </row>
    <row r="352" spans="1:16" ht="15" hidden="1" customHeight="1" x14ac:dyDescent="0.25">
      <c r="A352" s="167"/>
      <c r="B352" s="167"/>
      <c r="C352" s="167"/>
      <c r="D352" s="167"/>
      <c r="E352" s="167"/>
      <c r="F352" s="167"/>
      <c r="G352" s="167"/>
      <c r="H352" s="167"/>
      <c r="I352" s="164">
        <f t="shared" ca="1" si="6"/>
        <v>44939</v>
      </c>
      <c r="J352" s="163">
        <v>0.33333333333333331</v>
      </c>
      <c r="K352" s="162" t="s">
        <v>749</v>
      </c>
      <c r="L352" s="166"/>
      <c r="M352" s="166"/>
      <c r="N352" s="164"/>
      <c r="O352" s="166"/>
      <c r="P352" s="165"/>
    </row>
    <row r="353" spans="1:16" ht="15" hidden="1" customHeight="1" x14ac:dyDescent="0.25">
      <c r="A353" s="167"/>
      <c r="B353" s="167"/>
      <c r="C353" s="167"/>
      <c r="D353" s="167"/>
      <c r="E353" s="167"/>
      <c r="F353" s="167"/>
      <c r="G353" s="167"/>
      <c r="H353" s="167"/>
      <c r="I353" s="164">
        <f t="shared" ca="1" si="6"/>
        <v>44939</v>
      </c>
      <c r="J353" s="163">
        <v>0.33333333333333331</v>
      </c>
      <c r="K353" s="162" t="s">
        <v>749</v>
      </c>
      <c r="L353" s="166"/>
      <c r="M353" s="166"/>
      <c r="N353" s="164"/>
      <c r="O353" s="166"/>
      <c r="P353" s="165"/>
    </row>
    <row r="354" spans="1:16" ht="15" hidden="1" customHeight="1" x14ac:dyDescent="0.25">
      <c r="A354" s="167"/>
      <c r="B354" s="167"/>
      <c r="C354" s="167"/>
      <c r="D354" s="167"/>
      <c r="E354" s="167"/>
      <c r="F354" s="167"/>
      <c r="G354" s="167"/>
      <c r="H354" s="167"/>
      <c r="I354" s="164">
        <f t="shared" ca="1" si="6"/>
        <v>44939</v>
      </c>
      <c r="J354" s="163">
        <v>0.33333333333333331</v>
      </c>
      <c r="K354" s="162" t="s">
        <v>749</v>
      </c>
      <c r="L354" s="166"/>
      <c r="M354" s="166"/>
      <c r="N354" s="164"/>
      <c r="O354" s="166"/>
      <c r="P354" s="165"/>
    </row>
    <row r="355" spans="1:16" ht="15" hidden="1" customHeight="1" x14ac:dyDescent="0.25">
      <c r="A355" s="167"/>
      <c r="B355" s="167"/>
      <c r="C355" s="167"/>
      <c r="D355" s="167"/>
      <c r="E355" s="167"/>
      <c r="F355" s="167"/>
      <c r="G355" s="167"/>
      <c r="H355" s="167"/>
      <c r="I355" s="164">
        <f t="shared" ca="1" si="6"/>
        <v>44939</v>
      </c>
      <c r="J355" s="163">
        <v>0.33333333333333331</v>
      </c>
      <c r="K355" s="162" t="s">
        <v>749</v>
      </c>
      <c r="L355" s="166"/>
      <c r="M355" s="166"/>
      <c r="N355" s="164"/>
      <c r="O355" s="166"/>
      <c r="P355" s="165"/>
    </row>
    <row r="356" spans="1:16" ht="15" hidden="1" customHeight="1" x14ac:dyDescent="0.25">
      <c r="A356" s="167"/>
      <c r="B356" s="167"/>
      <c r="C356" s="167"/>
      <c r="D356" s="167"/>
      <c r="E356" s="167"/>
      <c r="F356" s="167"/>
      <c r="G356" s="167"/>
      <c r="H356" s="167"/>
      <c r="I356" s="164">
        <f t="shared" ca="1" si="6"/>
        <v>44939</v>
      </c>
      <c r="J356" s="163">
        <v>0.33333333333333331</v>
      </c>
      <c r="K356" s="162" t="s">
        <v>749</v>
      </c>
      <c r="L356" s="166"/>
      <c r="M356" s="166"/>
      <c r="N356" s="164"/>
      <c r="O356" s="166"/>
      <c r="P356" s="165"/>
    </row>
    <row r="357" spans="1:16" ht="15" hidden="1" customHeight="1" x14ac:dyDescent="0.25">
      <c r="A357" s="167"/>
      <c r="B357" s="167"/>
      <c r="C357" s="167"/>
      <c r="D357" s="167"/>
      <c r="E357" s="167"/>
      <c r="F357" s="167"/>
      <c r="G357" s="167"/>
      <c r="H357" s="167"/>
      <c r="I357" s="164">
        <f t="shared" ca="1" si="6"/>
        <v>44939</v>
      </c>
      <c r="J357" s="163">
        <v>0.33333333333333331</v>
      </c>
      <c r="K357" s="162" t="s">
        <v>749</v>
      </c>
      <c r="L357" s="166"/>
      <c r="M357" s="166"/>
      <c r="N357" s="164"/>
      <c r="O357" s="166"/>
      <c r="P357" s="165"/>
    </row>
    <row r="358" spans="1:16" ht="15" hidden="1" customHeight="1" x14ac:dyDescent="0.25">
      <c r="A358" s="167"/>
      <c r="B358" s="167"/>
      <c r="C358" s="167"/>
      <c r="D358" s="167"/>
      <c r="E358" s="167"/>
      <c r="F358" s="167"/>
      <c r="G358" s="167"/>
      <c r="H358" s="167"/>
      <c r="I358" s="164">
        <f t="shared" ca="1" si="6"/>
        <v>44939</v>
      </c>
      <c r="J358" s="163">
        <v>0.33333333333333331</v>
      </c>
      <c r="K358" s="162" t="s">
        <v>749</v>
      </c>
      <c r="L358" s="166"/>
      <c r="M358" s="166"/>
      <c r="N358" s="164"/>
      <c r="O358" s="166"/>
      <c r="P358" s="165"/>
    </row>
    <row r="359" spans="1:16" ht="15" hidden="1" customHeight="1" x14ac:dyDescent="0.25">
      <c r="A359" s="167"/>
      <c r="B359" s="167"/>
      <c r="C359" s="167"/>
      <c r="D359" s="167"/>
      <c r="E359" s="167"/>
      <c r="F359" s="167"/>
      <c r="G359" s="167"/>
      <c r="H359" s="167"/>
      <c r="I359" s="164">
        <f t="shared" ca="1" si="6"/>
        <v>44939</v>
      </c>
      <c r="J359" s="163">
        <v>0.33333333333333331</v>
      </c>
      <c r="K359" s="162" t="s">
        <v>749</v>
      </c>
      <c r="L359" s="166"/>
      <c r="M359" s="166"/>
      <c r="N359" s="164"/>
      <c r="O359" s="166"/>
      <c r="P359" s="165"/>
    </row>
    <row r="360" spans="1:16" ht="15" hidden="1" customHeight="1" x14ac:dyDescent="0.25">
      <c r="A360" s="167"/>
      <c r="B360" s="167"/>
      <c r="C360" s="167"/>
      <c r="D360" s="167"/>
      <c r="E360" s="167"/>
      <c r="F360" s="167"/>
      <c r="G360" s="167"/>
      <c r="H360" s="167"/>
      <c r="I360" s="164">
        <f t="shared" ca="1" si="6"/>
        <v>44939</v>
      </c>
      <c r="J360" s="163">
        <v>0.33333333333333331</v>
      </c>
      <c r="K360" s="162" t="s">
        <v>749</v>
      </c>
      <c r="L360" s="166"/>
      <c r="M360" s="166"/>
      <c r="N360" s="164"/>
      <c r="O360" s="166"/>
      <c r="P360" s="165"/>
    </row>
    <row r="361" spans="1:16" ht="15" hidden="1" customHeight="1" x14ac:dyDescent="0.25">
      <c r="A361" s="167"/>
      <c r="B361" s="167"/>
      <c r="C361" s="167"/>
      <c r="D361" s="167"/>
      <c r="E361" s="167"/>
      <c r="F361" s="167"/>
      <c r="G361" s="167"/>
      <c r="H361" s="167"/>
      <c r="I361" s="164">
        <f t="shared" ca="1" si="6"/>
        <v>44939</v>
      </c>
      <c r="J361" s="163">
        <v>0.33333333333333331</v>
      </c>
      <c r="K361" s="162" t="s">
        <v>749</v>
      </c>
      <c r="L361" s="166"/>
      <c r="M361" s="166"/>
      <c r="N361" s="164"/>
      <c r="O361" s="166"/>
      <c r="P361" s="165"/>
    </row>
    <row r="362" spans="1:16" ht="15" hidden="1" customHeight="1" x14ac:dyDescent="0.25">
      <c r="A362" s="167"/>
      <c r="B362" s="167"/>
      <c r="C362" s="167"/>
      <c r="D362" s="167"/>
      <c r="E362" s="167"/>
      <c r="F362" s="167"/>
      <c r="G362" s="167"/>
      <c r="H362" s="167"/>
      <c r="I362" s="164">
        <f t="shared" ca="1" si="6"/>
        <v>44939</v>
      </c>
      <c r="J362" s="163">
        <v>0.33333333333333331</v>
      </c>
      <c r="K362" s="162" t="s">
        <v>749</v>
      </c>
      <c r="L362" s="166"/>
      <c r="M362" s="166"/>
      <c r="N362" s="164"/>
      <c r="O362" s="166"/>
      <c r="P362" s="165"/>
    </row>
    <row r="363" spans="1:16" ht="15" hidden="1" customHeight="1" x14ac:dyDescent="0.25">
      <c r="A363" s="167"/>
      <c r="B363" s="167"/>
      <c r="C363" s="167"/>
      <c r="D363" s="167"/>
      <c r="E363" s="167"/>
      <c r="F363" s="167"/>
      <c r="G363" s="167"/>
      <c r="H363" s="167"/>
      <c r="I363" s="164">
        <f t="shared" ca="1" si="6"/>
        <v>44939</v>
      </c>
      <c r="J363" s="163">
        <v>0.33333333333333331</v>
      </c>
      <c r="K363" s="162" t="s">
        <v>749</v>
      </c>
      <c r="L363" s="166"/>
      <c r="M363" s="166"/>
      <c r="N363" s="164"/>
      <c r="O363" s="166"/>
      <c r="P363" s="165"/>
    </row>
    <row r="364" spans="1:16" ht="15" hidden="1" customHeight="1" x14ac:dyDescent="0.25">
      <c r="A364" s="167"/>
      <c r="B364" s="167"/>
      <c r="C364" s="167"/>
      <c r="D364" s="167"/>
      <c r="E364" s="167"/>
      <c r="F364" s="167"/>
      <c r="G364" s="167"/>
      <c r="H364" s="167"/>
      <c r="I364" s="164">
        <f t="shared" ca="1" si="6"/>
        <v>44939</v>
      </c>
      <c r="J364" s="163">
        <v>0.33333333333333331</v>
      </c>
      <c r="K364" s="162" t="s">
        <v>749</v>
      </c>
      <c r="L364" s="166"/>
      <c r="M364" s="166"/>
      <c r="N364" s="164"/>
      <c r="O364" s="166"/>
      <c r="P364" s="165"/>
    </row>
    <row r="365" spans="1:16" ht="15" hidden="1" customHeight="1" x14ac:dyDescent="0.25">
      <c r="A365" s="168"/>
      <c r="B365" s="167"/>
      <c r="C365" s="167"/>
      <c r="D365" s="167"/>
      <c r="E365" s="167"/>
      <c r="F365" s="167"/>
      <c r="G365" s="167"/>
      <c r="H365" s="167"/>
      <c r="I365" s="164">
        <f t="shared" ca="1" si="6"/>
        <v>44939</v>
      </c>
      <c r="J365" s="163">
        <v>0.33333333333333331</v>
      </c>
      <c r="K365" s="162" t="s">
        <v>749</v>
      </c>
      <c r="L365" s="166"/>
      <c r="M365" s="166"/>
      <c r="N365" s="164"/>
      <c r="O365" s="166"/>
      <c r="P365" s="165"/>
    </row>
    <row r="366" spans="1:16" ht="15" hidden="1" customHeight="1" x14ac:dyDescent="0.25">
      <c r="A366" s="167"/>
      <c r="B366" s="167"/>
      <c r="C366" s="167"/>
      <c r="D366" s="167"/>
      <c r="E366" s="167"/>
      <c r="F366" s="167"/>
      <c r="G366" s="167"/>
      <c r="H366" s="167"/>
      <c r="I366" s="164">
        <f t="shared" ca="1" si="6"/>
        <v>44939</v>
      </c>
      <c r="J366" s="163">
        <v>0.33333333333333331</v>
      </c>
      <c r="K366" s="162" t="s">
        <v>749</v>
      </c>
      <c r="L366" s="166"/>
      <c r="M366" s="166"/>
      <c r="N366" s="164"/>
      <c r="O366" s="166"/>
      <c r="P366" s="165"/>
    </row>
    <row r="367" spans="1:16" ht="15" hidden="1" customHeight="1" x14ac:dyDescent="0.25">
      <c r="A367" s="167"/>
      <c r="B367" s="167"/>
      <c r="C367" s="167"/>
      <c r="D367" s="167"/>
      <c r="E367" s="167"/>
      <c r="F367" s="167"/>
      <c r="G367" s="167"/>
      <c r="H367" s="167"/>
      <c r="I367" s="164">
        <f t="shared" ca="1" si="6"/>
        <v>44939</v>
      </c>
      <c r="J367" s="163">
        <v>0.33333333333333331</v>
      </c>
      <c r="K367" s="162" t="s">
        <v>749</v>
      </c>
      <c r="L367" s="166"/>
      <c r="M367" s="166"/>
      <c r="N367" s="164"/>
      <c r="O367" s="166"/>
      <c r="P367" s="165"/>
    </row>
    <row r="368" spans="1:16" ht="15" hidden="1" customHeight="1" x14ac:dyDescent="0.25">
      <c r="A368" s="167"/>
      <c r="B368" s="167"/>
      <c r="C368" s="167"/>
      <c r="D368" s="167"/>
      <c r="E368" s="167"/>
      <c r="F368" s="167"/>
      <c r="G368" s="167"/>
      <c r="H368" s="167"/>
      <c r="I368" s="164">
        <f t="shared" ca="1" si="6"/>
        <v>44939</v>
      </c>
      <c r="J368" s="163">
        <v>0.33333333333333331</v>
      </c>
      <c r="K368" s="162" t="s">
        <v>749</v>
      </c>
      <c r="L368" s="166"/>
      <c r="M368" s="166"/>
      <c r="N368" s="164"/>
      <c r="O368" s="166"/>
      <c r="P368" s="165"/>
    </row>
    <row r="369" spans="1:16" ht="15" hidden="1" customHeight="1" x14ac:dyDescent="0.25">
      <c r="A369" s="167"/>
      <c r="B369" s="167"/>
      <c r="C369" s="167"/>
      <c r="D369" s="167"/>
      <c r="E369" s="167"/>
      <c r="F369" s="167"/>
      <c r="G369" s="167"/>
      <c r="H369" s="167"/>
      <c r="I369" s="164">
        <f t="shared" ca="1" si="6"/>
        <v>44939</v>
      </c>
      <c r="J369" s="163">
        <v>0.33333333333333331</v>
      </c>
      <c r="K369" s="162" t="s">
        <v>749</v>
      </c>
      <c r="L369" s="166"/>
      <c r="M369" s="166"/>
      <c r="N369" s="164"/>
      <c r="O369" s="166"/>
      <c r="P369" s="165"/>
    </row>
    <row r="370" spans="1:16" ht="15" hidden="1" customHeight="1" x14ac:dyDescent="0.25">
      <c r="A370" s="167"/>
      <c r="B370" s="167"/>
      <c r="C370" s="167"/>
      <c r="D370" s="167"/>
      <c r="E370" s="167"/>
      <c r="F370" s="167"/>
      <c r="G370" s="167"/>
      <c r="H370" s="167"/>
      <c r="I370" s="164">
        <f t="shared" ca="1" si="6"/>
        <v>44939</v>
      </c>
      <c r="J370" s="163">
        <v>0.33333333333333331</v>
      </c>
      <c r="K370" s="162" t="s">
        <v>749</v>
      </c>
      <c r="L370" s="166"/>
      <c r="M370" s="166"/>
      <c r="N370" s="164"/>
      <c r="O370" s="166"/>
      <c r="P370" s="165"/>
    </row>
    <row r="371" spans="1:16" ht="15" hidden="1" customHeight="1" x14ac:dyDescent="0.25">
      <c r="A371" s="167"/>
      <c r="B371" s="167"/>
      <c r="C371" s="167"/>
      <c r="D371" s="167"/>
      <c r="E371" s="167"/>
      <c r="F371" s="167"/>
      <c r="G371" s="167"/>
      <c r="H371" s="167"/>
      <c r="I371" s="164">
        <f t="shared" ca="1" si="6"/>
        <v>44939</v>
      </c>
      <c r="J371" s="163">
        <v>0.33333333333333331</v>
      </c>
      <c r="K371" s="162" t="s">
        <v>749</v>
      </c>
      <c r="L371" s="166"/>
      <c r="M371" s="166"/>
      <c r="N371" s="164"/>
      <c r="O371" s="166"/>
      <c r="P371" s="165"/>
    </row>
    <row r="372" spans="1:16" ht="15" hidden="1" customHeight="1" x14ac:dyDescent="0.25">
      <c r="A372" s="167"/>
      <c r="B372" s="167"/>
      <c r="C372" s="167"/>
      <c r="D372" s="167"/>
      <c r="E372" s="167"/>
      <c r="F372" s="167"/>
      <c r="G372" s="167"/>
      <c r="H372" s="167"/>
      <c r="I372" s="164">
        <f t="shared" ca="1" si="6"/>
        <v>44939</v>
      </c>
      <c r="J372" s="163">
        <v>0.33333333333333331</v>
      </c>
      <c r="K372" s="162" t="s">
        <v>749</v>
      </c>
      <c r="L372" s="166"/>
      <c r="M372" s="166"/>
      <c r="N372" s="164"/>
      <c r="O372" s="166"/>
      <c r="P372" s="165"/>
    </row>
    <row r="373" spans="1:16" ht="15" hidden="1" customHeight="1" x14ac:dyDescent="0.25">
      <c r="A373" s="167"/>
      <c r="B373" s="167"/>
      <c r="C373" s="167"/>
      <c r="D373" s="167"/>
      <c r="E373" s="167"/>
      <c r="F373" s="167"/>
      <c r="G373" s="167"/>
      <c r="H373" s="167"/>
      <c r="I373" s="164">
        <f t="shared" ca="1" si="6"/>
        <v>44939</v>
      </c>
      <c r="J373" s="163">
        <v>0.33333333333333331</v>
      </c>
      <c r="K373" s="162" t="s">
        <v>749</v>
      </c>
      <c r="L373" s="166"/>
      <c r="M373" s="166"/>
      <c r="N373" s="164"/>
      <c r="O373" s="166"/>
      <c r="P373" s="165"/>
    </row>
    <row r="374" spans="1:16" ht="15" hidden="1" customHeight="1" x14ac:dyDescent="0.25">
      <c r="A374" s="167"/>
      <c r="B374" s="167"/>
      <c r="C374" s="167"/>
      <c r="D374" s="167"/>
      <c r="E374" s="167"/>
      <c r="F374" s="167"/>
      <c r="G374" s="167"/>
      <c r="H374" s="167"/>
      <c r="I374" s="164">
        <f t="shared" ca="1" si="6"/>
        <v>44939</v>
      </c>
      <c r="J374" s="163">
        <v>0.33333333333333331</v>
      </c>
      <c r="K374" s="162" t="s">
        <v>749</v>
      </c>
      <c r="L374" s="166"/>
      <c r="M374" s="166"/>
      <c r="N374" s="164"/>
      <c r="O374" s="166"/>
      <c r="P374" s="165"/>
    </row>
    <row r="375" spans="1:16" ht="15" hidden="1" customHeight="1" x14ac:dyDescent="0.25">
      <c r="A375" s="167"/>
      <c r="B375" s="167"/>
      <c r="C375" s="167"/>
      <c r="D375" s="167"/>
      <c r="E375" s="167"/>
      <c r="F375" s="167"/>
      <c r="G375" s="167"/>
      <c r="H375" s="167"/>
      <c r="I375" s="164">
        <f t="shared" ca="1" si="6"/>
        <v>44939</v>
      </c>
      <c r="J375" s="163">
        <v>0.33333333333333331</v>
      </c>
      <c r="K375" s="162" t="s">
        <v>749</v>
      </c>
      <c r="L375" s="166"/>
      <c r="M375" s="166"/>
      <c r="N375" s="164"/>
      <c r="O375" s="166"/>
      <c r="P375" s="165"/>
    </row>
    <row r="376" spans="1:16" ht="15" hidden="1" customHeight="1" x14ac:dyDescent="0.25">
      <c r="A376" s="167"/>
      <c r="B376" s="167"/>
      <c r="C376" s="167"/>
      <c r="D376" s="167"/>
      <c r="E376" s="167"/>
      <c r="F376" s="167"/>
      <c r="G376" s="167"/>
      <c r="H376" s="167"/>
      <c r="I376" s="164">
        <f t="shared" ca="1" si="6"/>
        <v>44939</v>
      </c>
      <c r="J376" s="163">
        <v>0.33333333333333331</v>
      </c>
      <c r="K376" s="162" t="s">
        <v>749</v>
      </c>
      <c r="L376" s="166"/>
      <c r="M376" s="166"/>
      <c r="N376" s="164"/>
      <c r="O376" s="166"/>
      <c r="P376" s="165"/>
    </row>
    <row r="377" spans="1:16" ht="15" hidden="1" customHeight="1" x14ac:dyDescent="0.25">
      <c r="A377" s="167"/>
      <c r="B377" s="167"/>
      <c r="C377" s="167"/>
      <c r="D377" s="167"/>
      <c r="E377" s="167"/>
      <c r="F377" s="167"/>
      <c r="G377" s="167"/>
      <c r="H377" s="167"/>
      <c r="I377" s="164">
        <f t="shared" ca="1" si="6"/>
        <v>44939</v>
      </c>
      <c r="J377" s="163">
        <v>0.33333333333333331</v>
      </c>
      <c r="K377" s="162" t="s">
        <v>749</v>
      </c>
      <c r="L377" s="166"/>
      <c r="M377" s="166"/>
      <c r="N377" s="164"/>
      <c r="O377" s="166"/>
      <c r="P377" s="165"/>
    </row>
    <row r="378" spans="1:16" ht="15" hidden="1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4">
        <f t="shared" ca="1" si="6"/>
        <v>44939</v>
      </c>
      <c r="J378" s="163">
        <v>0.33333333333333331</v>
      </c>
      <c r="K378" s="162" t="s">
        <v>749</v>
      </c>
      <c r="L378" s="166"/>
      <c r="M378" s="166"/>
      <c r="N378" s="164"/>
      <c r="O378" s="166"/>
      <c r="P378" s="165"/>
    </row>
    <row r="379" spans="1:16" ht="15" hidden="1" customHeight="1" x14ac:dyDescent="0.25">
      <c r="A379" s="167"/>
      <c r="B379" s="167"/>
      <c r="C379" s="167"/>
      <c r="D379" s="167"/>
      <c r="E379" s="167"/>
      <c r="F379" s="167"/>
      <c r="G379" s="167"/>
      <c r="H379" s="167"/>
      <c r="I379" s="164">
        <f t="shared" ca="1" si="6"/>
        <v>44939</v>
      </c>
      <c r="J379" s="163">
        <v>0.33333333333333331</v>
      </c>
      <c r="K379" s="162" t="s">
        <v>749</v>
      </c>
      <c r="L379" s="166"/>
      <c r="M379" s="166"/>
      <c r="N379" s="164"/>
      <c r="O379" s="166"/>
      <c r="P379" s="165"/>
    </row>
    <row r="380" spans="1:16" ht="15" hidden="1" customHeight="1" x14ac:dyDescent="0.25">
      <c r="A380" s="168"/>
      <c r="B380" s="167"/>
      <c r="C380" s="167"/>
      <c r="D380" s="167"/>
      <c r="E380" s="167"/>
      <c r="F380" s="167"/>
      <c r="G380" s="167"/>
      <c r="H380" s="167"/>
      <c r="I380" s="164">
        <f t="shared" ca="1" si="6"/>
        <v>44939</v>
      </c>
      <c r="J380" s="163">
        <v>0.33333333333333331</v>
      </c>
      <c r="K380" s="162" t="s">
        <v>749</v>
      </c>
      <c r="L380" s="166"/>
      <c r="M380" s="166"/>
      <c r="N380" s="164"/>
      <c r="O380" s="166"/>
      <c r="P380" s="165"/>
    </row>
    <row r="381" spans="1:16" ht="15" hidden="1" customHeight="1" x14ac:dyDescent="0.25">
      <c r="A381" s="168"/>
      <c r="B381" s="167"/>
      <c r="C381" s="167"/>
      <c r="D381" s="167"/>
      <c r="E381" s="167"/>
      <c r="F381" s="167"/>
      <c r="G381" s="167"/>
      <c r="H381" s="167"/>
      <c r="I381" s="164">
        <f t="shared" ca="1" si="6"/>
        <v>44939</v>
      </c>
      <c r="J381" s="163">
        <v>0.33333333333333331</v>
      </c>
      <c r="K381" s="162" t="s">
        <v>749</v>
      </c>
      <c r="L381" s="166"/>
      <c r="M381" s="166"/>
      <c r="N381" s="164"/>
      <c r="O381" s="166"/>
      <c r="P381" s="165"/>
    </row>
    <row r="382" spans="1:16" ht="15" hidden="1" customHeight="1" x14ac:dyDescent="0.25">
      <c r="A382" s="168"/>
      <c r="B382" s="167"/>
      <c r="C382" s="168"/>
      <c r="D382" s="167"/>
      <c r="E382" s="167"/>
      <c r="F382" s="167"/>
      <c r="G382" s="167"/>
      <c r="H382" s="167"/>
      <c r="I382" s="164">
        <f t="shared" ca="1" si="6"/>
        <v>44939</v>
      </c>
      <c r="J382" s="163">
        <v>0.33333333333333331</v>
      </c>
      <c r="K382" s="162" t="s">
        <v>749</v>
      </c>
      <c r="L382" s="166"/>
      <c r="M382" s="166"/>
      <c r="N382" s="164"/>
      <c r="O382" s="166"/>
      <c r="P382" s="165"/>
    </row>
    <row r="383" spans="1:16" ht="15" hidden="1" customHeight="1" x14ac:dyDescent="0.25">
      <c r="A383" s="167"/>
      <c r="B383" s="167"/>
      <c r="C383" s="167"/>
      <c r="D383" s="167"/>
      <c r="E383" s="167"/>
      <c r="F383" s="167"/>
      <c r="G383" s="167"/>
      <c r="H383" s="167"/>
      <c r="I383" s="164">
        <f t="shared" ca="1" si="6"/>
        <v>44939</v>
      </c>
      <c r="J383" s="163">
        <v>0.33333333333333331</v>
      </c>
      <c r="K383" s="162" t="s">
        <v>749</v>
      </c>
      <c r="L383" s="166"/>
      <c r="M383" s="166"/>
      <c r="N383" s="164"/>
      <c r="O383" s="166"/>
      <c r="P383" s="165"/>
    </row>
    <row r="384" spans="1:16" ht="15" hidden="1" customHeight="1" x14ac:dyDescent="0.25">
      <c r="A384" s="167"/>
      <c r="B384" s="167"/>
      <c r="C384" s="167"/>
      <c r="D384" s="167"/>
      <c r="E384" s="167"/>
      <c r="F384" s="167"/>
      <c r="G384" s="167"/>
      <c r="H384" s="167"/>
      <c r="I384" s="164">
        <f t="shared" ca="1" si="6"/>
        <v>44939</v>
      </c>
      <c r="J384" s="163">
        <v>0.33333333333333331</v>
      </c>
      <c r="K384" s="162" t="s">
        <v>749</v>
      </c>
      <c r="L384" s="166"/>
      <c r="M384" s="166"/>
      <c r="N384" s="164"/>
      <c r="O384" s="166"/>
      <c r="P384" s="165"/>
    </row>
    <row r="385" spans="1:16" ht="15" hidden="1" customHeight="1" x14ac:dyDescent="0.25">
      <c r="A385" s="168"/>
      <c r="B385" s="167"/>
      <c r="C385" s="168"/>
      <c r="D385" s="167"/>
      <c r="E385" s="167"/>
      <c r="F385" s="167"/>
      <c r="G385" s="167"/>
      <c r="H385" s="167"/>
      <c r="I385" s="164">
        <f t="shared" ca="1" si="6"/>
        <v>44939</v>
      </c>
      <c r="J385" s="163">
        <v>0.33333333333333331</v>
      </c>
      <c r="K385" s="162" t="s">
        <v>749</v>
      </c>
      <c r="L385" s="166"/>
      <c r="M385" s="166"/>
      <c r="N385" s="164"/>
      <c r="O385" s="166"/>
      <c r="P385" s="165"/>
    </row>
    <row r="386" spans="1:16" ht="15" hidden="1" customHeight="1" x14ac:dyDescent="0.25">
      <c r="A386" s="167"/>
      <c r="B386" s="167"/>
      <c r="C386" s="167"/>
      <c r="D386" s="167"/>
      <c r="E386" s="167"/>
      <c r="F386" s="167"/>
      <c r="G386" s="167"/>
      <c r="H386" s="167"/>
      <c r="I386" s="164">
        <f t="shared" ca="1" si="6"/>
        <v>44939</v>
      </c>
      <c r="J386" s="163">
        <v>0.33333333333333331</v>
      </c>
      <c r="K386" s="162" t="s">
        <v>749</v>
      </c>
      <c r="L386" s="166"/>
      <c r="M386" s="166"/>
      <c r="N386" s="164"/>
      <c r="O386" s="166"/>
      <c r="P386" s="165"/>
    </row>
    <row r="387" spans="1:16" ht="15" hidden="1" customHeight="1" x14ac:dyDescent="0.25">
      <c r="A387" s="168"/>
      <c r="B387" s="167"/>
      <c r="C387" s="168"/>
      <c r="D387" s="167"/>
      <c r="E387" s="167"/>
      <c r="F387" s="167"/>
      <c r="G387" s="167"/>
      <c r="H387" s="167"/>
      <c r="I387" s="164">
        <f t="shared" ca="1" si="6"/>
        <v>44939</v>
      </c>
      <c r="J387" s="163">
        <v>0.33333333333333331</v>
      </c>
      <c r="K387" s="162" t="s">
        <v>749</v>
      </c>
      <c r="L387" s="166"/>
      <c r="M387" s="166"/>
      <c r="N387" s="164"/>
      <c r="O387" s="166"/>
      <c r="P387" s="165"/>
    </row>
    <row r="388" spans="1:16" ht="15" hidden="1" customHeight="1" x14ac:dyDescent="0.25">
      <c r="A388" s="168"/>
      <c r="B388" s="167"/>
      <c r="C388" s="168"/>
      <c r="D388" s="167"/>
      <c r="E388" s="167"/>
      <c r="F388" s="167"/>
      <c r="G388" s="167"/>
      <c r="H388" s="167"/>
      <c r="I388" s="164">
        <f t="shared" ca="1" si="6"/>
        <v>44939</v>
      </c>
      <c r="J388" s="163">
        <v>0.33333333333333331</v>
      </c>
      <c r="K388" s="162" t="s">
        <v>749</v>
      </c>
      <c r="L388" s="166"/>
      <c r="M388" s="166"/>
      <c r="N388" s="164"/>
      <c r="O388" s="166"/>
      <c r="P388" s="165"/>
    </row>
    <row r="389" spans="1:16" ht="15" hidden="1" customHeight="1" x14ac:dyDescent="0.25">
      <c r="A389" s="167"/>
      <c r="B389" s="167"/>
      <c r="C389" s="167"/>
      <c r="D389" s="167"/>
      <c r="E389" s="167"/>
      <c r="F389" s="167"/>
      <c r="G389" s="167"/>
      <c r="H389" s="167"/>
      <c r="I389" s="164">
        <f t="shared" ca="1" si="6"/>
        <v>44939</v>
      </c>
      <c r="J389" s="163">
        <v>0.33333333333333331</v>
      </c>
      <c r="K389" s="162" t="s">
        <v>749</v>
      </c>
      <c r="L389" s="166"/>
      <c r="M389" s="166"/>
      <c r="N389" s="164"/>
      <c r="O389" s="166"/>
      <c r="P389" s="165"/>
    </row>
    <row r="390" spans="1:16" ht="15" hidden="1" customHeight="1" x14ac:dyDescent="0.25">
      <c r="A390" s="167"/>
      <c r="B390" s="167"/>
      <c r="C390" s="167"/>
      <c r="D390" s="167"/>
      <c r="E390" s="167"/>
      <c r="F390" s="167"/>
      <c r="G390" s="167"/>
      <c r="H390" s="167"/>
      <c r="I390" s="164">
        <f t="shared" ca="1" si="6"/>
        <v>44939</v>
      </c>
      <c r="J390" s="163">
        <v>0.33333333333333331</v>
      </c>
      <c r="K390" s="162" t="s">
        <v>749</v>
      </c>
      <c r="L390" s="166"/>
      <c r="M390" s="166"/>
      <c r="N390" s="164"/>
      <c r="O390" s="166"/>
      <c r="P390" s="165"/>
    </row>
    <row r="391" spans="1:16" ht="15" hidden="1" customHeight="1" x14ac:dyDescent="0.25">
      <c r="A391" s="168"/>
      <c r="B391" s="167"/>
      <c r="C391" s="168"/>
      <c r="D391" s="167"/>
      <c r="E391" s="167"/>
      <c r="F391" s="167"/>
      <c r="G391" s="167"/>
      <c r="H391" s="167"/>
      <c r="I391" s="164">
        <f t="shared" ca="1" si="6"/>
        <v>44939</v>
      </c>
      <c r="J391" s="163">
        <v>0.33333333333333331</v>
      </c>
      <c r="K391" s="162" t="s">
        <v>749</v>
      </c>
      <c r="L391" s="166"/>
      <c r="M391" s="166"/>
      <c r="N391" s="164"/>
      <c r="O391" s="166"/>
      <c r="P391" s="165"/>
    </row>
    <row r="392" spans="1:16" ht="15" hidden="1" customHeight="1" x14ac:dyDescent="0.25">
      <c r="A392" s="168"/>
      <c r="B392" s="167"/>
      <c r="C392" s="168"/>
      <c r="D392" s="167"/>
      <c r="E392" s="167"/>
      <c r="F392" s="167"/>
      <c r="G392" s="167"/>
      <c r="H392" s="167"/>
      <c r="I392" s="164">
        <f t="shared" ca="1" si="6"/>
        <v>44939</v>
      </c>
      <c r="J392" s="163">
        <v>0.33333333333333331</v>
      </c>
      <c r="K392" s="162" t="s">
        <v>749</v>
      </c>
      <c r="L392" s="166"/>
      <c r="M392" s="166"/>
      <c r="N392" s="164"/>
      <c r="O392" s="166"/>
      <c r="P392" s="165"/>
    </row>
    <row r="393" spans="1:16" ht="15" hidden="1" customHeight="1" x14ac:dyDescent="0.25">
      <c r="A393" s="168"/>
      <c r="B393" s="167"/>
      <c r="C393" s="168"/>
      <c r="D393" s="167"/>
      <c r="E393" s="167"/>
      <c r="F393" s="167"/>
      <c r="G393" s="167"/>
      <c r="H393" s="167"/>
      <c r="I393" s="164">
        <f t="shared" ca="1" si="6"/>
        <v>44939</v>
      </c>
      <c r="J393" s="163">
        <v>0.33333333333333331</v>
      </c>
      <c r="K393" s="162" t="s">
        <v>749</v>
      </c>
      <c r="L393" s="166"/>
      <c r="M393" s="166"/>
      <c r="N393" s="164"/>
      <c r="O393" s="166"/>
      <c r="P393" s="165"/>
    </row>
    <row r="394" spans="1:16" ht="15" hidden="1" customHeight="1" x14ac:dyDescent="0.25">
      <c r="A394" s="168"/>
      <c r="B394" s="167"/>
      <c r="C394" s="168"/>
      <c r="D394" s="167"/>
      <c r="E394" s="167"/>
      <c r="F394" s="167"/>
      <c r="G394" s="167"/>
      <c r="H394" s="167"/>
      <c r="I394" s="164">
        <f t="shared" ca="1" si="6"/>
        <v>44939</v>
      </c>
      <c r="J394" s="163">
        <v>0.33333333333333331</v>
      </c>
      <c r="K394" s="162" t="s">
        <v>749</v>
      </c>
      <c r="L394" s="166"/>
      <c r="M394" s="166"/>
      <c r="N394" s="164"/>
      <c r="O394" s="166"/>
      <c r="P394" s="165"/>
    </row>
    <row r="395" spans="1:16" ht="15" hidden="1" customHeight="1" x14ac:dyDescent="0.25">
      <c r="A395" s="168"/>
      <c r="B395" s="167"/>
      <c r="C395" s="168"/>
      <c r="D395" s="167"/>
      <c r="E395" s="167"/>
      <c r="F395" s="167"/>
      <c r="G395" s="167"/>
      <c r="H395" s="167"/>
      <c r="I395" s="164">
        <f t="shared" ca="1" si="6"/>
        <v>44939</v>
      </c>
      <c r="J395" s="163">
        <v>0.33333333333333331</v>
      </c>
      <c r="K395" s="162" t="s">
        <v>749</v>
      </c>
      <c r="L395" s="166"/>
      <c r="M395" s="166"/>
      <c r="N395" s="164"/>
      <c r="O395" s="166"/>
      <c r="P395" s="165"/>
    </row>
    <row r="396" spans="1:16" ht="15" hidden="1" customHeight="1" x14ac:dyDescent="0.25">
      <c r="A396" s="168"/>
      <c r="B396" s="167"/>
      <c r="C396" s="168"/>
      <c r="D396" s="167"/>
      <c r="E396" s="167"/>
      <c r="F396" s="167"/>
      <c r="G396" s="167"/>
      <c r="H396" s="167"/>
      <c r="I396" s="164">
        <f t="shared" ca="1" si="6"/>
        <v>44939</v>
      </c>
      <c r="J396" s="163">
        <v>0.33333333333333331</v>
      </c>
      <c r="K396" s="162" t="s">
        <v>749</v>
      </c>
      <c r="L396" s="166"/>
      <c r="M396" s="166"/>
      <c r="N396" s="164"/>
      <c r="O396" s="166"/>
      <c r="P396" s="165"/>
    </row>
    <row r="397" spans="1:16" ht="15" hidden="1" customHeight="1" x14ac:dyDescent="0.25">
      <c r="A397" s="168"/>
      <c r="B397" s="167"/>
      <c r="C397" s="168"/>
      <c r="D397" s="167"/>
      <c r="E397" s="167"/>
      <c r="F397" s="167"/>
      <c r="G397" s="167"/>
      <c r="H397" s="167"/>
      <c r="I397" s="164">
        <f t="shared" ca="1" si="6"/>
        <v>44939</v>
      </c>
      <c r="J397" s="163">
        <v>0.33333333333333331</v>
      </c>
      <c r="K397" s="162" t="s">
        <v>749</v>
      </c>
      <c r="L397" s="166"/>
      <c r="M397" s="166"/>
      <c r="N397" s="164"/>
      <c r="O397" s="166"/>
      <c r="P397" s="165"/>
    </row>
    <row r="398" spans="1:16" ht="15" hidden="1" customHeight="1" x14ac:dyDescent="0.25">
      <c r="A398" s="168"/>
      <c r="B398" s="167"/>
      <c r="C398" s="168"/>
      <c r="D398" s="167"/>
      <c r="E398" s="167"/>
      <c r="F398" s="167"/>
      <c r="G398" s="167"/>
      <c r="H398" s="167"/>
      <c r="I398" s="164">
        <f t="shared" ca="1" si="6"/>
        <v>44939</v>
      </c>
      <c r="J398" s="163">
        <v>0.33333333333333331</v>
      </c>
      <c r="K398" s="162" t="s">
        <v>749</v>
      </c>
      <c r="L398" s="166"/>
      <c r="M398" s="166"/>
      <c r="N398" s="164"/>
      <c r="O398" s="166"/>
      <c r="P398" s="165"/>
    </row>
    <row r="399" spans="1:16" ht="15" hidden="1" customHeight="1" x14ac:dyDescent="0.25">
      <c r="A399" s="168"/>
      <c r="B399" s="167"/>
      <c r="C399" s="168"/>
      <c r="D399" s="167"/>
      <c r="E399" s="167"/>
      <c r="F399" s="167"/>
      <c r="G399" s="167"/>
      <c r="H399" s="167"/>
      <c r="I399" s="164">
        <f t="shared" ca="1" si="6"/>
        <v>44939</v>
      </c>
      <c r="J399" s="163">
        <v>0.33333333333333331</v>
      </c>
      <c r="K399" s="162" t="s">
        <v>749</v>
      </c>
      <c r="L399" s="166"/>
      <c r="M399" s="166"/>
      <c r="N399" s="164"/>
      <c r="O399" s="166"/>
      <c r="P399" s="165"/>
    </row>
    <row r="400" spans="1:16" ht="15" hidden="1" customHeight="1" x14ac:dyDescent="0.25">
      <c r="A400" s="168"/>
      <c r="B400" s="167"/>
      <c r="C400" s="168"/>
      <c r="D400" s="167"/>
      <c r="E400" s="167"/>
      <c r="F400" s="167"/>
      <c r="G400" s="167"/>
      <c r="H400" s="167"/>
      <c r="I400" s="164">
        <f t="shared" ca="1" si="6"/>
        <v>44939</v>
      </c>
      <c r="J400" s="163">
        <v>0.33333333333333331</v>
      </c>
      <c r="K400" s="162" t="s">
        <v>749</v>
      </c>
      <c r="L400" s="166"/>
      <c r="M400" s="166"/>
      <c r="N400" s="164"/>
      <c r="O400" s="166"/>
      <c r="P400" s="165"/>
    </row>
    <row r="401" spans="1:16" ht="15" hidden="1" customHeight="1" x14ac:dyDescent="0.25">
      <c r="A401" s="168"/>
      <c r="B401" s="167"/>
      <c r="C401" s="168"/>
      <c r="D401" s="167"/>
      <c r="E401" s="167"/>
      <c r="F401" s="167"/>
      <c r="G401" s="167"/>
      <c r="H401" s="167"/>
      <c r="I401" s="164">
        <f t="shared" ca="1" si="6"/>
        <v>44939</v>
      </c>
      <c r="J401" s="163">
        <v>0.33333333333333331</v>
      </c>
      <c r="K401" s="162" t="s">
        <v>749</v>
      </c>
      <c r="L401" s="166"/>
      <c r="M401" s="166"/>
      <c r="N401" s="164"/>
      <c r="O401" s="166"/>
      <c r="P401" s="165"/>
    </row>
    <row r="402" spans="1:16" ht="15" hidden="1" customHeight="1" x14ac:dyDescent="0.25">
      <c r="A402" s="168"/>
      <c r="B402" s="167"/>
      <c r="C402" s="168"/>
      <c r="D402" s="167"/>
      <c r="E402" s="167"/>
      <c r="F402" s="167"/>
      <c r="G402" s="167"/>
      <c r="H402" s="167"/>
      <c r="I402" s="164">
        <f t="shared" ca="1" si="6"/>
        <v>44939</v>
      </c>
      <c r="J402" s="163">
        <v>0.33333333333333331</v>
      </c>
      <c r="K402" s="162" t="s">
        <v>749</v>
      </c>
      <c r="L402" s="166"/>
      <c r="M402" s="166"/>
      <c r="N402" s="164"/>
      <c r="O402" s="166"/>
      <c r="P402" s="165"/>
    </row>
    <row r="403" spans="1:16" ht="15" hidden="1" customHeight="1" x14ac:dyDescent="0.25">
      <c r="A403" s="168"/>
      <c r="B403" s="167"/>
      <c r="C403" s="168"/>
      <c r="D403" s="167"/>
      <c r="E403" s="167"/>
      <c r="F403" s="167"/>
      <c r="G403" s="167"/>
      <c r="H403" s="167"/>
      <c r="I403" s="164">
        <f t="shared" ca="1" si="6"/>
        <v>44939</v>
      </c>
      <c r="J403" s="163">
        <v>0.33333333333333331</v>
      </c>
      <c r="K403" s="162" t="s">
        <v>749</v>
      </c>
      <c r="L403" s="166"/>
      <c r="M403" s="166"/>
      <c r="N403" s="164"/>
      <c r="O403" s="166"/>
      <c r="P403" s="165"/>
    </row>
    <row r="404" spans="1:16" ht="15" hidden="1" customHeight="1" x14ac:dyDescent="0.25">
      <c r="A404" s="167"/>
      <c r="B404" s="167"/>
      <c r="C404" s="167"/>
      <c r="D404" s="167"/>
      <c r="E404" s="167"/>
      <c r="F404" s="167"/>
      <c r="G404" s="167"/>
      <c r="H404" s="167"/>
      <c r="I404" s="164">
        <f t="shared" ca="1" si="6"/>
        <v>44939</v>
      </c>
      <c r="J404" s="163">
        <v>0.33333333333333331</v>
      </c>
      <c r="K404" s="162" t="s">
        <v>749</v>
      </c>
      <c r="L404" s="166"/>
      <c r="M404" s="166"/>
      <c r="N404" s="164"/>
      <c r="O404" s="166"/>
      <c r="P404" s="165"/>
    </row>
    <row r="405" spans="1:16" ht="15" hidden="1" customHeight="1" x14ac:dyDescent="0.25">
      <c r="A405" s="167"/>
      <c r="B405" s="167"/>
      <c r="C405" s="167"/>
      <c r="D405" s="167"/>
      <c r="E405" s="167"/>
      <c r="F405" s="167"/>
      <c r="G405" s="167"/>
      <c r="H405" s="167"/>
      <c r="I405" s="164">
        <f t="shared" ca="1" si="6"/>
        <v>44939</v>
      </c>
      <c r="J405" s="163">
        <v>0.33333333333333331</v>
      </c>
      <c r="K405" s="162" t="s">
        <v>749</v>
      </c>
      <c r="L405" s="166"/>
      <c r="M405" s="166"/>
      <c r="N405" s="164"/>
      <c r="O405" s="166"/>
      <c r="P405" s="165"/>
    </row>
    <row r="406" spans="1:16" ht="15" hidden="1" customHeight="1" x14ac:dyDescent="0.25">
      <c r="A406" s="167"/>
      <c r="B406" s="167"/>
      <c r="C406" s="167"/>
      <c r="D406" s="167"/>
      <c r="E406" s="167"/>
      <c r="F406" s="167"/>
      <c r="G406" s="167"/>
      <c r="H406" s="167"/>
      <c r="I406" s="164">
        <f t="shared" ca="1" si="6"/>
        <v>44939</v>
      </c>
      <c r="J406" s="163">
        <v>0.33333333333333331</v>
      </c>
      <c r="K406" s="162" t="s">
        <v>749</v>
      </c>
      <c r="L406" s="166"/>
      <c r="M406" s="166"/>
      <c r="N406" s="164"/>
      <c r="O406" s="166"/>
      <c r="P406" s="165"/>
    </row>
    <row r="407" spans="1:16" ht="15" hidden="1" customHeight="1" x14ac:dyDescent="0.25">
      <c r="A407" s="167"/>
      <c r="B407" s="167"/>
      <c r="C407" s="167"/>
      <c r="D407" s="167"/>
      <c r="E407" s="167"/>
      <c r="F407" s="167"/>
      <c r="G407" s="167"/>
      <c r="H407" s="167"/>
      <c r="I407" s="164">
        <f t="shared" ca="1" si="6"/>
        <v>44939</v>
      </c>
      <c r="J407" s="163">
        <v>0.33333333333333331</v>
      </c>
      <c r="K407" s="162" t="s">
        <v>749</v>
      </c>
      <c r="L407" s="166"/>
      <c r="M407" s="166"/>
      <c r="N407" s="164"/>
      <c r="O407" s="166"/>
      <c r="P407" s="165"/>
    </row>
    <row r="408" spans="1:16" ht="15" hidden="1" customHeight="1" x14ac:dyDescent="0.25">
      <c r="A408" s="167"/>
      <c r="B408" s="167"/>
      <c r="C408" s="167"/>
      <c r="D408" s="167"/>
      <c r="E408" s="167"/>
      <c r="F408" s="167"/>
      <c r="G408" s="167"/>
      <c r="H408" s="167"/>
      <c r="I408" s="164">
        <f t="shared" ref="I408:I471" ca="1" si="7">TODAY()</f>
        <v>44939</v>
      </c>
      <c r="J408" s="163">
        <v>0.33333333333333331</v>
      </c>
      <c r="K408" s="162" t="s">
        <v>749</v>
      </c>
      <c r="L408" s="166"/>
      <c r="M408" s="166"/>
      <c r="N408" s="164"/>
      <c r="O408" s="166"/>
      <c r="P408" s="165"/>
    </row>
    <row r="409" spans="1:16" ht="15" hidden="1" customHeight="1" x14ac:dyDescent="0.25">
      <c r="A409" s="167"/>
      <c r="B409" s="167"/>
      <c r="C409" s="167"/>
      <c r="D409" s="167"/>
      <c r="E409" s="167"/>
      <c r="F409" s="167"/>
      <c r="G409" s="167"/>
      <c r="H409" s="167"/>
      <c r="I409" s="164">
        <f t="shared" ca="1" si="7"/>
        <v>44939</v>
      </c>
      <c r="J409" s="163">
        <v>0.33333333333333331</v>
      </c>
      <c r="K409" s="162" t="s">
        <v>749</v>
      </c>
      <c r="L409" s="166"/>
      <c r="M409" s="166"/>
      <c r="N409" s="164"/>
      <c r="O409" s="166"/>
      <c r="P409" s="165"/>
    </row>
    <row r="410" spans="1:16" ht="15" hidden="1" customHeight="1" x14ac:dyDescent="0.25">
      <c r="A410" s="167"/>
      <c r="B410" s="167"/>
      <c r="C410" s="167"/>
      <c r="D410" s="167"/>
      <c r="E410" s="167"/>
      <c r="F410" s="167"/>
      <c r="G410" s="167"/>
      <c r="H410" s="167"/>
      <c r="I410" s="164">
        <f t="shared" ca="1" si="7"/>
        <v>44939</v>
      </c>
      <c r="J410" s="163">
        <v>0.33333333333333331</v>
      </c>
      <c r="K410" s="162" t="s">
        <v>749</v>
      </c>
      <c r="L410" s="166"/>
      <c r="M410" s="166"/>
      <c r="N410" s="164"/>
      <c r="O410" s="166"/>
      <c r="P410" s="165"/>
    </row>
    <row r="411" spans="1:16" ht="15" hidden="1" customHeight="1" x14ac:dyDescent="0.25">
      <c r="A411" s="167"/>
      <c r="B411" s="167"/>
      <c r="C411" s="167"/>
      <c r="D411" s="167"/>
      <c r="E411" s="167"/>
      <c r="F411" s="167"/>
      <c r="G411" s="167"/>
      <c r="H411" s="167"/>
      <c r="I411" s="164">
        <f t="shared" ca="1" si="7"/>
        <v>44939</v>
      </c>
      <c r="J411" s="163">
        <v>0.33333333333333331</v>
      </c>
      <c r="K411" s="162" t="s">
        <v>749</v>
      </c>
      <c r="L411" s="166"/>
      <c r="M411" s="166"/>
      <c r="N411" s="164"/>
      <c r="O411" s="166"/>
      <c r="P411" s="165"/>
    </row>
    <row r="412" spans="1:16" ht="15" hidden="1" customHeight="1" x14ac:dyDescent="0.25">
      <c r="A412" s="168"/>
      <c r="B412" s="167"/>
      <c r="C412" s="168"/>
      <c r="D412" s="167"/>
      <c r="E412" s="167"/>
      <c r="F412" s="167"/>
      <c r="G412" s="167"/>
      <c r="H412" s="167"/>
      <c r="I412" s="164">
        <f t="shared" ca="1" si="7"/>
        <v>44939</v>
      </c>
      <c r="J412" s="163">
        <v>0.33333333333333331</v>
      </c>
      <c r="K412" s="162" t="s">
        <v>749</v>
      </c>
      <c r="L412" s="166"/>
      <c r="M412" s="166"/>
      <c r="N412" s="164"/>
      <c r="O412" s="166"/>
      <c r="P412" s="165"/>
    </row>
    <row r="413" spans="1:16" ht="15" hidden="1" customHeight="1" x14ac:dyDescent="0.25">
      <c r="A413" s="168"/>
      <c r="B413" s="167"/>
      <c r="C413" s="168"/>
      <c r="D413" s="167"/>
      <c r="E413" s="167"/>
      <c r="F413" s="167"/>
      <c r="G413" s="167"/>
      <c r="H413" s="167"/>
      <c r="I413" s="164">
        <f t="shared" ca="1" si="7"/>
        <v>44939</v>
      </c>
      <c r="J413" s="163">
        <v>0.33333333333333331</v>
      </c>
      <c r="K413" s="162" t="s">
        <v>749</v>
      </c>
      <c r="L413" s="166"/>
      <c r="M413" s="166"/>
      <c r="N413" s="164"/>
      <c r="O413" s="166"/>
      <c r="P413" s="165"/>
    </row>
    <row r="414" spans="1:16" ht="15" hidden="1" customHeight="1" x14ac:dyDescent="0.25">
      <c r="A414" s="168"/>
      <c r="B414" s="167"/>
      <c r="C414" s="168"/>
      <c r="D414" s="167"/>
      <c r="E414" s="167"/>
      <c r="F414" s="167"/>
      <c r="G414" s="167"/>
      <c r="H414" s="167"/>
      <c r="I414" s="164">
        <f t="shared" ca="1" si="7"/>
        <v>44939</v>
      </c>
      <c r="J414" s="163">
        <v>0.33333333333333331</v>
      </c>
      <c r="K414" s="162" t="s">
        <v>749</v>
      </c>
      <c r="L414" s="166"/>
      <c r="M414" s="166"/>
      <c r="N414" s="164"/>
      <c r="O414" s="166"/>
      <c r="P414" s="165"/>
    </row>
    <row r="415" spans="1:16" ht="15" hidden="1" customHeight="1" x14ac:dyDescent="0.25">
      <c r="A415" s="168"/>
      <c r="B415" s="167"/>
      <c r="C415" s="168"/>
      <c r="D415" s="167"/>
      <c r="E415" s="167"/>
      <c r="F415" s="167"/>
      <c r="G415" s="167"/>
      <c r="H415" s="167"/>
      <c r="I415" s="164">
        <f t="shared" ca="1" si="7"/>
        <v>44939</v>
      </c>
      <c r="J415" s="163">
        <v>0.33333333333333331</v>
      </c>
      <c r="K415" s="162" t="s">
        <v>749</v>
      </c>
      <c r="L415" s="166"/>
      <c r="M415" s="166"/>
      <c r="N415" s="164"/>
      <c r="O415" s="166"/>
      <c r="P415" s="165"/>
    </row>
    <row r="416" spans="1:16" ht="15" hidden="1" customHeight="1" x14ac:dyDescent="0.25">
      <c r="A416" s="168"/>
      <c r="B416" s="167"/>
      <c r="C416" s="168"/>
      <c r="D416" s="167"/>
      <c r="E416" s="167"/>
      <c r="F416" s="167"/>
      <c r="G416" s="167"/>
      <c r="H416" s="167"/>
      <c r="I416" s="164">
        <f t="shared" ca="1" si="7"/>
        <v>44939</v>
      </c>
      <c r="J416" s="163">
        <v>0.33333333333333331</v>
      </c>
      <c r="K416" s="162" t="s">
        <v>749</v>
      </c>
      <c r="L416" s="166"/>
      <c r="M416" s="166"/>
      <c r="N416" s="164"/>
      <c r="O416" s="166"/>
      <c r="P416" s="165"/>
    </row>
    <row r="417" spans="1:16" ht="15" hidden="1" customHeight="1" x14ac:dyDescent="0.25">
      <c r="A417" s="168"/>
      <c r="B417" s="167"/>
      <c r="C417" s="168"/>
      <c r="D417" s="167"/>
      <c r="E417" s="167"/>
      <c r="F417" s="167"/>
      <c r="G417" s="167"/>
      <c r="H417" s="167"/>
      <c r="I417" s="164">
        <f t="shared" ca="1" si="7"/>
        <v>44939</v>
      </c>
      <c r="J417" s="163">
        <v>0.33333333333333331</v>
      </c>
      <c r="K417" s="162" t="s">
        <v>749</v>
      </c>
      <c r="L417" s="166"/>
      <c r="M417" s="166"/>
      <c r="N417" s="164"/>
      <c r="O417" s="166"/>
      <c r="P417" s="165"/>
    </row>
    <row r="418" spans="1:16" ht="15" hidden="1" customHeight="1" x14ac:dyDescent="0.25">
      <c r="A418" s="168"/>
      <c r="B418" s="167"/>
      <c r="C418" s="168"/>
      <c r="D418" s="167"/>
      <c r="E418" s="167"/>
      <c r="F418" s="167"/>
      <c r="G418" s="167"/>
      <c r="H418" s="167"/>
      <c r="I418" s="164">
        <f t="shared" ca="1" si="7"/>
        <v>44939</v>
      </c>
      <c r="J418" s="163">
        <v>0.33333333333333331</v>
      </c>
      <c r="K418" s="162" t="s">
        <v>749</v>
      </c>
      <c r="L418" s="166"/>
      <c r="M418" s="166"/>
      <c r="N418" s="164"/>
      <c r="O418" s="166"/>
      <c r="P418" s="165"/>
    </row>
    <row r="419" spans="1:16" ht="15" hidden="1" customHeight="1" x14ac:dyDescent="0.25">
      <c r="A419" s="167"/>
      <c r="B419" s="167"/>
      <c r="C419" s="167"/>
      <c r="D419" s="167"/>
      <c r="E419" s="167"/>
      <c r="F419" s="167"/>
      <c r="G419" s="167"/>
      <c r="H419" s="167"/>
      <c r="I419" s="164">
        <f t="shared" ca="1" si="7"/>
        <v>44939</v>
      </c>
      <c r="J419" s="163">
        <v>0.33333333333333331</v>
      </c>
      <c r="K419" s="162" t="s">
        <v>749</v>
      </c>
      <c r="L419" s="166"/>
      <c r="M419" s="166"/>
      <c r="N419" s="164"/>
      <c r="O419" s="166"/>
      <c r="P419" s="165"/>
    </row>
    <row r="420" spans="1:16" ht="15" hidden="1" customHeight="1" x14ac:dyDescent="0.25">
      <c r="A420" s="167"/>
      <c r="B420" s="167"/>
      <c r="C420" s="167"/>
      <c r="D420" s="167"/>
      <c r="E420" s="167"/>
      <c r="F420" s="167"/>
      <c r="G420" s="167"/>
      <c r="H420" s="167"/>
      <c r="I420" s="164">
        <f t="shared" ca="1" si="7"/>
        <v>44939</v>
      </c>
      <c r="J420" s="163">
        <v>0.33333333333333331</v>
      </c>
      <c r="K420" s="162" t="s">
        <v>749</v>
      </c>
      <c r="L420" s="166"/>
      <c r="M420" s="166"/>
      <c r="N420" s="164"/>
      <c r="O420" s="166"/>
      <c r="P420" s="165"/>
    </row>
    <row r="421" spans="1:16" ht="15" hidden="1" customHeight="1" x14ac:dyDescent="0.25">
      <c r="A421" s="167"/>
      <c r="B421" s="167"/>
      <c r="C421" s="167"/>
      <c r="D421" s="167"/>
      <c r="E421" s="167"/>
      <c r="F421" s="167"/>
      <c r="G421" s="167"/>
      <c r="H421" s="167"/>
      <c r="I421" s="164">
        <f t="shared" ca="1" si="7"/>
        <v>44939</v>
      </c>
      <c r="J421" s="163">
        <v>0.33333333333333331</v>
      </c>
      <c r="K421" s="162" t="s">
        <v>749</v>
      </c>
      <c r="L421" s="166"/>
      <c r="M421" s="166"/>
      <c r="N421" s="164"/>
      <c r="O421" s="166"/>
      <c r="P421" s="165"/>
    </row>
    <row r="422" spans="1:16" ht="15" hidden="1" customHeight="1" x14ac:dyDescent="0.25">
      <c r="A422" s="167"/>
      <c r="B422" s="167"/>
      <c r="C422" s="167"/>
      <c r="D422" s="167"/>
      <c r="E422" s="167"/>
      <c r="F422" s="167"/>
      <c r="G422" s="167"/>
      <c r="H422" s="167"/>
      <c r="I422" s="164">
        <f t="shared" ca="1" si="7"/>
        <v>44939</v>
      </c>
      <c r="J422" s="163">
        <v>0.33333333333333331</v>
      </c>
      <c r="K422" s="162" t="s">
        <v>749</v>
      </c>
      <c r="L422" s="166"/>
      <c r="M422" s="166"/>
      <c r="N422" s="164"/>
      <c r="O422" s="166"/>
      <c r="P422" s="165"/>
    </row>
    <row r="423" spans="1:16" ht="15" hidden="1" customHeight="1" x14ac:dyDescent="0.25">
      <c r="A423" s="168"/>
      <c r="B423" s="167"/>
      <c r="C423" s="168"/>
      <c r="D423" s="167"/>
      <c r="E423" s="167"/>
      <c r="F423" s="167"/>
      <c r="G423" s="167"/>
      <c r="H423" s="167"/>
      <c r="I423" s="164">
        <f t="shared" ca="1" si="7"/>
        <v>44939</v>
      </c>
      <c r="J423" s="163">
        <v>0.33333333333333331</v>
      </c>
      <c r="K423" s="162" t="s">
        <v>749</v>
      </c>
      <c r="L423" s="166"/>
      <c r="M423" s="166"/>
      <c r="N423" s="164"/>
      <c r="O423" s="166"/>
      <c r="P423" s="165"/>
    </row>
    <row r="424" spans="1:16" ht="15" hidden="1" customHeight="1" x14ac:dyDescent="0.25">
      <c r="A424" s="168"/>
      <c r="B424" s="167"/>
      <c r="C424" s="168"/>
      <c r="D424" s="167"/>
      <c r="E424" s="167"/>
      <c r="F424" s="167"/>
      <c r="G424" s="167"/>
      <c r="H424" s="167"/>
      <c r="I424" s="164">
        <f t="shared" ca="1" si="7"/>
        <v>44939</v>
      </c>
      <c r="J424" s="163">
        <v>0.33333333333333331</v>
      </c>
      <c r="K424" s="162" t="s">
        <v>749</v>
      </c>
      <c r="L424" s="166"/>
      <c r="M424" s="166"/>
      <c r="N424" s="164"/>
      <c r="O424" s="166"/>
      <c r="P424" s="165"/>
    </row>
    <row r="425" spans="1:16" ht="15" hidden="1" customHeight="1" x14ac:dyDescent="0.25">
      <c r="A425" s="168"/>
      <c r="B425" s="167"/>
      <c r="C425" s="168"/>
      <c r="D425" s="167"/>
      <c r="E425" s="167"/>
      <c r="F425" s="167"/>
      <c r="G425" s="167"/>
      <c r="H425" s="167"/>
      <c r="I425" s="164">
        <f t="shared" ca="1" si="7"/>
        <v>44939</v>
      </c>
      <c r="J425" s="163">
        <v>0.33333333333333331</v>
      </c>
      <c r="K425" s="162" t="s">
        <v>749</v>
      </c>
      <c r="L425" s="166"/>
      <c r="M425" s="166"/>
      <c r="N425" s="164"/>
      <c r="O425" s="166"/>
      <c r="P425" s="165"/>
    </row>
    <row r="426" spans="1:16" ht="15" hidden="1" customHeight="1" x14ac:dyDescent="0.25">
      <c r="A426" s="168"/>
      <c r="B426" s="167"/>
      <c r="C426" s="168"/>
      <c r="D426" s="167"/>
      <c r="E426" s="167"/>
      <c r="F426" s="167"/>
      <c r="G426" s="167"/>
      <c r="H426" s="167"/>
      <c r="I426" s="164">
        <f t="shared" ca="1" si="7"/>
        <v>44939</v>
      </c>
      <c r="J426" s="163">
        <v>0.33333333333333331</v>
      </c>
      <c r="K426" s="162" t="s">
        <v>749</v>
      </c>
      <c r="L426" s="166"/>
      <c r="M426" s="166"/>
      <c r="N426" s="164"/>
      <c r="O426" s="166"/>
      <c r="P426" s="165"/>
    </row>
    <row r="427" spans="1:16" ht="15" hidden="1" customHeight="1" x14ac:dyDescent="0.25">
      <c r="A427" s="168"/>
      <c r="B427" s="167"/>
      <c r="C427" s="168"/>
      <c r="D427" s="167"/>
      <c r="E427" s="167"/>
      <c r="F427" s="167"/>
      <c r="G427" s="167"/>
      <c r="H427" s="167"/>
      <c r="I427" s="164">
        <f t="shared" ca="1" si="7"/>
        <v>44939</v>
      </c>
      <c r="J427" s="163">
        <v>0.33333333333333331</v>
      </c>
      <c r="K427" s="162" t="s">
        <v>749</v>
      </c>
      <c r="L427" s="166"/>
      <c r="M427" s="166"/>
      <c r="N427" s="164"/>
      <c r="O427" s="166"/>
      <c r="P427" s="165"/>
    </row>
    <row r="428" spans="1:16" ht="15" hidden="1" customHeight="1" x14ac:dyDescent="0.25">
      <c r="A428" s="167"/>
      <c r="B428" s="167"/>
      <c r="C428" s="167"/>
      <c r="D428" s="167"/>
      <c r="E428" s="167"/>
      <c r="F428" s="167"/>
      <c r="G428" s="167"/>
      <c r="H428" s="167"/>
      <c r="I428" s="164">
        <f t="shared" ca="1" si="7"/>
        <v>44939</v>
      </c>
      <c r="J428" s="163">
        <v>0.33333333333333331</v>
      </c>
      <c r="K428" s="162" t="s">
        <v>749</v>
      </c>
      <c r="L428" s="166"/>
      <c r="M428" s="166"/>
      <c r="N428" s="164"/>
      <c r="O428" s="166"/>
      <c r="P428" s="165"/>
    </row>
    <row r="429" spans="1:16" ht="15" hidden="1" customHeight="1" x14ac:dyDescent="0.25">
      <c r="A429" s="167"/>
      <c r="B429" s="167"/>
      <c r="C429" s="167"/>
      <c r="D429" s="167"/>
      <c r="E429" s="167"/>
      <c r="F429" s="167"/>
      <c r="G429" s="167"/>
      <c r="H429" s="167"/>
      <c r="I429" s="164">
        <f t="shared" ca="1" si="7"/>
        <v>44939</v>
      </c>
      <c r="J429" s="163">
        <v>0.33333333333333331</v>
      </c>
      <c r="K429" s="162" t="s">
        <v>749</v>
      </c>
      <c r="L429" s="166"/>
      <c r="M429" s="166"/>
      <c r="N429" s="164"/>
      <c r="O429" s="166"/>
      <c r="P429" s="165"/>
    </row>
    <row r="430" spans="1:16" ht="15" hidden="1" customHeight="1" x14ac:dyDescent="0.25">
      <c r="A430" s="167"/>
      <c r="B430" s="167"/>
      <c r="C430" s="167"/>
      <c r="D430" s="167"/>
      <c r="E430" s="167"/>
      <c r="F430" s="167"/>
      <c r="G430" s="167"/>
      <c r="H430" s="167"/>
      <c r="I430" s="164">
        <f t="shared" ca="1" si="7"/>
        <v>44939</v>
      </c>
      <c r="J430" s="163">
        <v>0.33333333333333331</v>
      </c>
      <c r="K430" s="162" t="s">
        <v>749</v>
      </c>
      <c r="L430" s="166"/>
      <c r="M430" s="166"/>
      <c r="N430" s="164"/>
      <c r="O430" s="166"/>
      <c r="P430" s="165"/>
    </row>
    <row r="431" spans="1:16" ht="15" hidden="1" customHeight="1" x14ac:dyDescent="0.25">
      <c r="A431" s="167"/>
      <c r="B431" s="167"/>
      <c r="C431" s="167"/>
      <c r="D431" s="167"/>
      <c r="E431" s="167"/>
      <c r="F431" s="167"/>
      <c r="G431" s="167"/>
      <c r="H431" s="167"/>
      <c r="I431" s="164">
        <f t="shared" ca="1" si="7"/>
        <v>44939</v>
      </c>
      <c r="J431" s="163">
        <v>0.33333333333333331</v>
      </c>
      <c r="K431" s="162" t="s">
        <v>749</v>
      </c>
      <c r="L431" s="166"/>
      <c r="M431" s="166"/>
      <c r="N431" s="164"/>
      <c r="O431" s="166"/>
      <c r="P431" s="165"/>
    </row>
    <row r="432" spans="1:16" ht="15" hidden="1" customHeight="1" x14ac:dyDescent="0.25">
      <c r="A432" s="167"/>
      <c r="B432" s="167"/>
      <c r="C432" s="167"/>
      <c r="D432" s="167"/>
      <c r="E432" s="167"/>
      <c r="F432" s="167"/>
      <c r="G432" s="167"/>
      <c r="H432" s="167"/>
      <c r="I432" s="164">
        <f t="shared" ca="1" si="7"/>
        <v>44939</v>
      </c>
      <c r="J432" s="163">
        <v>0.33333333333333331</v>
      </c>
      <c r="K432" s="162" t="s">
        <v>749</v>
      </c>
      <c r="L432" s="166"/>
      <c r="M432" s="166"/>
      <c r="N432" s="164"/>
      <c r="O432" s="166"/>
      <c r="P432" s="165"/>
    </row>
    <row r="433" spans="1:16" ht="15" hidden="1" customHeight="1" x14ac:dyDescent="0.25">
      <c r="A433" s="168"/>
      <c r="B433" s="167"/>
      <c r="C433" s="168"/>
      <c r="D433" s="167"/>
      <c r="E433" s="167"/>
      <c r="F433" s="167"/>
      <c r="G433" s="167"/>
      <c r="H433" s="167"/>
      <c r="I433" s="164">
        <f t="shared" ca="1" si="7"/>
        <v>44939</v>
      </c>
      <c r="J433" s="163">
        <v>0.33333333333333331</v>
      </c>
      <c r="K433" s="162" t="s">
        <v>749</v>
      </c>
      <c r="L433" s="166"/>
      <c r="M433" s="166"/>
      <c r="N433" s="164"/>
      <c r="O433" s="166"/>
      <c r="P433" s="165"/>
    </row>
    <row r="434" spans="1:16" ht="15" hidden="1" customHeight="1" x14ac:dyDescent="0.25">
      <c r="A434" s="167"/>
      <c r="B434" s="167"/>
      <c r="C434" s="167"/>
      <c r="D434" s="167"/>
      <c r="E434" s="167"/>
      <c r="F434" s="167"/>
      <c r="G434" s="167"/>
      <c r="H434" s="167"/>
      <c r="I434" s="164">
        <f t="shared" ca="1" si="7"/>
        <v>44939</v>
      </c>
      <c r="J434" s="163">
        <v>0.33333333333333331</v>
      </c>
      <c r="K434" s="162" t="s">
        <v>749</v>
      </c>
      <c r="L434" s="166"/>
      <c r="M434" s="166"/>
      <c r="N434" s="164"/>
      <c r="O434" s="166"/>
      <c r="P434" s="165"/>
    </row>
    <row r="435" spans="1:16" ht="15" hidden="1" customHeight="1" x14ac:dyDescent="0.25">
      <c r="A435" s="167"/>
      <c r="B435" s="167"/>
      <c r="C435" s="167"/>
      <c r="D435" s="167"/>
      <c r="E435" s="167"/>
      <c r="F435" s="167"/>
      <c r="G435" s="167"/>
      <c r="H435" s="167"/>
      <c r="I435" s="164">
        <f t="shared" ca="1" si="7"/>
        <v>44939</v>
      </c>
      <c r="J435" s="163">
        <v>0.33333333333333331</v>
      </c>
      <c r="K435" s="162" t="s">
        <v>749</v>
      </c>
      <c r="L435" s="166"/>
      <c r="M435" s="166"/>
      <c r="N435" s="164"/>
      <c r="O435" s="166"/>
      <c r="P435" s="165"/>
    </row>
    <row r="436" spans="1:16" ht="15" hidden="1" customHeight="1" x14ac:dyDescent="0.25">
      <c r="A436" s="167"/>
      <c r="B436" s="167"/>
      <c r="C436" s="167"/>
      <c r="D436" s="167"/>
      <c r="E436" s="167"/>
      <c r="F436" s="167"/>
      <c r="G436" s="167"/>
      <c r="H436" s="167"/>
      <c r="I436" s="164">
        <f t="shared" ca="1" si="7"/>
        <v>44939</v>
      </c>
      <c r="J436" s="163">
        <v>0.33333333333333331</v>
      </c>
      <c r="K436" s="162" t="s">
        <v>749</v>
      </c>
      <c r="L436" s="166"/>
      <c r="M436" s="166"/>
      <c r="N436" s="164"/>
      <c r="O436" s="166"/>
      <c r="P436" s="165"/>
    </row>
    <row r="437" spans="1:16" ht="15" hidden="1" customHeight="1" x14ac:dyDescent="0.25">
      <c r="A437" s="167"/>
      <c r="B437" s="167"/>
      <c r="C437" s="167"/>
      <c r="D437" s="167"/>
      <c r="E437" s="167"/>
      <c r="F437" s="167"/>
      <c r="G437" s="167"/>
      <c r="H437" s="167"/>
      <c r="I437" s="164">
        <f t="shared" ca="1" si="7"/>
        <v>44939</v>
      </c>
      <c r="J437" s="163">
        <v>0.33333333333333331</v>
      </c>
      <c r="K437" s="162" t="s">
        <v>749</v>
      </c>
      <c r="L437" s="166"/>
      <c r="M437" s="166"/>
      <c r="N437" s="164"/>
      <c r="O437" s="166"/>
      <c r="P437" s="165"/>
    </row>
    <row r="438" spans="1:16" ht="15" hidden="1" customHeight="1" x14ac:dyDescent="0.25">
      <c r="A438" s="168"/>
      <c r="B438" s="167"/>
      <c r="C438" s="168"/>
      <c r="D438" s="167"/>
      <c r="E438" s="167"/>
      <c r="F438" s="167"/>
      <c r="G438" s="167"/>
      <c r="H438" s="167"/>
      <c r="I438" s="164">
        <f t="shared" ca="1" si="7"/>
        <v>44939</v>
      </c>
      <c r="J438" s="163">
        <v>0.33333333333333331</v>
      </c>
      <c r="K438" s="162" t="s">
        <v>749</v>
      </c>
      <c r="L438" s="166"/>
      <c r="M438" s="166"/>
      <c r="N438" s="164"/>
      <c r="O438" s="166"/>
      <c r="P438" s="165"/>
    </row>
    <row r="439" spans="1:16" ht="15" hidden="1" customHeight="1" x14ac:dyDescent="0.25">
      <c r="A439" s="168"/>
      <c r="B439" s="167"/>
      <c r="C439" s="168"/>
      <c r="D439" s="167"/>
      <c r="E439" s="167"/>
      <c r="F439" s="167"/>
      <c r="G439" s="167"/>
      <c r="H439" s="167"/>
      <c r="I439" s="164">
        <f t="shared" ca="1" si="7"/>
        <v>44939</v>
      </c>
      <c r="J439" s="163">
        <v>0.33333333333333331</v>
      </c>
      <c r="K439" s="162" t="s">
        <v>749</v>
      </c>
      <c r="L439" s="166"/>
      <c r="M439" s="166"/>
      <c r="N439" s="164"/>
      <c r="O439" s="166"/>
      <c r="P439" s="165"/>
    </row>
    <row r="440" spans="1:16" ht="15" hidden="1" customHeight="1" x14ac:dyDescent="0.25">
      <c r="A440" s="167"/>
      <c r="B440" s="167"/>
      <c r="C440" s="167"/>
      <c r="D440" s="167"/>
      <c r="E440" s="167"/>
      <c r="F440" s="167"/>
      <c r="G440" s="167"/>
      <c r="H440" s="167"/>
      <c r="I440" s="164">
        <f t="shared" ca="1" si="7"/>
        <v>44939</v>
      </c>
      <c r="J440" s="163">
        <v>0.33333333333333331</v>
      </c>
      <c r="K440" s="162" t="s">
        <v>749</v>
      </c>
      <c r="L440" s="166"/>
      <c r="M440" s="166"/>
      <c r="N440" s="164"/>
      <c r="O440" s="166"/>
      <c r="P440" s="165"/>
    </row>
    <row r="441" spans="1:16" ht="15" hidden="1" customHeight="1" x14ac:dyDescent="0.25">
      <c r="A441" s="167"/>
      <c r="B441" s="167"/>
      <c r="C441" s="167"/>
      <c r="D441" s="167"/>
      <c r="E441" s="167"/>
      <c r="F441" s="167"/>
      <c r="G441" s="167"/>
      <c r="H441" s="167"/>
      <c r="I441" s="164">
        <f t="shared" ca="1" si="7"/>
        <v>44939</v>
      </c>
      <c r="J441" s="163">
        <v>0.33333333333333331</v>
      </c>
      <c r="K441" s="162" t="s">
        <v>749</v>
      </c>
      <c r="L441" s="166"/>
      <c r="M441" s="166"/>
      <c r="N441" s="164"/>
      <c r="O441" s="166"/>
      <c r="P441" s="165"/>
    </row>
    <row r="442" spans="1:16" ht="15" hidden="1" customHeight="1" x14ac:dyDescent="0.25">
      <c r="A442" s="168"/>
      <c r="B442" s="167"/>
      <c r="C442" s="168"/>
      <c r="D442" s="167"/>
      <c r="E442" s="167"/>
      <c r="F442" s="167"/>
      <c r="G442" s="167"/>
      <c r="H442" s="167"/>
      <c r="I442" s="164">
        <f t="shared" ca="1" si="7"/>
        <v>44939</v>
      </c>
      <c r="J442" s="163">
        <v>0.33333333333333331</v>
      </c>
      <c r="K442" s="162" t="s">
        <v>749</v>
      </c>
      <c r="L442" s="166"/>
      <c r="M442" s="166"/>
      <c r="N442" s="164"/>
      <c r="O442" s="166"/>
      <c r="P442" s="165"/>
    </row>
    <row r="443" spans="1:16" ht="15" hidden="1" customHeight="1" x14ac:dyDescent="0.25">
      <c r="A443" s="168"/>
      <c r="B443" s="167"/>
      <c r="C443" s="168"/>
      <c r="D443" s="167"/>
      <c r="E443" s="167"/>
      <c r="F443" s="167"/>
      <c r="G443" s="167"/>
      <c r="H443" s="167"/>
      <c r="I443" s="164">
        <f t="shared" ca="1" si="7"/>
        <v>44939</v>
      </c>
      <c r="J443" s="163">
        <v>0.33333333333333331</v>
      </c>
      <c r="K443" s="162" t="s">
        <v>749</v>
      </c>
      <c r="L443" s="166"/>
      <c r="M443" s="166"/>
      <c r="N443" s="164"/>
      <c r="O443" s="166"/>
      <c r="P443" s="165"/>
    </row>
    <row r="444" spans="1:16" ht="15" hidden="1" customHeight="1" x14ac:dyDescent="0.25">
      <c r="A444" s="168"/>
      <c r="B444" s="167"/>
      <c r="C444" s="168"/>
      <c r="D444" s="167"/>
      <c r="E444" s="167"/>
      <c r="F444" s="167"/>
      <c r="G444" s="167"/>
      <c r="H444" s="167"/>
      <c r="I444" s="164">
        <f t="shared" ca="1" si="7"/>
        <v>44939</v>
      </c>
      <c r="J444" s="163">
        <v>0.33333333333333331</v>
      </c>
      <c r="K444" s="162" t="s">
        <v>749</v>
      </c>
      <c r="L444" s="166"/>
      <c r="M444" s="166"/>
      <c r="N444" s="164"/>
      <c r="O444" s="166"/>
      <c r="P444" s="165"/>
    </row>
    <row r="445" spans="1:16" ht="15" hidden="1" customHeight="1" x14ac:dyDescent="0.25">
      <c r="A445" s="167"/>
      <c r="B445" s="167"/>
      <c r="C445" s="167"/>
      <c r="D445" s="167"/>
      <c r="E445" s="167"/>
      <c r="F445" s="167"/>
      <c r="G445" s="167"/>
      <c r="H445" s="167"/>
      <c r="I445" s="164">
        <f t="shared" ca="1" si="7"/>
        <v>44939</v>
      </c>
      <c r="J445" s="163">
        <v>0.33333333333333331</v>
      </c>
      <c r="K445" s="162" t="s">
        <v>749</v>
      </c>
      <c r="L445" s="166"/>
      <c r="M445" s="166"/>
      <c r="N445" s="164"/>
      <c r="O445" s="166"/>
      <c r="P445" s="165"/>
    </row>
    <row r="446" spans="1:16" ht="15" hidden="1" customHeight="1" x14ac:dyDescent="0.25">
      <c r="A446" s="167"/>
      <c r="B446" s="167"/>
      <c r="C446" s="167"/>
      <c r="D446" s="167"/>
      <c r="E446" s="167"/>
      <c r="F446" s="167"/>
      <c r="G446" s="167"/>
      <c r="H446" s="167"/>
      <c r="I446" s="164">
        <f t="shared" ca="1" si="7"/>
        <v>44939</v>
      </c>
      <c r="J446" s="163">
        <v>0.33333333333333331</v>
      </c>
      <c r="K446" s="162" t="s">
        <v>749</v>
      </c>
      <c r="L446" s="166"/>
      <c r="M446" s="166"/>
      <c r="N446" s="164"/>
      <c r="O446" s="166"/>
      <c r="P446" s="165"/>
    </row>
    <row r="447" spans="1:16" ht="15" hidden="1" customHeight="1" x14ac:dyDescent="0.25">
      <c r="A447" s="167"/>
      <c r="B447" s="167"/>
      <c r="C447" s="167"/>
      <c r="D447" s="167"/>
      <c r="E447" s="167"/>
      <c r="F447" s="167"/>
      <c r="G447" s="167"/>
      <c r="H447" s="167"/>
      <c r="I447" s="164">
        <f t="shared" ca="1" si="7"/>
        <v>44939</v>
      </c>
      <c r="J447" s="163">
        <v>0.33333333333333331</v>
      </c>
      <c r="K447" s="162" t="s">
        <v>749</v>
      </c>
      <c r="L447" s="166"/>
      <c r="M447" s="166"/>
      <c r="N447" s="164"/>
      <c r="O447" s="166"/>
      <c r="P447" s="165"/>
    </row>
    <row r="448" spans="1:16" ht="15" hidden="1" customHeight="1" x14ac:dyDescent="0.25">
      <c r="A448" s="167"/>
      <c r="B448" s="167"/>
      <c r="C448" s="167"/>
      <c r="D448" s="167"/>
      <c r="E448" s="167"/>
      <c r="F448" s="167"/>
      <c r="G448" s="167"/>
      <c r="H448" s="167"/>
      <c r="I448" s="164">
        <f t="shared" ca="1" si="7"/>
        <v>44939</v>
      </c>
      <c r="J448" s="163">
        <v>0.33333333333333331</v>
      </c>
      <c r="K448" s="162" t="s">
        <v>749</v>
      </c>
      <c r="L448" s="166"/>
      <c r="M448" s="166"/>
      <c r="N448" s="164"/>
      <c r="O448" s="166"/>
      <c r="P448" s="165"/>
    </row>
    <row r="449" spans="1:16" ht="15" hidden="1" customHeight="1" x14ac:dyDescent="0.25">
      <c r="A449" s="167"/>
      <c r="B449" s="167"/>
      <c r="C449" s="167"/>
      <c r="D449" s="167"/>
      <c r="E449" s="167"/>
      <c r="F449" s="167"/>
      <c r="G449" s="167"/>
      <c r="H449" s="167"/>
      <c r="I449" s="164">
        <f t="shared" ca="1" si="7"/>
        <v>44939</v>
      </c>
      <c r="J449" s="163">
        <v>0.33333333333333331</v>
      </c>
      <c r="K449" s="162" t="s">
        <v>749</v>
      </c>
      <c r="L449" s="166"/>
      <c r="M449" s="166"/>
      <c r="N449" s="164"/>
      <c r="O449" s="166"/>
      <c r="P449" s="165"/>
    </row>
    <row r="450" spans="1:16" ht="15" hidden="1" customHeight="1" x14ac:dyDescent="0.25">
      <c r="A450" s="167"/>
      <c r="B450" s="167"/>
      <c r="C450" s="167"/>
      <c r="D450" s="167"/>
      <c r="E450" s="167"/>
      <c r="F450" s="167"/>
      <c r="G450" s="167"/>
      <c r="H450" s="167"/>
      <c r="I450" s="164">
        <f t="shared" ca="1" si="7"/>
        <v>44939</v>
      </c>
      <c r="J450" s="163">
        <v>0.33333333333333331</v>
      </c>
      <c r="K450" s="162" t="s">
        <v>749</v>
      </c>
      <c r="L450" s="166"/>
      <c r="M450" s="166"/>
      <c r="N450" s="164"/>
      <c r="O450" s="166"/>
      <c r="P450" s="165"/>
    </row>
    <row r="451" spans="1:16" ht="15" hidden="1" customHeight="1" x14ac:dyDescent="0.25">
      <c r="A451" s="167"/>
      <c r="B451" s="167"/>
      <c r="C451" s="167"/>
      <c r="D451" s="167"/>
      <c r="E451" s="167"/>
      <c r="F451" s="167"/>
      <c r="G451" s="167"/>
      <c r="H451" s="167"/>
      <c r="I451" s="164">
        <f t="shared" ca="1" si="7"/>
        <v>44939</v>
      </c>
      <c r="J451" s="163">
        <v>0.33333333333333331</v>
      </c>
      <c r="K451" s="162" t="s">
        <v>749</v>
      </c>
      <c r="L451" s="166"/>
      <c r="M451" s="166"/>
      <c r="N451" s="164"/>
      <c r="O451" s="166"/>
      <c r="P451" s="165"/>
    </row>
    <row r="452" spans="1:16" ht="15" hidden="1" customHeight="1" x14ac:dyDescent="0.25">
      <c r="A452" s="167"/>
      <c r="B452" s="167"/>
      <c r="C452" s="167"/>
      <c r="D452" s="167"/>
      <c r="E452" s="167"/>
      <c r="F452" s="167"/>
      <c r="G452" s="167"/>
      <c r="H452" s="167"/>
      <c r="I452" s="164">
        <f t="shared" ca="1" si="7"/>
        <v>44939</v>
      </c>
      <c r="J452" s="163">
        <v>0.33333333333333331</v>
      </c>
      <c r="K452" s="162" t="s">
        <v>749</v>
      </c>
      <c r="L452" s="166"/>
      <c r="M452" s="166"/>
      <c r="N452" s="164"/>
      <c r="O452" s="166"/>
      <c r="P452" s="165"/>
    </row>
    <row r="453" spans="1:16" ht="15" hidden="1" customHeight="1" x14ac:dyDescent="0.25">
      <c r="A453" s="167"/>
      <c r="B453" s="167"/>
      <c r="C453" s="167"/>
      <c r="D453" s="167"/>
      <c r="E453" s="167"/>
      <c r="F453" s="167"/>
      <c r="G453" s="167"/>
      <c r="H453" s="167"/>
      <c r="I453" s="164">
        <f t="shared" ca="1" si="7"/>
        <v>44939</v>
      </c>
      <c r="J453" s="163">
        <v>0.33333333333333331</v>
      </c>
      <c r="K453" s="162" t="s">
        <v>749</v>
      </c>
      <c r="L453" s="166"/>
      <c r="M453" s="166"/>
      <c r="N453" s="164"/>
      <c r="O453" s="166"/>
      <c r="P453" s="165"/>
    </row>
    <row r="454" spans="1:16" ht="15" hidden="1" customHeight="1" x14ac:dyDescent="0.25">
      <c r="A454" s="168"/>
      <c r="B454" s="167"/>
      <c r="C454" s="168"/>
      <c r="D454" s="167"/>
      <c r="E454" s="167"/>
      <c r="F454" s="167"/>
      <c r="G454" s="167"/>
      <c r="H454" s="167"/>
      <c r="I454" s="164">
        <f t="shared" ca="1" si="7"/>
        <v>44939</v>
      </c>
      <c r="J454" s="163">
        <v>0.33333333333333331</v>
      </c>
      <c r="K454" s="162" t="s">
        <v>749</v>
      </c>
      <c r="L454" s="166"/>
      <c r="M454" s="166"/>
      <c r="N454" s="164"/>
      <c r="O454" s="166"/>
      <c r="P454" s="165"/>
    </row>
    <row r="455" spans="1:16" ht="15" hidden="1" customHeight="1" x14ac:dyDescent="0.25">
      <c r="A455" s="168"/>
      <c r="B455" s="167"/>
      <c r="C455" s="168"/>
      <c r="D455" s="167"/>
      <c r="E455" s="167"/>
      <c r="F455" s="167"/>
      <c r="G455" s="167"/>
      <c r="H455" s="167"/>
      <c r="I455" s="164">
        <f t="shared" ca="1" si="7"/>
        <v>44939</v>
      </c>
      <c r="J455" s="163">
        <v>0.33333333333333331</v>
      </c>
      <c r="K455" s="162" t="s">
        <v>749</v>
      </c>
      <c r="L455" s="166"/>
      <c r="M455" s="166"/>
      <c r="N455" s="164"/>
      <c r="O455" s="166"/>
      <c r="P455" s="165"/>
    </row>
    <row r="456" spans="1:16" ht="15" hidden="1" customHeight="1" x14ac:dyDescent="0.25">
      <c r="A456" s="167"/>
      <c r="B456" s="167"/>
      <c r="C456" s="167"/>
      <c r="D456" s="167"/>
      <c r="E456" s="167"/>
      <c r="F456" s="167"/>
      <c r="G456" s="167"/>
      <c r="H456" s="167"/>
      <c r="I456" s="164">
        <f t="shared" ca="1" si="7"/>
        <v>44939</v>
      </c>
      <c r="J456" s="163">
        <v>0.33333333333333331</v>
      </c>
      <c r="K456" s="162" t="s">
        <v>749</v>
      </c>
      <c r="L456" s="166"/>
      <c r="M456" s="166"/>
      <c r="N456" s="164"/>
      <c r="O456" s="166"/>
      <c r="P456" s="165"/>
    </row>
    <row r="457" spans="1:16" ht="15" hidden="1" customHeight="1" x14ac:dyDescent="0.25">
      <c r="A457" s="167"/>
      <c r="B457" s="167"/>
      <c r="C457" s="167"/>
      <c r="D457" s="167"/>
      <c r="E457" s="167"/>
      <c r="F457" s="167"/>
      <c r="G457" s="167"/>
      <c r="H457" s="167"/>
      <c r="I457" s="164">
        <f t="shared" ca="1" si="7"/>
        <v>44939</v>
      </c>
      <c r="J457" s="163">
        <v>0.33333333333333331</v>
      </c>
      <c r="K457" s="162" t="s">
        <v>749</v>
      </c>
      <c r="L457" s="166"/>
      <c r="M457" s="166"/>
      <c r="N457" s="164"/>
      <c r="O457" s="166"/>
      <c r="P457" s="165"/>
    </row>
    <row r="458" spans="1:16" ht="15" hidden="1" customHeight="1" x14ac:dyDescent="0.25">
      <c r="A458" s="167"/>
      <c r="B458" s="167"/>
      <c r="C458" s="167"/>
      <c r="D458" s="167"/>
      <c r="E458" s="167"/>
      <c r="F458" s="167"/>
      <c r="G458" s="167"/>
      <c r="H458" s="167"/>
      <c r="I458" s="164">
        <f t="shared" ca="1" si="7"/>
        <v>44939</v>
      </c>
      <c r="J458" s="163">
        <v>0.33333333333333331</v>
      </c>
      <c r="K458" s="162" t="s">
        <v>749</v>
      </c>
      <c r="L458" s="166"/>
      <c r="M458" s="166"/>
      <c r="N458" s="164"/>
      <c r="O458" s="166"/>
      <c r="P458" s="165"/>
    </row>
    <row r="459" spans="1:16" ht="15" hidden="1" customHeight="1" x14ac:dyDescent="0.25">
      <c r="A459" s="168"/>
      <c r="B459" s="167"/>
      <c r="C459" s="168"/>
      <c r="D459" s="167"/>
      <c r="E459" s="167"/>
      <c r="F459" s="167"/>
      <c r="G459" s="167"/>
      <c r="H459" s="167"/>
      <c r="I459" s="164">
        <f t="shared" ca="1" si="7"/>
        <v>44939</v>
      </c>
      <c r="J459" s="163">
        <v>0.33333333333333331</v>
      </c>
      <c r="K459" s="162" t="s">
        <v>749</v>
      </c>
      <c r="L459" s="166"/>
      <c r="M459" s="166"/>
      <c r="N459" s="164"/>
      <c r="O459" s="166"/>
      <c r="P459" s="165"/>
    </row>
    <row r="460" spans="1:16" ht="15" hidden="1" customHeight="1" x14ac:dyDescent="0.25">
      <c r="A460" s="168"/>
      <c r="B460" s="167"/>
      <c r="C460" s="168"/>
      <c r="D460" s="167"/>
      <c r="E460" s="167"/>
      <c r="F460" s="167"/>
      <c r="G460" s="167"/>
      <c r="H460" s="167"/>
      <c r="I460" s="164">
        <f t="shared" ca="1" si="7"/>
        <v>44939</v>
      </c>
      <c r="J460" s="163">
        <v>0.33333333333333331</v>
      </c>
      <c r="K460" s="162" t="s">
        <v>749</v>
      </c>
      <c r="L460" s="166"/>
      <c r="M460" s="166"/>
      <c r="N460" s="164"/>
      <c r="O460" s="166"/>
      <c r="P460" s="165"/>
    </row>
    <row r="461" spans="1:16" ht="15" hidden="1" customHeight="1" x14ac:dyDescent="0.25">
      <c r="A461" s="168"/>
      <c r="B461" s="167"/>
      <c r="C461" s="168"/>
      <c r="D461" s="167"/>
      <c r="E461" s="167"/>
      <c r="F461" s="167"/>
      <c r="G461" s="167"/>
      <c r="H461" s="167"/>
      <c r="I461" s="164">
        <f t="shared" ca="1" si="7"/>
        <v>44939</v>
      </c>
      <c r="J461" s="163">
        <v>0.33333333333333331</v>
      </c>
      <c r="K461" s="162" t="s">
        <v>749</v>
      </c>
      <c r="L461" s="166"/>
      <c r="M461" s="166"/>
      <c r="N461" s="164"/>
      <c r="O461" s="166"/>
      <c r="P461" s="165"/>
    </row>
    <row r="462" spans="1:16" ht="15" hidden="1" customHeight="1" x14ac:dyDescent="0.25">
      <c r="A462" s="167"/>
      <c r="B462" s="167"/>
      <c r="C462" s="167"/>
      <c r="D462" s="167"/>
      <c r="E462" s="167"/>
      <c r="F462" s="167"/>
      <c r="G462" s="167"/>
      <c r="H462" s="167"/>
      <c r="I462" s="164">
        <f t="shared" ca="1" si="7"/>
        <v>44939</v>
      </c>
      <c r="J462" s="163">
        <v>0.33333333333333331</v>
      </c>
      <c r="K462" s="162" t="s">
        <v>749</v>
      </c>
      <c r="L462" s="166"/>
      <c r="M462" s="166"/>
      <c r="N462" s="164"/>
      <c r="O462" s="166"/>
      <c r="P462" s="165"/>
    </row>
    <row r="463" spans="1:16" ht="15" hidden="1" customHeight="1" x14ac:dyDescent="0.25">
      <c r="A463" s="168"/>
      <c r="B463" s="167"/>
      <c r="C463" s="168"/>
      <c r="D463" s="167"/>
      <c r="E463" s="167"/>
      <c r="F463" s="167"/>
      <c r="G463" s="167"/>
      <c r="H463" s="167"/>
      <c r="I463" s="164">
        <f t="shared" ca="1" si="7"/>
        <v>44939</v>
      </c>
      <c r="J463" s="163">
        <v>0.33333333333333331</v>
      </c>
      <c r="K463" s="162" t="s">
        <v>749</v>
      </c>
      <c r="L463" s="166"/>
      <c r="M463" s="166"/>
      <c r="N463" s="164"/>
      <c r="O463" s="166"/>
      <c r="P463" s="165"/>
    </row>
    <row r="464" spans="1:16" ht="15" hidden="1" customHeight="1" x14ac:dyDescent="0.25">
      <c r="A464" s="168"/>
      <c r="B464" s="167"/>
      <c r="C464" s="168"/>
      <c r="D464" s="167"/>
      <c r="E464" s="167"/>
      <c r="F464" s="167"/>
      <c r="G464" s="167"/>
      <c r="H464" s="167"/>
      <c r="I464" s="164">
        <f t="shared" ca="1" si="7"/>
        <v>44939</v>
      </c>
      <c r="J464" s="163">
        <v>0.33333333333333331</v>
      </c>
      <c r="K464" s="162" t="s">
        <v>749</v>
      </c>
      <c r="L464" s="166"/>
      <c r="M464" s="166"/>
      <c r="N464" s="164"/>
      <c r="O464" s="166"/>
      <c r="P464" s="165"/>
    </row>
    <row r="465" spans="1:16" ht="15" hidden="1" customHeight="1" x14ac:dyDescent="0.25">
      <c r="A465" s="168"/>
      <c r="B465" s="167"/>
      <c r="C465" s="168"/>
      <c r="D465" s="167"/>
      <c r="E465" s="167"/>
      <c r="F465" s="167"/>
      <c r="G465" s="167"/>
      <c r="H465" s="167"/>
      <c r="I465" s="164">
        <f t="shared" ca="1" si="7"/>
        <v>44939</v>
      </c>
      <c r="J465" s="163">
        <v>0.33333333333333331</v>
      </c>
      <c r="K465" s="162" t="s">
        <v>749</v>
      </c>
      <c r="L465" s="166"/>
      <c r="M465" s="166"/>
      <c r="N465" s="164"/>
      <c r="O465" s="166"/>
      <c r="P465" s="165"/>
    </row>
    <row r="466" spans="1:16" ht="15" hidden="1" customHeight="1" x14ac:dyDescent="0.25">
      <c r="A466" s="168"/>
      <c r="B466" s="167"/>
      <c r="C466" s="168"/>
      <c r="D466" s="167"/>
      <c r="E466" s="167"/>
      <c r="F466" s="167"/>
      <c r="G466" s="167"/>
      <c r="H466" s="167"/>
      <c r="I466" s="164">
        <f t="shared" ca="1" si="7"/>
        <v>44939</v>
      </c>
      <c r="J466" s="163">
        <v>0.33333333333333331</v>
      </c>
      <c r="K466" s="162" t="s">
        <v>749</v>
      </c>
      <c r="L466" s="166"/>
      <c r="M466" s="166"/>
      <c r="N466" s="164"/>
      <c r="O466" s="166"/>
      <c r="P466" s="165"/>
    </row>
    <row r="467" spans="1:16" ht="15" hidden="1" customHeight="1" x14ac:dyDescent="0.25">
      <c r="A467" s="167"/>
      <c r="B467" s="167"/>
      <c r="C467" s="167"/>
      <c r="D467" s="167"/>
      <c r="E467" s="167"/>
      <c r="F467" s="167"/>
      <c r="G467" s="167"/>
      <c r="H467" s="167"/>
      <c r="I467" s="164">
        <f t="shared" ca="1" si="7"/>
        <v>44939</v>
      </c>
      <c r="J467" s="163">
        <v>0.33333333333333331</v>
      </c>
      <c r="K467" s="162" t="s">
        <v>749</v>
      </c>
      <c r="L467" s="166"/>
      <c r="M467" s="166"/>
      <c r="N467" s="164"/>
      <c r="O467" s="166"/>
      <c r="P467" s="165"/>
    </row>
    <row r="468" spans="1:16" ht="15" hidden="1" customHeight="1" x14ac:dyDescent="0.25">
      <c r="A468" s="167"/>
      <c r="B468" s="167"/>
      <c r="C468" s="167"/>
      <c r="D468" s="167"/>
      <c r="E468" s="167"/>
      <c r="F468" s="167"/>
      <c r="G468" s="167"/>
      <c r="H468" s="167"/>
      <c r="I468" s="164">
        <f t="shared" ca="1" si="7"/>
        <v>44939</v>
      </c>
      <c r="J468" s="163">
        <v>0.33333333333333331</v>
      </c>
      <c r="K468" s="162" t="s">
        <v>749</v>
      </c>
      <c r="L468" s="166"/>
      <c r="M468" s="166"/>
      <c r="N468" s="164"/>
      <c r="O468" s="166"/>
      <c r="P468" s="165"/>
    </row>
    <row r="469" spans="1:16" ht="15" hidden="1" customHeight="1" x14ac:dyDescent="0.25">
      <c r="A469" s="168"/>
      <c r="B469" s="167"/>
      <c r="C469" s="168"/>
      <c r="D469" s="167"/>
      <c r="E469" s="167"/>
      <c r="F469" s="167"/>
      <c r="G469" s="167"/>
      <c r="H469" s="167"/>
      <c r="I469" s="164">
        <f t="shared" ca="1" si="7"/>
        <v>44939</v>
      </c>
      <c r="J469" s="163">
        <v>0.33333333333333331</v>
      </c>
      <c r="K469" s="162" t="s">
        <v>749</v>
      </c>
      <c r="L469" s="166"/>
      <c r="M469" s="166"/>
      <c r="N469" s="164"/>
      <c r="O469" s="166"/>
      <c r="P469" s="165"/>
    </row>
    <row r="470" spans="1:16" ht="15" hidden="1" customHeight="1" x14ac:dyDescent="0.25">
      <c r="A470" s="168"/>
      <c r="B470" s="167"/>
      <c r="C470" s="168"/>
      <c r="D470" s="167"/>
      <c r="E470" s="167"/>
      <c r="F470" s="167"/>
      <c r="G470" s="167"/>
      <c r="H470" s="167"/>
      <c r="I470" s="164">
        <f t="shared" ca="1" si="7"/>
        <v>44939</v>
      </c>
      <c r="J470" s="163">
        <v>0.33333333333333331</v>
      </c>
      <c r="K470" s="162" t="s">
        <v>749</v>
      </c>
      <c r="L470" s="166"/>
      <c r="M470" s="166"/>
      <c r="N470" s="164"/>
      <c r="O470" s="166"/>
      <c r="P470" s="165"/>
    </row>
    <row r="471" spans="1:16" ht="15" hidden="1" customHeight="1" x14ac:dyDescent="0.25">
      <c r="A471" s="168"/>
      <c r="B471" s="167"/>
      <c r="C471" s="168"/>
      <c r="D471" s="167"/>
      <c r="E471" s="167"/>
      <c r="F471" s="167"/>
      <c r="G471" s="167"/>
      <c r="H471" s="167"/>
      <c r="I471" s="164">
        <f t="shared" ca="1" si="7"/>
        <v>44939</v>
      </c>
      <c r="J471" s="163">
        <v>0.33333333333333331</v>
      </c>
      <c r="K471" s="162" t="s">
        <v>749</v>
      </c>
      <c r="L471" s="166"/>
      <c r="M471" s="166"/>
      <c r="N471" s="164"/>
      <c r="O471" s="166"/>
      <c r="P471" s="165"/>
    </row>
    <row r="472" spans="1:16" ht="15" hidden="1" customHeight="1" x14ac:dyDescent="0.25">
      <c r="A472" s="167"/>
      <c r="B472" s="167"/>
      <c r="C472" s="167"/>
      <c r="D472" s="167"/>
      <c r="E472" s="167"/>
      <c r="F472" s="167"/>
      <c r="G472" s="167"/>
      <c r="H472" s="167"/>
      <c r="I472" s="164">
        <f t="shared" ref="I472:I535" ca="1" si="8">TODAY()</f>
        <v>44939</v>
      </c>
      <c r="J472" s="163">
        <v>0.33333333333333331</v>
      </c>
      <c r="K472" s="162" t="s">
        <v>749</v>
      </c>
      <c r="L472" s="166"/>
      <c r="M472" s="166"/>
      <c r="N472" s="164"/>
      <c r="O472" s="166"/>
      <c r="P472" s="165"/>
    </row>
    <row r="473" spans="1:16" ht="15" hidden="1" customHeight="1" x14ac:dyDescent="0.25">
      <c r="A473" s="167"/>
      <c r="B473" s="167"/>
      <c r="C473" s="167"/>
      <c r="D473" s="167"/>
      <c r="E473" s="167"/>
      <c r="F473" s="167"/>
      <c r="G473" s="167"/>
      <c r="H473" s="167"/>
      <c r="I473" s="164">
        <f t="shared" ca="1" si="8"/>
        <v>44939</v>
      </c>
      <c r="J473" s="163">
        <v>0.33333333333333331</v>
      </c>
      <c r="K473" s="162" t="s">
        <v>749</v>
      </c>
      <c r="L473" s="166"/>
      <c r="M473" s="166"/>
      <c r="N473" s="164"/>
      <c r="O473" s="166"/>
      <c r="P473" s="165"/>
    </row>
    <row r="474" spans="1:16" ht="15" hidden="1" customHeight="1" x14ac:dyDescent="0.25">
      <c r="A474" s="168"/>
      <c r="B474" s="167"/>
      <c r="C474" s="168"/>
      <c r="D474" s="167"/>
      <c r="E474" s="167"/>
      <c r="F474" s="167"/>
      <c r="G474" s="167"/>
      <c r="H474" s="167"/>
      <c r="I474" s="164">
        <f t="shared" ca="1" si="8"/>
        <v>44939</v>
      </c>
      <c r="J474" s="163">
        <v>0.33333333333333331</v>
      </c>
      <c r="K474" s="162" t="s">
        <v>749</v>
      </c>
      <c r="L474" s="166"/>
      <c r="M474" s="166"/>
      <c r="N474" s="164"/>
      <c r="O474" s="166"/>
      <c r="P474" s="165"/>
    </row>
    <row r="475" spans="1:16" ht="15" hidden="1" customHeight="1" x14ac:dyDescent="0.25">
      <c r="A475" s="168"/>
      <c r="B475" s="167"/>
      <c r="C475" s="168"/>
      <c r="D475" s="167"/>
      <c r="E475" s="167"/>
      <c r="F475" s="167"/>
      <c r="G475" s="167"/>
      <c r="H475" s="167"/>
      <c r="I475" s="164">
        <f t="shared" ca="1" si="8"/>
        <v>44939</v>
      </c>
      <c r="J475" s="163">
        <v>0.33333333333333331</v>
      </c>
      <c r="K475" s="162" t="s">
        <v>749</v>
      </c>
      <c r="L475" s="166"/>
      <c r="M475" s="166"/>
      <c r="N475" s="164"/>
      <c r="O475" s="166"/>
      <c r="P475" s="165"/>
    </row>
    <row r="476" spans="1:16" ht="15" hidden="1" customHeight="1" x14ac:dyDescent="0.25">
      <c r="A476" s="168"/>
      <c r="B476" s="167"/>
      <c r="C476" s="168"/>
      <c r="D476" s="167"/>
      <c r="E476" s="167"/>
      <c r="F476" s="167"/>
      <c r="G476" s="167"/>
      <c r="H476" s="167"/>
      <c r="I476" s="164">
        <f t="shared" ca="1" si="8"/>
        <v>44939</v>
      </c>
      <c r="J476" s="163">
        <v>0.33333333333333331</v>
      </c>
      <c r="K476" s="162" t="s">
        <v>749</v>
      </c>
      <c r="L476" s="166"/>
      <c r="M476" s="166"/>
      <c r="N476" s="164"/>
      <c r="O476" s="166"/>
      <c r="P476" s="165"/>
    </row>
    <row r="477" spans="1:16" ht="15" hidden="1" customHeight="1" x14ac:dyDescent="0.25">
      <c r="A477" s="168"/>
      <c r="B477" s="167"/>
      <c r="C477" s="168"/>
      <c r="D477" s="167"/>
      <c r="E477" s="167"/>
      <c r="F477" s="167"/>
      <c r="G477" s="167"/>
      <c r="H477" s="167"/>
      <c r="I477" s="164">
        <f t="shared" ca="1" si="8"/>
        <v>44939</v>
      </c>
      <c r="J477" s="163">
        <v>0.33333333333333331</v>
      </c>
      <c r="K477" s="162" t="s">
        <v>749</v>
      </c>
      <c r="L477" s="166"/>
      <c r="M477" s="166"/>
      <c r="N477" s="164"/>
      <c r="O477" s="166"/>
      <c r="P477" s="165"/>
    </row>
    <row r="478" spans="1:16" ht="15" hidden="1" customHeight="1" x14ac:dyDescent="0.25">
      <c r="A478" s="168"/>
      <c r="B478" s="167"/>
      <c r="C478" s="168"/>
      <c r="D478" s="167"/>
      <c r="E478" s="167"/>
      <c r="F478" s="167"/>
      <c r="G478" s="167"/>
      <c r="H478" s="167"/>
      <c r="I478" s="164">
        <f t="shared" ca="1" si="8"/>
        <v>44939</v>
      </c>
      <c r="J478" s="163">
        <v>0.33333333333333331</v>
      </c>
      <c r="K478" s="162" t="s">
        <v>749</v>
      </c>
      <c r="L478" s="166"/>
      <c r="M478" s="166"/>
      <c r="N478" s="164"/>
      <c r="O478" s="166"/>
      <c r="P478" s="165"/>
    </row>
    <row r="479" spans="1:16" ht="15" hidden="1" customHeight="1" x14ac:dyDescent="0.25">
      <c r="A479" s="167"/>
      <c r="B479" s="167"/>
      <c r="C479" s="167"/>
      <c r="D479" s="167"/>
      <c r="E479" s="167"/>
      <c r="F479" s="167"/>
      <c r="G479" s="167"/>
      <c r="H479" s="167"/>
      <c r="I479" s="164">
        <f t="shared" ca="1" si="8"/>
        <v>44939</v>
      </c>
      <c r="J479" s="163">
        <v>0.33333333333333331</v>
      </c>
      <c r="K479" s="162" t="s">
        <v>749</v>
      </c>
      <c r="L479" s="166"/>
      <c r="M479" s="166"/>
      <c r="N479" s="164"/>
      <c r="O479" s="166"/>
      <c r="P479" s="165"/>
    </row>
    <row r="480" spans="1:16" ht="15" hidden="1" customHeight="1" x14ac:dyDescent="0.25">
      <c r="A480" s="167"/>
      <c r="B480" s="167"/>
      <c r="C480" s="167"/>
      <c r="D480" s="167"/>
      <c r="E480" s="167"/>
      <c r="F480" s="167"/>
      <c r="G480" s="167"/>
      <c r="H480" s="167"/>
      <c r="I480" s="164">
        <f t="shared" ca="1" si="8"/>
        <v>44939</v>
      </c>
      <c r="J480" s="163">
        <v>0.33333333333333331</v>
      </c>
      <c r="K480" s="162" t="s">
        <v>749</v>
      </c>
      <c r="L480" s="166"/>
      <c r="M480" s="166"/>
      <c r="N480" s="164"/>
      <c r="O480" s="166"/>
      <c r="P480" s="165"/>
    </row>
    <row r="481" spans="1:16" ht="15" hidden="1" customHeight="1" x14ac:dyDescent="0.25">
      <c r="A481" s="168"/>
      <c r="B481" s="167"/>
      <c r="C481" s="168"/>
      <c r="D481" s="167"/>
      <c r="E481" s="167"/>
      <c r="F481" s="167"/>
      <c r="G481" s="167"/>
      <c r="H481" s="167"/>
      <c r="I481" s="164">
        <f t="shared" ca="1" si="8"/>
        <v>44939</v>
      </c>
      <c r="J481" s="163">
        <v>0.33333333333333331</v>
      </c>
      <c r="K481" s="162" t="s">
        <v>749</v>
      </c>
      <c r="L481" s="166"/>
      <c r="M481" s="166"/>
      <c r="N481" s="164"/>
      <c r="O481" s="166"/>
      <c r="P481" s="165"/>
    </row>
    <row r="482" spans="1:16" ht="15" hidden="1" customHeight="1" x14ac:dyDescent="0.25">
      <c r="A482" s="168"/>
      <c r="B482" s="167"/>
      <c r="C482" s="168"/>
      <c r="D482" s="167"/>
      <c r="E482" s="167"/>
      <c r="F482" s="167"/>
      <c r="G482" s="167"/>
      <c r="H482" s="167"/>
      <c r="I482" s="164">
        <f t="shared" ca="1" si="8"/>
        <v>44939</v>
      </c>
      <c r="J482" s="163">
        <v>0.33333333333333331</v>
      </c>
      <c r="K482" s="162" t="s">
        <v>749</v>
      </c>
      <c r="L482" s="166"/>
      <c r="M482" s="166"/>
      <c r="N482" s="164"/>
      <c r="O482" s="166"/>
      <c r="P482" s="165"/>
    </row>
    <row r="483" spans="1:16" ht="15" hidden="1" customHeight="1" x14ac:dyDescent="0.25">
      <c r="A483" s="168"/>
      <c r="B483" s="167"/>
      <c r="C483" s="168"/>
      <c r="D483" s="167"/>
      <c r="E483" s="167"/>
      <c r="F483" s="167"/>
      <c r="G483" s="167"/>
      <c r="H483" s="167"/>
      <c r="I483" s="164">
        <f t="shared" ca="1" si="8"/>
        <v>44939</v>
      </c>
      <c r="J483" s="163">
        <v>0.33333333333333331</v>
      </c>
      <c r="K483" s="162" t="s">
        <v>749</v>
      </c>
      <c r="L483" s="166"/>
      <c r="M483" s="166"/>
      <c r="N483" s="164"/>
      <c r="O483" s="166"/>
      <c r="P483" s="165"/>
    </row>
    <row r="484" spans="1:16" ht="15" hidden="1" customHeight="1" x14ac:dyDescent="0.25">
      <c r="A484" s="167"/>
      <c r="B484" s="167"/>
      <c r="C484" s="167"/>
      <c r="D484" s="167"/>
      <c r="E484" s="167"/>
      <c r="F484" s="167"/>
      <c r="G484" s="167"/>
      <c r="H484" s="167"/>
      <c r="I484" s="164">
        <f t="shared" ca="1" si="8"/>
        <v>44939</v>
      </c>
      <c r="J484" s="163">
        <v>0.33333333333333331</v>
      </c>
      <c r="K484" s="162" t="s">
        <v>749</v>
      </c>
      <c r="L484" s="166"/>
      <c r="M484" s="166"/>
      <c r="N484" s="164"/>
      <c r="O484" s="166"/>
      <c r="P484" s="165"/>
    </row>
    <row r="485" spans="1:16" ht="15" hidden="1" customHeight="1" x14ac:dyDescent="0.25">
      <c r="A485" s="167"/>
      <c r="B485" s="167"/>
      <c r="C485" s="168"/>
      <c r="D485" s="167"/>
      <c r="E485" s="167"/>
      <c r="F485" s="167"/>
      <c r="G485" s="167"/>
      <c r="H485" s="167"/>
      <c r="I485" s="164">
        <f t="shared" ca="1" si="8"/>
        <v>44939</v>
      </c>
      <c r="J485" s="163">
        <v>0.33333333333333331</v>
      </c>
      <c r="K485" s="162" t="s">
        <v>749</v>
      </c>
      <c r="L485" s="166"/>
      <c r="M485" s="166"/>
      <c r="N485" s="164"/>
      <c r="O485" s="166"/>
      <c r="P485" s="165"/>
    </row>
    <row r="486" spans="1:16" ht="15" hidden="1" customHeight="1" x14ac:dyDescent="0.25">
      <c r="A486" s="168"/>
      <c r="B486" s="167"/>
      <c r="C486" s="168"/>
      <c r="D486" s="167"/>
      <c r="E486" s="167"/>
      <c r="F486" s="167"/>
      <c r="G486" s="167"/>
      <c r="H486" s="167"/>
      <c r="I486" s="164">
        <f t="shared" ca="1" si="8"/>
        <v>44939</v>
      </c>
      <c r="J486" s="163">
        <v>0.33333333333333331</v>
      </c>
      <c r="K486" s="162" t="s">
        <v>749</v>
      </c>
      <c r="L486" s="166"/>
      <c r="M486" s="166"/>
      <c r="N486" s="164"/>
      <c r="O486" s="166"/>
      <c r="P486" s="165"/>
    </row>
    <row r="487" spans="1:16" ht="15" hidden="1" customHeight="1" x14ac:dyDescent="0.25">
      <c r="A487" s="168"/>
      <c r="B487" s="167"/>
      <c r="C487" s="168"/>
      <c r="D487" s="167"/>
      <c r="E487" s="167"/>
      <c r="F487" s="167"/>
      <c r="G487" s="167"/>
      <c r="H487" s="167"/>
      <c r="I487" s="164">
        <f t="shared" ca="1" si="8"/>
        <v>44939</v>
      </c>
      <c r="J487" s="163">
        <v>0.33333333333333331</v>
      </c>
      <c r="K487" s="162" t="s">
        <v>749</v>
      </c>
      <c r="L487" s="166"/>
      <c r="M487" s="166"/>
      <c r="N487" s="164"/>
      <c r="O487" s="166"/>
      <c r="P487" s="165"/>
    </row>
    <row r="488" spans="1:16" ht="15" hidden="1" customHeight="1" x14ac:dyDescent="0.25">
      <c r="A488" s="168"/>
      <c r="B488" s="167"/>
      <c r="C488" s="168"/>
      <c r="D488" s="167"/>
      <c r="E488" s="167"/>
      <c r="F488" s="167"/>
      <c r="G488" s="167"/>
      <c r="H488" s="167"/>
      <c r="I488" s="164">
        <f t="shared" ca="1" si="8"/>
        <v>44939</v>
      </c>
      <c r="J488" s="163">
        <v>0.33333333333333331</v>
      </c>
      <c r="K488" s="162" t="s">
        <v>749</v>
      </c>
      <c r="L488" s="166"/>
      <c r="M488" s="166"/>
      <c r="N488" s="164"/>
      <c r="O488" s="166"/>
      <c r="P488" s="165"/>
    </row>
    <row r="489" spans="1:16" ht="15" hidden="1" customHeight="1" x14ac:dyDescent="0.25">
      <c r="A489" s="168"/>
      <c r="B489" s="167"/>
      <c r="C489" s="168"/>
      <c r="D489" s="167"/>
      <c r="E489" s="167"/>
      <c r="F489" s="167"/>
      <c r="G489" s="167"/>
      <c r="H489" s="167"/>
      <c r="I489" s="164">
        <f t="shared" ca="1" si="8"/>
        <v>44939</v>
      </c>
      <c r="J489" s="163">
        <v>0.33333333333333331</v>
      </c>
      <c r="K489" s="162" t="s">
        <v>749</v>
      </c>
      <c r="L489" s="166"/>
      <c r="M489" s="166"/>
      <c r="N489" s="164"/>
      <c r="O489" s="166"/>
      <c r="P489" s="165"/>
    </row>
    <row r="490" spans="1:16" ht="15" hidden="1" customHeight="1" x14ac:dyDescent="0.25">
      <c r="A490" s="168"/>
      <c r="B490" s="167"/>
      <c r="C490" s="168"/>
      <c r="D490" s="167"/>
      <c r="E490" s="167"/>
      <c r="F490" s="167"/>
      <c r="G490" s="167"/>
      <c r="H490" s="167"/>
      <c r="I490" s="164">
        <f t="shared" ca="1" si="8"/>
        <v>44939</v>
      </c>
      <c r="J490" s="163">
        <v>0.33333333333333331</v>
      </c>
      <c r="K490" s="162" t="s">
        <v>749</v>
      </c>
      <c r="L490" s="166"/>
      <c r="M490" s="166"/>
      <c r="N490" s="164"/>
      <c r="O490" s="166"/>
      <c r="P490" s="165"/>
    </row>
    <row r="491" spans="1:16" ht="15" hidden="1" customHeight="1" x14ac:dyDescent="0.25">
      <c r="A491" s="168"/>
      <c r="B491" s="167"/>
      <c r="C491" s="168"/>
      <c r="D491" s="167"/>
      <c r="E491" s="167"/>
      <c r="F491" s="167"/>
      <c r="G491" s="167"/>
      <c r="H491" s="167"/>
      <c r="I491" s="164">
        <f t="shared" ca="1" si="8"/>
        <v>44939</v>
      </c>
      <c r="J491" s="163">
        <v>0.33333333333333331</v>
      </c>
      <c r="K491" s="162" t="s">
        <v>749</v>
      </c>
      <c r="L491" s="166"/>
      <c r="M491" s="166"/>
      <c r="N491" s="164"/>
      <c r="O491" s="166"/>
      <c r="P491" s="165"/>
    </row>
    <row r="492" spans="1:16" ht="15" hidden="1" customHeight="1" x14ac:dyDescent="0.25">
      <c r="A492" s="168"/>
      <c r="B492" s="167"/>
      <c r="C492" s="168"/>
      <c r="D492" s="167"/>
      <c r="E492" s="167"/>
      <c r="F492" s="167"/>
      <c r="G492" s="167"/>
      <c r="H492" s="167"/>
      <c r="I492" s="164">
        <f t="shared" ca="1" si="8"/>
        <v>44939</v>
      </c>
      <c r="J492" s="163">
        <v>0.33333333333333331</v>
      </c>
      <c r="K492" s="162" t="s">
        <v>749</v>
      </c>
      <c r="L492" s="166"/>
      <c r="M492" s="166"/>
      <c r="N492" s="164"/>
      <c r="O492" s="166"/>
      <c r="P492" s="165"/>
    </row>
    <row r="493" spans="1:16" ht="15" hidden="1" customHeight="1" x14ac:dyDescent="0.25">
      <c r="A493" s="168"/>
      <c r="B493" s="167"/>
      <c r="C493" s="168"/>
      <c r="D493" s="167"/>
      <c r="E493" s="167"/>
      <c r="F493" s="167"/>
      <c r="G493" s="167"/>
      <c r="H493" s="167"/>
      <c r="I493" s="164">
        <f t="shared" ca="1" si="8"/>
        <v>44939</v>
      </c>
      <c r="J493" s="163">
        <v>0.33333333333333331</v>
      </c>
      <c r="K493" s="162" t="s">
        <v>749</v>
      </c>
      <c r="L493" s="166"/>
      <c r="M493" s="166"/>
      <c r="N493" s="164"/>
      <c r="O493" s="166"/>
      <c r="P493" s="165"/>
    </row>
    <row r="494" spans="1:16" ht="15" hidden="1" customHeight="1" x14ac:dyDescent="0.25">
      <c r="A494" s="168"/>
      <c r="B494" s="167"/>
      <c r="C494" s="168"/>
      <c r="D494" s="167"/>
      <c r="E494" s="167"/>
      <c r="F494" s="167"/>
      <c r="G494" s="167"/>
      <c r="H494" s="167"/>
      <c r="I494" s="164">
        <f t="shared" ca="1" si="8"/>
        <v>44939</v>
      </c>
      <c r="J494" s="163">
        <v>0.33333333333333331</v>
      </c>
      <c r="K494" s="162" t="s">
        <v>749</v>
      </c>
      <c r="L494" s="166"/>
      <c r="M494" s="166"/>
      <c r="N494" s="164"/>
      <c r="O494" s="166"/>
      <c r="P494" s="165"/>
    </row>
    <row r="495" spans="1:16" ht="15" hidden="1" customHeight="1" x14ac:dyDescent="0.25">
      <c r="A495" s="167"/>
      <c r="B495" s="167"/>
      <c r="C495" s="167"/>
      <c r="D495" s="167"/>
      <c r="E495" s="167"/>
      <c r="F495" s="167"/>
      <c r="G495" s="167"/>
      <c r="H495" s="167"/>
      <c r="I495" s="164">
        <f t="shared" ca="1" si="8"/>
        <v>44939</v>
      </c>
      <c r="J495" s="163">
        <v>0.33333333333333331</v>
      </c>
      <c r="K495" s="162" t="s">
        <v>749</v>
      </c>
      <c r="L495" s="166"/>
      <c r="M495" s="166"/>
      <c r="N495" s="164"/>
      <c r="O495" s="166"/>
      <c r="P495" s="165"/>
    </row>
    <row r="496" spans="1:16" ht="15" hidden="1" customHeight="1" x14ac:dyDescent="0.25">
      <c r="A496" s="167"/>
      <c r="B496" s="167"/>
      <c r="C496" s="167"/>
      <c r="D496" s="167"/>
      <c r="E496" s="167"/>
      <c r="F496" s="167"/>
      <c r="G496" s="167"/>
      <c r="H496" s="167"/>
      <c r="I496" s="164">
        <f t="shared" ca="1" si="8"/>
        <v>44939</v>
      </c>
      <c r="J496" s="163">
        <v>0.33333333333333331</v>
      </c>
      <c r="K496" s="162" t="s">
        <v>749</v>
      </c>
      <c r="L496" s="166"/>
      <c r="M496" s="166"/>
      <c r="N496" s="164"/>
      <c r="O496" s="166"/>
      <c r="P496" s="165"/>
    </row>
    <row r="497" spans="1:16" ht="15" hidden="1" customHeight="1" x14ac:dyDescent="0.25">
      <c r="A497" s="167"/>
      <c r="B497" s="167"/>
      <c r="C497" s="167"/>
      <c r="D497" s="167"/>
      <c r="E497" s="167"/>
      <c r="F497" s="167"/>
      <c r="G497" s="167"/>
      <c r="H497" s="167"/>
      <c r="I497" s="164">
        <f t="shared" ca="1" si="8"/>
        <v>44939</v>
      </c>
      <c r="J497" s="163">
        <v>0.33333333333333331</v>
      </c>
      <c r="K497" s="162" t="s">
        <v>749</v>
      </c>
      <c r="L497" s="166"/>
      <c r="M497" s="166"/>
      <c r="N497" s="164"/>
      <c r="O497" s="166"/>
      <c r="P497" s="165"/>
    </row>
    <row r="498" spans="1:16" ht="15" hidden="1" customHeight="1" x14ac:dyDescent="0.25">
      <c r="A498" s="167"/>
      <c r="B498" s="167"/>
      <c r="C498" s="167"/>
      <c r="D498" s="167"/>
      <c r="E498" s="167"/>
      <c r="F498" s="167"/>
      <c r="G498" s="167"/>
      <c r="H498" s="167"/>
      <c r="I498" s="164">
        <f t="shared" ca="1" si="8"/>
        <v>44939</v>
      </c>
      <c r="J498" s="163">
        <v>0.33333333333333331</v>
      </c>
      <c r="K498" s="162" t="s">
        <v>749</v>
      </c>
      <c r="L498" s="166"/>
      <c r="M498" s="166"/>
      <c r="N498" s="164"/>
      <c r="O498" s="166"/>
      <c r="P498" s="165"/>
    </row>
    <row r="499" spans="1:16" ht="15" hidden="1" customHeight="1" x14ac:dyDescent="0.25">
      <c r="A499" s="167"/>
      <c r="B499" s="167"/>
      <c r="C499" s="167"/>
      <c r="D499" s="167"/>
      <c r="E499" s="167"/>
      <c r="F499" s="167"/>
      <c r="G499" s="167"/>
      <c r="H499" s="167"/>
      <c r="I499" s="164">
        <f t="shared" ca="1" si="8"/>
        <v>44939</v>
      </c>
      <c r="J499" s="163">
        <v>0.33333333333333331</v>
      </c>
      <c r="K499" s="162" t="s">
        <v>749</v>
      </c>
      <c r="L499" s="166"/>
      <c r="M499" s="166"/>
      <c r="N499" s="164"/>
      <c r="O499" s="166"/>
      <c r="P499" s="165"/>
    </row>
    <row r="500" spans="1:16" ht="15" hidden="1" customHeight="1" x14ac:dyDescent="0.25">
      <c r="A500" s="167"/>
      <c r="B500" s="167"/>
      <c r="C500" s="167"/>
      <c r="D500" s="167"/>
      <c r="E500" s="167"/>
      <c r="F500" s="167"/>
      <c r="G500" s="167"/>
      <c r="H500" s="167"/>
      <c r="I500" s="164">
        <f t="shared" ca="1" si="8"/>
        <v>44939</v>
      </c>
      <c r="J500" s="163">
        <v>0.33333333333333331</v>
      </c>
      <c r="K500" s="162" t="s">
        <v>749</v>
      </c>
      <c r="L500" s="166"/>
      <c r="M500" s="166"/>
      <c r="N500" s="164"/>
      <c r="O500" s="166"/>
      <c r="P500" s="165"/>
    </row>
    <row r="501" spans="1:16" ht="15" hidden="1" customHeight="1" x14ac:dyDescent="0.25">
      <c r="A501" s="168"/>
      <c r="B501" s="167"/>
      <c r="C501" s="168"/>
      <c r="D501" s="167"/>
      <c r="E501" s="167"/>
      <c r="F501" s="167"/>
      <c r="G501" s="167"/>
      <c r="H501" s="167"/>
      <c r="I501" s="164">
        <f t="shared" ca="1" si="8"/>
        <v>44939</v>
      </c>
      <c r="J501" s="163">
        <v>0.33333333333333331</v>
      </c>
      <c r="K501" s="162" t="s">
        <v>749</v>
      </c>
      <c r="L501" s="166"/>
      <c r="M501" s="166"/>
      <c r="N501" s="164"/>
      <c r="O501" s="166"/>
      <c r="P501" s="165"/>
    </row>
    <row r="502" spans="1:16" ht="15" hidden="1" customHeight="1" x14ac:dyDescent="0.25">
      <c r="A502" s="167"/>
      <c r="B502" s="167"/>
      <c r="C502" s="167"/>
      <c r="D502" s="167"/>
      <c r="E502" s="167"/>
      <c r="F502" s="167"/>
      <c r="G502" s="167"/>
      <c r="H502" s="167"/>
      <c r="I502" s="164">
        <f t="shared" ca="1" si="8"/>
        <v>44939</v>
      </c>
      <c r="J502" s="163">
        <v>0.33333333333333331</v>
      </c>
      <c r="K502" s="162" t="s">
        <v>749</v>
      </c>
      <c r="L502" s="166"/>
      <c r="M502" s="166"/>
      <c r="N502" s="164"/>
      <c r="O502" s="166"/>
      <c r="P502" s="165"/>
    </row>
    <row r="503" spans="1:16" ht="15" hidden="1" customHeight="1" x14ac:dyDescent="0.25">
      <c r="A503" s="167"/>
      <c r="B503" s="167"/>
      <c r="C503" s="167"/>
      <c r="D503" s="167"/>
      <c r="E503" s="167"/>
      <c r="F503" s="167"/>
      <c r="G503" s="167"/>
      <c r="H503" s="167"/>
      <c r="I503" s="164">
        <f t="shared" ca="1" si="8"/>
        <v>44939</v>
      </c>
      <c r="J503" s="163">
        <v>0.33333333333333331</v>
      </c>
      <c r="K503" s="162" t="s">
        <v>749</v>
      </c>
      <c r="L503" s="166"/>
      <c r="M503" s="166"/>
      <c r="N503" s="164"/>
      <c r="O503" s="166"/>
      <c r="P503" s="165"/>
    </row>
    <row r="504" spans="1:16" ht="15" hidden="1" customHeight="1" x14ac:dyDescent="0.25">
      <c r="A504" s="167"/>
      <c r="B504" s="167"/>
      <c r="C504" s="167"/>
      <c r="D504" s="167"/>
      <c r="E504" s="167"/>
      <c r="F504" s="167"/>
      <c r="G504" s="167"/>
      <c r="H504" s="167"/>
      <c r="I504" s="164">
        <f t="shared" ca="1" si="8"/>
        <v>44939</v>
      </c>
      <c r="J504" s="163">
        <v>0.33333333333333331</v>
      </c>
      <c r="K504" s="162" t="s">
        <v>749</v>
      </c>
      <c r="L504" s="166"/>
      <c r="M504" s="166"/>
      <c r="N504" s="164"/>
      <c r="O504" s="166"/>
      <c r="P504" s="165"/>
    </row>
    <row r="505" spans="1:16" ht="15" hidden="1" customHeight="1" x14ac:dyDescent="0.25">
      <c r="A505" s="167"/>
      <c r="B505" s="167"/>
      <c r="C505" s="167"/>
      <c r="D505" s="167"/>
      <c r="E505" s="167"/>
      <c r="F505" s="167"/>
      <c r="G505" s="167"/>
      <c r="H505" s="167"/>
      <c r="I505" s="164">
        <f t="shared" ca="1" si="8"/>
        <v>44939</v>
      </c>
      <c r="J505" s="163">
        <v>0.33333333333333331</v>
      </c>
      <c r="K505" s="162" t="s">
        <v>749</v>
      </c>
      <c r="L505" s="166"/>
      <c r="M505" s="166"/>
      <c r="N505" s="164"/>
      <c r="O505" s="166"/>
      <c r="P505" s="165"/>
    </row>
    <row r="506" spans="1:16" ht="15" hidden="1" customHeight="1" x14ac:dyDescent="0.25">
      <c r="A506" s="167"/>
      <c r="B506" s="167"/>
      <c r="C506" s="167"/>
      <c r="D506" s="167"/>
      <c r="E506" s="167"/>
      <c r="F506" s="167"/>
      <c r="G506" s="167"/>
      <c r="H506" s="167"/>
      <c r="I506" s="164">
        <f t="shared" ca="1" si="8"/>
        <v>44939</v>
      </c>
      <c r="J506" s="163">
        <v>0.33333333333333331</v>
      </c>
      <c r="K506" s="162" t="s">
        <v>749</v>
      </c>
      <c r="L506" s="166"/>
      <c r="M506" s="166"/>
      <c r="N506" s="164"/>
      <c r="O506" s="166"/>
      <c r="P506" s="165"/>
    </row>
    <row r="507" spans="1:16" ht="15" hidden="1" customHeight="1" x14ac:dyDescent="0.25">
      <c r="A507" s="167"/>
      <c r="B507" s="167"/>
      <c r="C507" s="167"/>
      <c r="D507" s="167"/>
      <c r="E507" s="167"/>
      <c r="F507" s="167"/>
      <c r="G507" s="167"/>
      <c r="H507" s="167"/>
      <c r="I507" s="164">
        <f t="shared" ca="1" si="8"/>
        <v>44939</v>
      </c>
      <c r="J507" s="163">
        <v>0.33333333333333331</v>
      </c>
      <c r="K507" s="162" t="s">
        <v>749</v>
      </c>
      <c r="L507" s="166"/>
      <c r="M507" s="166"/>
      <c r="N507" s="164"/>
      <c r="O507" s="166"/>
      <c r="P507" s="165"/>
    </row>
    <row r="508" spans="1:16" ht="15" hidden="1" customHeight="1" x14ac:dyDescent="0.25">
      <c r="A508" s="168"/>
      <c r="B508" s="167"/>
      <c r="C508" s="168"/>
      <c r="D508" s="167"/>
      <c r="E508" s="167"/>
      <c r="F508" s="167"/>
      <c r="G508" s="167"/>
      <c r="H508" s="167"/>
      <c r="I508" s="164">
        <f t="shared" ca="1" si="8"/>
        <v>44939</v>
      </c>
      <c r="J508" s="163">
        <v>0.33333333333333331</v>
      </c>
      <c r="K508" s="162" t="s">
        <v>749</v>
      </c>
      <c r="L508" s="166"/>
      <c r="M508" s="166"/>
      <c r="N508" s="164"/>
      <c r="O508" s="166"/>
      <c r="P508" s="165"/>
    </row>
    <row r="509" spans="1:16" ht="15" hidden="1" customHeight="1" x14ac:dyDescent="0.25">
      <c r="A509" s="168"/>
      <c r="B509" s="167"/>
      <c r="C509" s="168"/>
      <c r="D509" s="167"/>
      <c r="E509" s="167"/>
      <c r="F509" s="167"/>
      <c r="G509" s="167"/>
      <c r="H509" s="167"/>
      <c r="I509" s="164">
        <f t="shared" ca="1" si="8"/>
        <v>44939</v>
      </c>
      <c r="J509" s="163">
        <v>0.33333333333333331</v>
      </c>
      <c r="K509" s="162" t="s">
        <v>749</v>
      </c>
      <c r="L509" s="166"/>
      <c r="M509" s="166"/>
      <c r="N509" s="164"/>
      <c r="O509" s="166"/>
      <c r="P509" s="165"/>
    </row>
    <row r="510" spans="1:16" ht="15" hidden="1" customHeight="1" x14ac:dyDescent="0.25">
      <c r="A510" s="168"/>
      <c r="B510" s="167"/>
      <c r="C510" s="168"/>
      <c r="D510" s="167"/>
      <c r="E510" s="167"/>
      <c r="F510" s="167"/>
      <c r="G510" s="167"/>
      <c r="H510" s="167"/>
      <c r="I510" s="164">
        <f t="shared" ca="1" si="8"/>
        <v>44939</v>
      </c>
      <c r="J510" s="163">
        <v>0.33333333333333331</v>
      </c>
      <c r="K510" s="162" t="s">
        <v>749</v>
      </c>
      <c r="L510" s="166"/>
      <c r="M510" s="166"/>
      <c r="N510" s="164"/>
      <c r="O510" s="166"/>
      <c r="P510" s="165"/>
    </row>
    <row r="511" spans="1:16" ht="15" hidden="1" customHeight="1" x14ac:dyDescent="0.25">
      <c r="A511" s="168"/>
      <c r="B511" s="167"/>
      <c r="C511" s="168"/>
      <c r="D511" s="167"/>
      <c r="E511" s="167"/>
      <c r="F511" s="167"/>
      <c r="G511" s="167"/>
      <c r="H511" s="167"/>
      <c r="I511" s="164">
        <f t="shared" ca="1" si="8"/>
        <v>44939</v>
      </c>
      <c r="J511" s="163">
        <v>0.33333333333333331</v>
      </c>
      <c r="K511" s="162" t="s">
        <v>749</v>
      </c>
      <c r="L511" s="166"/>
      <c r="M511" s="166"/>
      <c r="N511" s="164"/>
      <c r="O511" s="166"/>
      <c r="P511" s="165"/>
    </row>
    <row r="512" spans="1:16" ht="15" hidden="1" customHeight="1" x14ac:dyDescent="0.25">
      <c r="A512" s="168"/>
      <c r="B512" s="167"/>
      <c r="C512" s="168"/>
      <c r="D512" s="167"/>
      <c r="E512" s="167"/>
      <c r="F512" s="167"/>
      <c r="G512" s="167"/>
      <c r="H512" s="167"/>
      <c r="I512" s="164">
        <f t="shared" ca="1" si="8"/>
        <v>44939</v>
      </c>
      <c r="J512" s="163">
        <v>0.33333333333333331</v>
      </c>
      <c r="K512" s="162" t="s">
        <v>749</v>
      </c>
      <c r="L512" s="166"/>
      <c r="M512" s="166"/>
      <c r="N512" s="164"/>
      <c r="O512" s="166"/>
      <c r="P512" s="165"/>
    </row>
    <row r="513" spans="1:16" ht="15" hidden="1" customHeight="1" x14ac:dyDescent="0.25">
      <c r="A513" s="168"/>
      <c r="B513" s="167"/>
      <c r="C513" s="168"/>
      <c r="D513" s="167"/>
      <c r="E513" s="167"/>
      <c r="F513" s="167"/>
      <c r="G513" s="167"/>
      <c r="H513" s="167"/>
      <c r="I513" s="164">
        <f t="shared" ca="1" si="8"/>
        <v>44939</v>
      </c>
      <c r="J513" s="163">
        <v>0.33333333333333331</v>
      </c>
      <c r="K513" s="162" t="s">
        <v>749</v>
      </c>
      <c r="L513" s="166"/>
      <c r="M513" s="166"/>
      <c r="N513" s="164"/>
      <c r="O513" s="166"/>
      <c r="P513" s="165"/>
    </row>
    <row r="514" spans="1:16" ht="15" hidden="1" customHeight="1" x14ac:dyDescent="0.25">
      <c r="A514" s="168"/>
      <c r="B514" s="167"/>
      <c r="C514" s="168"/>
      <c r="D514" s="167"/>
      <c r="E514" s="167"/>
      <c r="F514" s="167"/>
      <c r="G514" s="167"/>
      <c r="H514" s="167"/>
      <c r="I514" s="164">
        <f t="shared" ca="1" si="8"/>
        <v>44939</v>
      </c>
      <c r="J514" s="163">
        <v>0.33333333333333331</v>
      </c>
      <c r="K514" s="162" t="s">
        <v>749</v>
      </c>
      <c r="L514" s="166"/>
      <c r="M514" s="166"/>
      <c r="N514" s="164"/>
      <c r="O514" s="166"/>
      <c r="P514" s="165"/>
    </row>
    <row r="515" spans="1:16" ht="15" hidden="1" customHeight="1" x14ac:dyDescent="0.25">
      <c r="A515" s="168"/>
      <c r="B515" s="167"/>
      <c r="C515" s="168"/>
      <c r="D515" s="167"/>
      <c r="E515" s="167"/>
      <c r="F515" s="167"/>
      <c r="G515" s="167"/>
      <c r="H515" s="167"/>
      <c r="I515" s="164">
        <f t="shared" ca="1" si="8"/>
        <v>44939</v>
      </c>
      <c r="J515" s="163">
        <v>0.33333333333333331</v>
      </c>
      <c r="K515" s="162" t="s">
        <v>749</v>
      </c>
      <c r="L515" s="166"/>
      <c r="M515" s="166"/>
      <c r="N515" s="164"/>
      <c r="O515" s="166"/>
      <c r="P515" s="165"/>
    </row>
    <row r="516" spans="1:16" ht="15" hidden="1" customHeight="1" x14ac:dyDescent="0.25">
      <c r="A516" s="168"/>
      <c r="B516" s="167"/>
      <c r="C516" s="168"/>
      <c r="D516" s="167"/>
      <c r="E516" s="167"/>
      <c r="F516" s="167"/>
      <c r="G516" s="167"/>
      <c r="H516" s="167"/>
      <c r="I516" s="164">
        <f t="shared" ca="1" si="8"/>
        <v>44939</v>
      </c>
      <c r="J516" s="163">
        <v>0.33333333333333331</v>
      </c>
      <c r="K516" s="162" t="s">
        <v>749</v>
      </c>
      <c r="L516" s="166"/>
      <c r="M516" s="166"/>
      <c r="N516" s="164"/>
      <c r="O516" s="166"/>
      <c r="P516" s="165"/>
    </row>
    <row r="517" spans="1:16" ht="15" hidden="1" customHeight="1" x14ac:dyDescent="0.25">
      <c r="A517" s="168"/>
      <c r="B517" s="167"/>
      <c r="C517" s="168"/>
      <c r="D517" s="167"/>
      <c r="E517" s="167"/>
      <c r="F517" s="167"/>
      <c r="G517" s="167"/>
      <c r="H517" s="167"/>
      <c r="I517" s="164">
        <f t="shared" ca="1" si="8"/>
        <v>44939</v>
      </c>
      <c r="J517" s="163">
        <v>0.33333333333333331</v>
      </c>
      <c r="K517" s="162" t="s">
        <v>749</v>
      </c>
      <c r="L517" s="166"/>
      <c r="M517" s="166"/>
      <c r="N517" s="164"/>
      <c r="O517" s="166"/>
      <c r="P517" s="165"/>
    </row>
    <row r="518" spans="1:16" ht="15" hidden="1" customHeight="1" x14ac:dyDescent="0.25">
      <c r="A518" s="167"/>
      <c r="B518" s="167"/>
      <c r="C518" s="167"/>
      <c r="D518" s="167"/>
      <c r="E518" s="167"/>
      <c r="F518" s="167"/>
      <c r="G518" s="167"/>
      <c r="H518" s="167"/>
      <c r="I518" s="164">
        <f t="shared" ca="1" si="8"/>
        <v>44939</v>
      </c>
      <c r="J518" s="163">
        <v>0.33333333333333331</v>
      </c>
      <c r="K518" s="162" t="s">
        <v>749</v>
      </c>
      <c r="L518" s="166"/>
      <c r="M518" s="166"/>
      <c r="N518" s="164"/>
      <c r="O518" s="166"/>
      <c r="P518" s="165"/>
    </row>
    <row r="519" spans="1:16" ht="15" hidden="1" customHeight="1" x14ac:dyDescent="0.25">
      <c r="A519" s="167"/>
      <c r="B519" s="167"/>
      <c r="C519" s="167"/>
      <c r="D519" s="167"/>
      <c r="E519" s="167"/>
      <c r="F519" s="167"/>
      <c r="G519" s="167"/>
      <c r="H519" s="167"/>
      <c r="I519" s="164">
        <f t="shared" ca="1" si="8"/>
        <v>44939</v>
      </c>
      <c r="J519" s="163">
        <v>0.33333333333333331</v>
      </c>
      <c r="K519" s="162" t="s">
        <v>749</v>
      </c>
      <c r="L519" s="166"/>
      <c r="M519" s="166"/>
      <c r="N519" s="164"/>
      <c r="O519" s="166"/>
      <c r="P519" s="165"/>
    </row>
    <row r="520" spans="1:16" ht="15" hidden="1" customHeight="1" x14ac:dyDescent="0.25">
      <c r="A520" s="167"/>
      <c r="B520" s="167"/>
      <c r="C520" s="167"/>
      <c r="D520" s="167"/>
      <c r="E520" s="167"/>
      <c r="F520" s="167"/>
      <c r="G520" s="167"/>
      <c r="H520" s="167"/>
      <c r="I520" s="164">
        <f t="shared" ca="1" si="8"/>
        <v>44939</v>
      </c>
      <c r="J520" s="163">
        <v>0.33333333333333331</v>
      </c>
      <c r="K520" s="162" t="s">
        <v>749</v>
      </c>
      <c r="L520" s="166"/>
      <c r="M520" s="166"/>
      <c r="N520" s="164"/>
      <c r="O520" s="166"/>
      <c r="P520" s="165"/>
    </row>
    <row r="521" spans="1:16" ht="15" hidden="1" customHeight="1" x14ac:dyDescent="0.25">
      <c r="A521" s="168"/>
      <c r="B521" s="167"/>
      <c r="C521" s="168"/>
      <c r="D521" s="167"/>
      <c r="E521" s="167"/>
      <c r="F521" s="167"/>
      <c r="G521" s="167"/>
      <c r="H521" s="167"/>
      <c r="I521" s="164">
        <f t="shared" ca="1" si="8"/>
        <v>44939</v>
      </c>
      <c r="J521" s="163">
        <v>0.33333333333333331</v>
      </c>
      <c r="K521" s="162" t="s">
        <v>749</v>
      </c>
      <c r="L521" s="166"/>
      <c r="M521" s="166"/>
      <c r="N521" s="164"/>
      <c r="O521" s="166"/>
      <c r="P521" s="165"/>
    </row>
    <row r="522" spans="1:16" ht="15" hidden="1" customHeight="1" x14ac:dyDescent="0.25">
      <c r="A522" s="167"/>
      <c r="B522" s="167"/>
      <c r="C522" s="167"/>
      <c r="D522" s="167"/>
      <c r="E522" s="167"/>
      <c r="F522" s="167"/>
      <c r="G522" s="167"/>
      <c r="H522" s="167"/>
      <c r="I522" s="164">
        <f t="shared" ca="1" si="8"/>
        <v>44939</v>
      </c>
      <c r="J522" s="163">
        <v>0.33333333333333331</v>
      </c>
      <c r="K522" s="162" t="s">
        <v>749</v>
      </c>
      <c r="L522" s="166"/>
      <c r="M522" s="166"/>
      <c r="N522" s="164"/>
      <c r="O522" s="166"/>
      <c r="P522" s="165"/>
    </row>
    <row r="523" spans="1:16" ht="15" hidden="1" customHeight="1" x14ac:dyDescent="0.25">
      <c r="A523" s="167"/>
      <c r="B523" s="167"/>
      <c r="C523" s="167"/>
      <c r="D523" s="167"/>
      <c r="E523" s="167"/>
      <c r="F523" s="167"/>
      <c r="G523" s="167"/>
      <c r="H523" s="167"/>
      <c r="I523" s="164">
        <f t="shared" ca="1" si="8"/>
        <v>44939</v>
      </c>
      <c r="J523" s="163">
        <v>0.33333333333333331</v>
      </c>
      <c r="K523" s="162" t="s">
        <v>749</v>
      </c>
      <c r="L523" s="166"/>
      <c r="M523" s="166"/>
      <c r="N523" s="164"/>
      <c r="O523" s="166"/>
      <c r="P523" s="165"/>
    </row>
    <row r="524" spans="1:16" ht="15" hidden="1" customHeight="1" x14ac:dyDescent="0.25">
      <c r="A524" s="167"/>
      <c r="B524" s="167"/>
      <c r="C524" s="167"/>
      <c r="D524" s="167"/>
      <c r="E524" s="167"/>
      <c r="F524" s="167"/>
      <c r="G524" s="167"/>
      <c r="H524" s="167"/>
      <c r="I524" s="164">
        <f t="shared" ca="1" si="8"/>
        <v>44939</v>
      </c>
      <c r="J524" s="163">
        <v>0.33333333333333331</v>
      </c>
      <c r="K524" s="162" t="s">
        <v>749</v>
      </c>
      <c r="L524" s="166"/>
      <c r="M524" s="166"/>
      <c r="N524" s="164"/>
      <c r="O524" s="166"/>
      <c r="P524" s="165"/>
    </row>
    <row r="525" spans="1:16" ht="15" hidden="1" customHeight="1" x14ac:dyDescent="0.25">
      <c r="A525" s="168"/>
      <c r="B525" s="167"/>
      <c r="C525" s="168"/>
      <c r="D525" s="167"/>
      <c r="E525" s="167"/>
      <c r="F525" s="167"/>
      <c r="G525" s="167"/>
      <c r="H525" s="167"/>
      <c r="I525" s="164">
        <f t="shared" ca="1" si="8"/>
        <v>44939</v>
      </c>
      <c r="J525" s="163">
        <v>0.33333333333333331</v>
      </c>
      <c r="K525" s="162" t="s">
        <v>749</v>
      </c>
      <c r="L525" s="166"/>
      <c r="M525" s="166"/>
      <c r="N525" s="164"/>
      <c r="O525" s="166"/>
      <c r="P525" s="165"/>
    </row>
    <row r="526" spans="1:16" ht="15" hidden="1" customHeight="1" x14ac:dyDescent="0.25">
      <c r="A526" s="168"/>
      <c r="B526" s="167"/>
      <c r="C526" s="168"/>
      <c r="D526" s="167"/>
      <c r="E526" s="167"/>
      <c r="F526" s="167"/>
      <c r="G526" s="167"/>
      <c r="H526" s="167"/>
      <c r="I526" s="164">
        <f t="shared" ca="1" si="8"/>
        <v>44939</v>
      </c>
      <c r="J526" s="163">
        <v>0.33333333333333331</v>
      </c>
      <c r="K526" s="162" t="s">
        <v>749</v>
      </c>
      <c r="L526" s="166"/>
      <c r="M526" s="166"/>
      <c r="N526" s="164"/>
      <c r="O526" s="166"/>
      <c r="P526" s="165"/>
    </row>
    <row r="527" spans="1:16" ht="15" hidden="1" customHeight="1" x14ac:dyDescent="0.25">
      <c r="A527" s="168"/>
      <c r="B527" s="167"/>
      <c r="C527" s="168"/>
      <c r="D527" s="167"/>
      <c r="E527" s="167"/>
      <c r="F527" s="167"/>
      <c r="G527" s="167"/>
      <c r="H527" s="167"/>
      <c r="I527" s="164">
        <f t="shared" ca="1" si="8"/>
        <v>44939</v>
      </c>
      <c r="J527" s="163">
        <v>0.33333333333333331</v>
      </c>
      <c r="K527" s="162" t="s">
        <v>749</v>
      </c>
      <c r="L527" s="166"/>
      <c r="M527" s="166"/>
      <c r="N527" s="164"/>
      <c r="O527" s="166"/>
      <c r="P527" s="165"/>
    </row>
    <row r="528" spans="1:16" ht="15" hidden="1" customHeight="1" x14ac:dyDescent="0.25">
      <c r="A528" s="168"/>
      <c r="B528" s="167"/>
      <c r="C528" s="168"/>
      <c r="D528" s="167"/>
      <c r="E528" s="167"/>
      <c r="F528" s="167"/>
      <c r="G528" s="167"/>
      <c r="H528" s="167"/>
      <c r="I528" s="164">
        <f t="shared" ca="1" si="8"/>
        <v>44939</v>
      </c>
      <c r="J528" s="163">
        <v>0.33333333333333331</v>
      </c>
      <c r="K528" s="162" t="s">
        <v>749</v>
      </c>
      <c r="L528" s="166"/>
      <c r="M528" s="166"/>
      <c r="N528" s="164"/>
      <c r="O528" s="166"/>
      <c r="P528" s="165"/>
    </row>
    <row r="529" spans="1:16" ht="15" hidden="1" customHeight="1" x14ac:dyDescent="0.25">
      <c r="A529" s="168"/>
      <c r="B529" s="167"/>
      <c r="C529" s="168"/>
      <c r="D529" s="167"/>
      <c r="E529" s="167"/>
      <c r="F529" s="167"/>
      <c r="G529" s="167"/>
      <c r="H529" s="167"/>
      <c r="I529" s="164">
        <f t="shared" ca="1" si="8"/>
        <v>44939</v>
      </c>
      <c r="J529" s="163">
        <v>0.33333333333333331</v>
      </c>
      <c r="K529" s="162" t="s">
        <v>749</v>
      </c>
      <c r="L529" s="166"/>
      <c r="M529" s="166"/>
      <c r="N529" s="164"/>
      <c r="O529" s="166"/>
      <c r="P529" s="165"/>
    </row>
    <row r="530" spans="1:16" ht="15" hidden="1" customHeight="1" x14ac:dyDescent="0.25">
      <c r="A530" s="168"/>
      <c r="B530" s="167"/>
      <c r="C530" s="168"/>
      <c r="D530" s="167"/>
      <c r="E530" s="167"/>
      <c r="F530" s="167"/>
      <c r="G530" s="167"/>
      <c r="H530" s="167"/>
      <c r="I530" s="164">
        <f t="shared" ca="1" si="8"/>
        <v>44939</v>
      </c>
      <c r="J530" s="163">
        <v>0.33333333333333331</v>
      </c>
      <c r="K530" s="162" t="s">
        <v>749</v>
      </c>
      <c r="L530" s="166"/>
      <c r="M530" s="166"/>
      <c r="N530" s="164"/>
      <c r="O530" s="166"/>
      <c r="P530" s="165"/>
    </row>
    <row r="531" spans="1:16" ht="15" hidden="1" customHeight="1" x14ac:dyDescent="0.25">
      <c r="A531" s="168"/>
      <c r="B531" s="167"/>
      <c r="C531" s="168"/>
      <c r="D531" s="167"/>
      <c r="E531" s="167"/>
      <c r="F531" s="167"/>
      <c r="G531" s="167"/>
      <c r="H531" s="167"/>
      <c r="I531" s="164">
        <f t="shared" ca="1" si="8"/>
        <v>44939</v>
      </c>
      <c r="J531" s="163">
        <v>0.33333333333333331</v>
      </c>
      <c r="K531" s="162" t="s">
        <v>749</v>
      </c>
      <c r="L531" s="166"/>
      <c r="M531" s="166"/>
      <c r="N531" s="164"/>
      <c r="O531" s="166"/>
      <c r="P531" s="165"/>
    </row>
    <row r="532" spans="1:16" ht="15" hidden="1" customHeight="1" x14ac:dyDescent="0.25">
      <c r="A532" s="168"/>
      <c r="B532" s="160"/>
      <c r="C532" s="168"/>
      <c r="D532" s="167"/>
      <c r="E532" s="167"/>
      <c r="F532" s="167"/>
      <c r="G532" s="167"/>
      <c r="H532" s="167"/>
      <c r="I532" s="164">
        <f t="shared" ca="1" si="8"/>
        <v>44939</v>
      </c>
      <c r="J532" s="163">
        <v>0.33333333333333331</v>
      </c>
      <c r="K532" s="162" t="s">
        <v>749</v>
      </c>
      <c r="L532" s="166"/>
      <c r="M532" s="166"/>
      <c r="N532" s="164"/>
      <c r="O532" s="166"/>
      <c r="P532" s="165"/>
    </row>
    <row r="533" spans="1:16" ht="15" hidden="1" customHeight="1" x14ac:dyDescent="0.25">
      <c r="A533" s="168"/>
      <c r="B533" s="167"/>
      <c r="C533" s="168"/>
      <c r="D533" s="167"/>
      <c r="E533" s="167"/>
      <c r="F533" s="167"/>
      <c r="G533" s="167"/>
      <c r="H533" s="167"/>
      <c r="I533" s="164">
        <f t="shared" ca="1" si="8"/>
        <v>44939</v>
      </c>
      <c r="J533" s="163">
        <v>0.33333333333333331</v>
      </c>
      <c r="K533" s="162" t="s">
        <v>749</v>
      </c>
      <c r="L533" s="166"/>
      <c r="M533" s="166"/>
      <c r="N533" s="164"/>
      <c r="O533" s="166"/>
      <c r="P533" s="165"/>
    </row>
    <row r="534" spans="1:16" ht="15" hidden="1" customHeight="1" x14ac:dyDescent="0.25">
      <c r="A534" s="167"/>
      <c r="B534" s="167"/>
      <c r="C534" s="167"/>
      <c r="D534" s="167"/>
      <c r="E534" s="167"/>
      <c r="F534" s="167"/>
      <c r="G534" s="167"/>
      <c r="H534" s="167"/>
      <c r="I534" s="164">
        <f t="shared" ca="1" si="8"/>
        <v>44939</v>
      </c>
      <c r="J534" s="163">
        <v>0.33333333333333331</v>
      </c>
      <c r="K534" s="162" t="s">
        <v>749</v>
      </c>
      <c r="L534" s="166"/>
      <c r="M534" s="166"/>
      <c r="N534" s="164"/>
      <c r="O534" s="166"/>
      <c r="P534" s="165"/>
    </row>
    <row r="535" spans="1:16" ht="15" hidden="1" customHeight="1" x14ac:dyDescent="0.25">
      <c r="A535" s="167"/>
      <c r="B535" s="167"/>
      <c r="C535" s="167"/>
      <c r="D535" s="167"/>
      <c r="E535" s="167"/>
      <c r="F535" s="167"/>
      <c r="G535" s="167"/>
      <c r="H535" s="167"/>
      <c r="I535" s="164">
        <f t="shared" ca="1" si="8"/>
        <v>44939</v>
      </c>
      <c r="J535" s="163">
        <v>0.33333333333333331</v>
      </c>
      <c r="K535" s="162" t="s">
        <v>749</v>
      </c>
      <c r="L535" s="166"/>
      <c r="M535" s="166"/>
      <c r="N535" s="164"/>
      <c r="O535" s="166"/>
      <c r="P535" s="165"/>
    </row>
    <row r="536" spans="1:16" ht="15" hidden="1" customHeight="1" x14ac:dyDescent="0.25">
      <c r="A536" s="167"/>
      <c r="B536" s="167"/>
      <c r="C536" s="167"/>
      <c r="D536" s="167"/>
      <c r="E536" s="167"/>
      <c r="F536" s="167"/>
      <c r="G536" s="167"/>
      <c r="H536" s="167"/>
      <c r="I536" s="164">
        <f t="shared" ref="I536:I599" ca="1" si="9">TODAY()</f>
        <v>44939</v>
      </c>
      <c r="J536" s="163">
        <v>0.33333333333333331</v>
      </c>
      <c r="K536" s="162" t="s">
        <v>749</v>
      </c>
      <c r="L536" s="166"/>
      <c r="M536" s="166"/>
      <c r="N536" s="164"/>
      <c r="O536" s="166"/>
      <c r="P536" s="165"/>
    </row>
    <row r="537" spans="1:16" ht="15" hidden="1" customHeight="1" x14ac:dyDescent="0.25">
      <c r="A537" s="167"/>
      <c r="B537" s="167"/>
      <c r="C537" s="167"/>
      <c r="D537" s="167"/>
      <c r="E537" s="167"/>
      <c r="F537" s="167"/>
      <c r="G537" s="167"/>
      <c r="H537" s="167"/>
      <c r="I537" s="164">
        <f t="shared" ca="1" si="9"/>
        <v>44939</v>
      </c>
      <c r="J537" s="163">
        <v>0.33333333333333331</v>
      </c>
      <c r="K537" s="162" t="s">
        <v>749</v>
      </c>
      <c r="L537" s="166"/>
      <c r="M537" s="166"/>
      <c r="N537" s="164"/>
      <c r="O537" s="166"/>
      <c r="P537" s="165"/>
    </row>
    <row r="538" spans="1:16" ht="15" hidden="1" customHeight="1" x14ac:dyDescent="0.25">
      <c r="A538" s="167"/>
      <c r="B538" s="167"/>
      <c r="C538" s="167"/>
      <c r="D538" s="167"/>
      <c r="E538" s="167"/>
      <c r="F538" s="167"/>
      <c r="G538" s="167"/>
      <c r="H538" s="167"/>
      <c r="I538" s="164">
        <f t="shared" ca="1" si="9"/>
        <v>44939</v>
      </c>
      <c r="J538" s="163">
        <v>0.33333333333333331</v>
      </c>
      <c r="K538" s="162" t="s">
        <v>749</v>
      </c>
      <c r="L538" s="166"/>
      <c r="M538" s="166"/>
      <c r="N538" s="164"/>
      <c r="O538" s="166"/>
      <c r="P538" s="165"/>
    </row>
    <row r="539" spans="1:16" ht="15" hidden="1" customHeight="1" x14ac:dyDescent="0.25">
      <c r="A539" s="167"/>
      <c r="B539" s="167"/>
      <c r="C539" s="167"/>
      <c r="D539" s="167"/>
      <c r="E539" s="167"/>
      <c r="F539" s="167"/>
      <c r="G539" s="167"/>
      <c r="H539" s="167"/>
      <c r="I539" s="164">
        <f t="shared" ca="1" si="9"/>
        <v>44939</v>
      </c>
      <c r="J539" s="163">
        <v>0.33333333333333331</v>
      </c>
      <c r="K539" s="162" t="s">
        <v>749</v>
      </c>
      <c r="L539" s="166"/>
      <c r="M539" s="166"/>
      <c r="N539" s="164"/>
      <c r="O539" s="166"/>
      <c r="P539" s="165"/>
    </row>
    <row r="540" spans="1:16" ht="15" hidden="1" customHeight="1" x14ac:dyDescent="0.25">
      <c r="A540" s="167"/>
      <c r="B540" s="167"/>
      <c r="C540" s="167"/>
      <c r="D540" s="167"/>
      <c r="E540" s="167"/>
      <c r="F540" s="167"/>
      <c r="G540" s="167"/>
      <c r="H540" s="167"/>
      <c r="I540" s="164">
        <f t="shared" ca="1" si="9"/>
        <v>44939</v>
      </c>
      <c r="J540" s="163">
        <v>0.33333333333333331</v>
      </c>
      <c r="K540" s="162" t="s">
        <v>749</v>
      </c>
      <c r="L540" s="166"/>
      <c r="M540" s="166"/>
      <c r="N540" s="164"/>
      <c r="O540" s="166"/>
      <c r="P540" s="165"/>
    </row>
    <row r="541" spans="1:16" ht="15" hidden="1" customHeight="1" x14ac:dyDescent="0.25">
      <c r="A541" s="167"/>
      <c r="B541" s="167"/>
      <c r="C541" s="167"/>
      <c r="D541" s="167"/>
      <c r="E541" s="167"/>
      <c r="F541" s="167"/>
      <c r="G541" s="167"/>
      <c r="H541" s="167"/>
      <c r="I541" s="164">
        <f t="shared" ca="1" si="9"/>
        <v>44939</v>
      </c>
      <c r="J541" s="163">
        <v>0.33333333333333331</v>
      </c>
      <c r="K541" s="162" t="s">
        <v>749</v>
      </c>
      <c r="L541" s="166"/>
      <c r="M541" s="166"/>
      <c r="N541" s="164"/>
      <c r="O541" s="166"/>
      <c r="P541" s="165"/>
    </row>
    <row r="542" spans="1:16" ht="15" hidden="1" customHeight="1" x14ac:dyDescent="0.25">
      <c r="A542" s="167"/>
      <c r="B542" s="167"/>
      <c r="C542" s="167"/>
      <c r="D542" s="167"/>
      <c r="E542" s="167"/>
      <c r="F542" s="167"/>
      <c r="G542" s="167"/>
      <c r="H542" s="167"/>
      <c r="I542" s="164">
        <f t="shared" ca="1" si="9"/>
        <v>44939</v>
      </c>
      <c r="J542" s="163">
        <v>0.33333333333333331</v>
      </c>
      <c r="K542" s="162" t="s">
        <v>749</v>
      </c>
      <c r="L542" s="166"/>
      <c r="M542" s="166"/>
      <c r="N542" s="164"/>
      <c r="O542" s="166"/>
      <c r="P542" s="165"/>
    </row>
    <row r="543" spans="1:16" ht="15" hidden="1" customHeight="1" x14ac:dyDescent="0.25">
      <c r="A543" s="168"/>
      <c r="B543" s="167"/>
      <c r="C543" s="168"/>
      <c r="D543" s="167"/>
      <c r="E543" s="167"/>
      <c r="F543" s="167"/>
      <c r="G543" s="167"/>
      <c r="H543" s="167"/>
      <c r="I543" s="164">
        <f t="shared" ca="1" si="9"/>
        <v>44939</v>
      </c>
      <c r="J543" s="163">
        <v>0.33333333333333331</v>
      </c>
      <c r="K543" s="162" t="s">
        <v>749</v>
      </c>
      <c r="L543" s="166"/>
      <c r="M543" s="166"/>
      <c r="N543" s="164"/>
      <c r="O543" s="166"/>
      <c r="P543" s="165"/>
    </row>
    <row r="544" spans="1:16" ht="15" hidden="1" customHeight="1" x14ac:dyDescent="0.25">
      <c r="A544" s="168"/>
      <c r="B544" s="167"/>
      <c r="C544" s="168"/>
      <c r="D544" s="167"/>
      <c r="E544" s="167"/>
      <c r="F544" s="167"/>
      <c r="G544" s="167"/>
      <c r="H544" s="167"/>
      <c r="I544" s="164">
        <f t="shared" ca="1" si="9"/>
        <v>44939</v>
      </c>
      <c r="J544" s="163">
        <v>0.33333333333333331</v>
      </c>
      <c r="K544" s="162" t="s">
        <v>749</v>
      </c>
      <c r="L544" s="166"/>
      <c r="M544" s="166"/>
      <c r="N544" s="164"/>
      <c r="O544" s="166"/>
      <c r="P544" s="165"/>
    </row>
    <row r="545" spans="1:16" ht="15" hidden="1" customHeight="1" x14ac:dyDescent="0.25">
      <c r="A545" s="168"/>
      <c r="B545" s="167"/>
      <c r="C545" s="168"/>
      <c r="D545" s="167"/>
      <c r="E545" s="167"/>
      <c r="F545" s="167"/>
      <c r="G545" s="167"/>
      <c r="H545" s="167"/>
      <c r="I545" s="164">
        <f t="shared" ca="1" si="9"/>
        <v>44939</v>
      </c>
      <c r="J545" s="163">
        <v>0.33333333333333331</v>
      </c>
      <c r="K545" s="162" t="s">
        <v>749</v>
      </c>
      <c r="L545" s="166"/>
      <c r="M545" s="166"/>
      <c r="N545" s="164"/>
      <c r="O545" s="166"/>
      <c r="P545" s="165"/>
    </row>
    <row r="546" spans="1:16" ht="15" hidden="1" customHeight="1" x14ac:dyDescent="0.25">
      <c r="A546" s="168"/>
      <c r="B546" s="167"/>
      <c r="C546" s="168"/>
      <c r="D546" s="167"/>
      <c r="E546" s="167"/>
      <c r="F546" s="167"/>
      <c r="G546" s="167"/>
      <c r="H546" s="167"/>
      <c r="I546" s="164">
        <f t="shared" ca="1" si="9"/>
        <v>44939</v>
      </c>
      <c r="J546" s="163">
        <v>0.33333333333333331</v>
      </c>
      <c r="K546" s="162" t="s">
        <v>749</v>
      </c>
      <c r="L546" s="166"/>
      <c r="M546" s="166"/>
      <c r="N546" s="164"/>
      <c r="O546" s="166"/>
      <c r="P546" s="165"/>
    </row>
    <row r="547" spans="1:16" ht="15" hidden="1" customHeight="1" x14ac:dyDescent="0.25">
      <c r="A547" s="168"/>
      <c r="B547" s="167"/>
      <c r="C547" s="168"/>
      <c r="D547" s="167"/>
      <c r="E547" s="167"/>
      <c r="F547" s="167"/>
      <c r="G547" s="167"/>
      <c r="H547" s="167"/>
      <c r="I547" s="164">
        <f t="shared" ca="1" si="9"/>
        <v>44939</v>
      </c>
      <c r="J547" s="163">
        <v>0.33333333333333331</v>
      </c>
      <c r="K547" s="162" t="s">
        <v>749</v>
      </c>
      <c r="L547" s="166"/>
      <c r="M547" s="166"/>
      <c r="N547" s="164"/>
      <c r="O547" s="166"/>
      <c r="P547" s="165"/>
    </row>
    <row r="548" spans="1:16" ht="15" hidden="1" customHeight="1" x14ac:dyDescent="0.25">
      <c r="A548" s="168"/>
      <c r="B548" s="167"/>
      <c r="C548" s="168"/>
      <c r="D548" s="167"/>
      <c r="E548" s="167"/>
      <c r="F548" s="167"/>
      <c r="G548" s="167"/>
      <c r="H548" s="167"/>
      <c r="I548" s="164">
        <f t="shared" ca="1" si="9"/>
        <v>44939</v>
      </c>
      <c r="J548" s="163">
        <v>0.33333333333333331</v>
      </c>
      <c r="K548" s="162" t="s">
        <v>749</v>
      </c>
      <c r="L548" s="166"/>
      <c r="M548" s="166"/>
      <c r="N548" s="164"/>
      <c r="O548" s="166"/>
      <c r="P548" s="165"/>
    </row>
    <row r="549" spans="1:16" ht="15" hidden="1" customHeight="1" x14ac:dyDescent="0.25">
      <c r="A549" s="167"/>
      <c r="B549" s="167"/>
      <c r="C549" s="167"/>
      <c r="D549" s="167"/>
      <c r="E549" s="167"/>
      <c r="F549" s="167"/>
      <c r="G549" s="167"/>
      <c r="H549" s="167"/>
      <c r="I549" s="164">
        <f t="shared" ca="1" si="9"/>
        <v>44939</v>
      </c>
      <c r="J549" s="163">
        <v>0.33333333333333331</v>
      </c>
      <c r="K549" s="162" t="s">
        <v>749</v>
      </c>
      <c r="L549" s="166"/>
      <c r="M549" s="166"/>
      <c r="N549" s="164"/>
      <c r="O549" s="166"/>
      <c r="P549" s="165"/>
    </row>
    <row r="550" spans="1:16" ht="15" hidden="1" customHeight="1" x14ac:dyDescent="0.25">
      <c r="A550" s="167"/>
      <c r="B550" s="167"/>
      <c r="C550" s="167"/>
      <c r="D550" s="167"/>
      <c r="E550" s="167"/>
      <c r="F550" s="167"/>
      <c r="G550" s="167"/>
      <c r="H550" s="167"/>
      <c r="I550" s="164">
        <f t="shared" ca="1" si="9"/>
        <v>44939</v>
      </c>
      <c r="J550" s="163">
        <v>0.33333333333333331</v>
      </c>
      <c r="K550" s="162" t="s">
        <v>749</v>
      </c>
      <c r="L550" s="166"/>
      <c r="M550" s="166"/>
      <c r="N550" s="164"/>
      <c r="O550" s="166"/>
      <c r="P550" s="165"/>
    </row>
    <row r="551" spans="1:16" ht="15" hidden="1" customHeight="1" x14ac:dyDescent="0.25">
      <c r="A551" s="167"/>
      <c r="B551" s="167"/>
      <c r="C551" s="167"/>
      <c r="D551" s="167"/>
      <c r="E551" s="167"/>
      <c r="F551" s="167"/>
      <c r="G551" s="167"/>
      <c r="H551" s="167"/>
      <c r="I551" s="164">
        <f t="shared" ca="1" si="9"/>
        <v>44939</v>
      </c>
      <c r="J551" s="163">
        <v>0.33333333333333331</v>
      </c>
      <c r="K551" s="162" t="s">
        <v>749</v>
      </c>
      <c r="L551" s="166"/>
      <c r="M551" s="166"/>
      <c r="N551" s="164"/>
      <c r="O551" s="166"/>
      <c r="P551" s="165"/>
    </row>
    <row r="552" spans="1:16" ht="15" hidden="1" customHeight="1" x14ac:dyDescent="0.25">
      <c r="A552" s="167"/>
      <c r="B552" s="167"/>
      <c r="C552" s="167"/>
      <c r="D552" s="167"/>
      <c r="E552" s="167"/>
      <c r="F552" s="167"/>
      <c r="G552" s="167"/>
      <c r="H552" s="167"/>
      <c r="I552" s="164">
        <f t="shared" ca="1" si="9"/>
        <v>44939</v>
      </c>
      <c r="J552" s="163">
        <v>0.33333333333333331</v>
      </c>
      <c r="K552" s="162" t="s">
        <v>749</v>
      </c>
      <c r="L552" s="166"/>
      <c r="M552" s="166"/>
      <c r="N552" s="164"/>
      <c r="O552" s="166"/>
      <c r="P552" s="165"/>
    </row>
    <row r="553" spans="1:16" ht="15" hidden="1" customHeight="1" x14ac:dyDescent="0.25">
      <c r="A553" s="167"/>
      <c r="B553" s="167"/>
      <c r="C553" s="167"/>
      <c r="D553" s="167"/>
      <c r="E553" s="167"/>
      <c r="F553" s="167"/>
      <c r="G553" s="167"/>
      <c r="H553" s="167"/>
      <c r="I553" s="164">
        <f t="shared" ca="1" si="9"/>
        <v>44939</v>
      </c>
      <c r="J553" s="163">
        <v>0.33333333333333331</v>
      </c>
      <c r="K553" s="162" t="s">
        <v>749</v>
      </c>
      <c r="L553" s="166"/>
      <c r="M553" s="166"/>
      <c r="N553" s="164"/>
      <c r="O553" s="166"/>
      <c r="P553" s="165"/>
    </row>
    <row r="554" spans="1:16" ht="15" hidden="1" customHeight="1" x14ac:dyDescent="0.25">
      <c r="A554" s="167"/>
      <c r="B554" s="167"/>
      <c r="C554" s="167"/>
      <c r="D554" s="167"/>
      <c r="E554" s="167"/>
      <c r="F554" s="167"/>
      <c r="G554" s="167"/>
      <c r="H554" s="167"/>
      <c r="I554" s="164">
        <f t="shared" ca="1" si="9"/>
        <v>44939</v>
      </c>
      <c r="J554" s="163">
        <v>0.33333333333333331</v>
      </c>
      <c r="K554" s="162" t="s">
        <v>749</v>
      </c>
      <c r="L554" s="166"/>
      <c r="M554" s="166"/>
      <c r="N554" s="164"/>
      <c r="O554" s="166"/>
      <c r="P554" s="165"/>
    </row>
    <row r="555" spans="1:16" ht="15" hidden="1" customHeight="1" x14ac:dyDescent="0.25">
      <c r="A555" s="167"/>
      <c r="B555" s="167"/>
      <c r="C555" s="167"/>
      <c r="D555" s="167"/>
      <c r="E555" s="167"/>
      <c r="F555" s="167"/>
      <c r="G555" s="167"/>
      <c r="H555" s="167"/>
      <c r="I555" s="164">
        <f t="shared" ca="1" si="9"/>
        <v>44939</v>
      </c>
      <c r="J555" s="163">
        <v>0.33333333333333331</v>
      </c>
      <c r="K555" s="162" t="s">
        <v>749</v>
      </c>
      <c r="L555" s="166"/>
      <c r="M555" s="166"/>
      <c r="N555" s="164"/>
      <c r="O555" s="166"/>
      <c r="P555" s="165"/>
    </row>
    <row r="556" spans="1:16" ht="15" hidden="1" customHeight="1" x14ac:dyDescent="0.25">
      <c r="A556" s="167"/>
      <c r="B556" s="167"/>
      <c r="C556" s="167"/>
      <c r="D556" s="167"/>
      <c r="E556" s="167"/>
      <c r="F556" s="167"/>
      <c r="G556" s="167"/>
      <c r="H556" s="167"/>
      <c r="I556" s="164">
        <f t="shared" ca="1" si="9"/>
        <v>44939</v>
      </c>
      <c r="J556" s="163">
        <v>0.33333333333333331</v>
      </c>
      <c r="K556" s="162" t="s">
        <v>749</v>
      </c>
      <c r="L556" s="166"/>
      <c r="M556" s="166"/>
      <c r="N556" s="164"/>
      <c r="O556" s="166"/>
      <c r="P556" s="165"/>
    </row>
    <row r="557" spans="1:16" ht="15" hidden="1" customHeight="1" x14ac:dyDescent="0.25">
      <c r="A557" s="168"/>
      <c r="B557" s="167"/>
      <c r="C557" s="168"/>
      <c r="D557" s="167"/>
      <c r="E557" s="167"/>
      <c r="F557" s="167"/>
      <c r="G557" s="167"/>
      <c r="H557" s="167"/>
      <c r="I557" s="164">
        <f t="shared" ca="1" si="9"/>
        <v>44939</v>
      </c>
      <c r="J557" s="163">
        <v>0.33333333333333331</v>
      </c>
      <c r="K557" s="162" t="s">
        <v>749</v>
      </c>
      <c r="L557" s="166"/>
      <c r="M557" s="166"/>
      <c r="N557" s="164"/>
      <c r="O557" s="166"/>
      <c r="P557" s="165"/>
    </row>
    <row r="558" spans="1:16" ht="15" hidden="1" customHeight="1" x14ac:dyDescent="0.25">
      <c r="A558" s="167"/>
      <c r="B558" s="167"/>
      <c r="C558" s="167"/>
      <c r="D558" s="167"/>
      <c r="E558" s="167"/>
      <c r="F558" s="167"/>
      <c r="G558" s="167"/>
      <c r="H558" s="167"/>
      <c r="I558" s="164">
        <f t="shared" ca="1" si="9"/>
        <v>44939</v>
      </c>
      <c r="J558" s="163">
        <v>0.33333333333333331</v>
      </c>
      <c r="K558" s="162" t="s">
        <v>749</v>
      </c>
      <c r="L558" s="166"/>
      <c r="M558" s="166"/>
      <c r="N558" s="164"/>
      <c r="O558" s="166"/>
      <c r="P558" s="165"/>
    </row>
    <row r="559" spans="1:16" ht="15" hidden="1" customHeight="1" x14ac:dyDescent="0.25">
      <c r="A559" s="167"/>
      <c r="B559" s="167"/>
      <c r="C559" s="167"/>
      <c r="D559" s="167"/>
      <c r="E559" s="167"/>
      <c r="F559" s="167"/>
      <c r="G559" s="167"/>
      <c r="H559" s="167"/>
      <c r="I559" s="164">
        <f t="shared" ca="1" si="9"/>
        <v>44939</v>
      </c>
      <c r="J559" s="163">
        <v>0.33333333333333331</v>
      </c>
      <c r="K559" s="162" t="s">
        <v>749</v>
      </c>
      <c r="L559" s="166"/>
      <c r="M559" s="166"/>
      <c r="N559" s="164"/>
      <c r="O559" s="166"/>
      <c r="P559" s="165"/>
    </row>
    <row r="560" spans="1:16" ht="15" hidden="1" customHeight="1" x14ac:dyDescent="0.25">
      <c r="A560" s="167"/>
      <c r="B560" s="167"/>
      <c r="C560" s="167"/>
      <c r="D560" s="167"/>
      <c r="E560" s="167"/>
      <c r="F560" s="167"/>
      <c r="G560" s="167"/>
      <c r="H560" s="167"/>
      <c r="I560" s="164">
        <f t="shared" ca="1" si="9"/>
        <v>44939</v>
      </c>
      <c r="J560" s="163">
        <v>0.33333333333333331</v>
      </c>
      <c r="K560" s="162" t="s">
        <v>749</v>
      </c>
      <c r="L560" s="166"/>
      <c r="M560" s="166"/>
      <c r="N560" s="164"/>
      <c r="O560" s="166"/>
      <c r="P560" s="165"/>
    </row>
    <row r="561" spans="1:16" ht="15" hidden="1" customHeight="1" x14ac:dyDescent="0.25">
      <c r="A561" s="167"/>
      <c r="B561" s="167"/>
      <c r="C561" s="167"/>
      <c r="D561" s="167"/>
      <c r="E561" s="167"/>
      <c r="F561" s="167"/>
      <c r="G561" s="167"/>
      <c r="H561" s="167"/>
      <c r="I561" s="164">
        <f t="shared" ca="1" si="9"/>
        <v>44939</v>
      </c>
      <c r="J561" s="163">
        <v>0.33333333333333331</v>
      </c>
      <c r="K561" s="162" t="s">
        <v>749</v>
      </c>
      <c r="L561" s="166"/>
      <c r="M561" s="166"/>
      <c r="N561" s="164"/>
      <c r="O561" s="166"/>
      <c r="P561" s="165"/>
    </row>
    <row r="562" spans="1:16" ht="15" hidden="1" customHeight="1" x14ac:dyDescent="0.25">
      <c r="A562" s="168"/>
      <c r="B562" s="167"/>
      <c r="C562" s="168"/>
      <c r="D562" s="167"/>
      <c r="E562" s="167"/>
      <c r="F562" s="167"/>
      <c r="G562" s="167"/>
      <c r="H562" s="167"/>
      <c r="I562" s="164">
        <f t="shared" ca="1" si="9"/>
        <v>44939</v>
      </c>
      <c r="J562" s="163">
        <v>0.33333333333333331</v>
      </c>
      <c r="K562" s="162" t="s">
        <v>749</v>
      </c>
      <c r="L562" s="166"/>
      <c r="M562" s="166"/>
      <c r="N562" s="164"/>
      <c r="O562" s="166"/>
      <c r="P562" s="165"/>
    </row>
    <row r="563" spans="1:16" ht="15" hidden="1" customHeight="1" x14ac:dyDescent="0.25">
      <c r="A563" s="168"/>
      <c r="B563" s="167"/>
      <c r="C563" s="168"/>
      <c r="D563" s="167"/>
      <c r="E563" s="167"/>
      <c r="F563" s="167"/>
      <c r="G563" s="167"/>
      <c r="H563" s="167"/>
      <c r="I563" s="164">
        <f t="shared" ca="1" si="9"/>
        <v>44939</v>
      </c>
      <c r="J563" s="163">
        <v>0.33333333333333331</v>
      </c>
      <c r="K563" s="162" t="s">
        <v>749</v>
      </c>
      <c r="L563" s="166"/>
      <c r="M563" s="166"/>
      <c r="N563" s="164"/>
      <c r="O563" s="166"/>
      <c r="P563" s="165"/>
    </row>
    <row r="564" spans="1:16" ht="15" hidden="1" customHeight="1" x14ac:dyDescent="0.25">
      <c r="A564" s="168"/>
      <c r="B564" s="167"/>
      <c r="C564" s="168"/>
      <c r="D564" s="167"/>
      <c r="E564" s="167"/>
      <c r="F564" s="167"/>
      <c r="G564" s="167"/>
      <c r="H564" s="167"/>
      <c r="I564" s="164">
        <f t="shared" ca="1" si="9"/>
        <v>44939</v>
      </c>
      <c r="J564" s="163">
        <v>0.33333333333333331</v>
      </c>
      <c r="K564" s="162" t="s">
        <v>749</v>
      </c>
      <c r="L564" s="166"/>
      <c r="M564" s="166"/>
      <c r="N564" s="164"/>
      <c r="O564" s="166"/>
      <c r="P564" s="165"/>
    </row>
    <row r="565" spans="1:16" ht="15" hidden="1" customHeight="1" x14ac:dyDescent="0.25">
      <c r="A565" s="168"/>
      <c r="B565" s="167"/>
      <c r="C565" s="168"/>
      <c r="D565" s="167"/>
      <c r="E565" s="167"/>
      <c r="F565" s="167"/>
      <c r="G565" s="167"/>
      <c r="H565" s="167"/>
      <c r="I565" s="164">
        <f t="shared" ca="1" si="9"/>
        <v>44939</v>
      </c>
      <c r="J565" s="163">
        <v>0.33333333333333331</v>
      </c>
      <c r="K565" s="162" t="s">
        <v>749</v>
      </c>
      <c r="L565" s="166"/>
      <c r="M565" s="166"/>
      <c r="N565" s="164"/>
      <c r="O565" s="166"/>
      <c r="P565" s="165"/>
    </row>
    <row r="566" spans="1:16" ht="15" hidden="1" customHeight="1" x14ac:dyDescent="0.25">
      <c r="A566" s="168"/>
      <c r="B566" s="167"/>
      <c r="C566" s="168"/>
      <c r="D566" s="167"/>
      <c r="E566" s="167"/>
      <c r="F566" s="167"/>
      <c r="G566" s="167"/>
      <c r="H566" s="167"/>
      <c r="I566" s="164">
        <f t="shared" ca="1" si="9"/>
        <v>44939</v>
      </c>
      <c r="J566" s="163">
        <v>0.33333333333333331</v>
      </c>
      <c r="K566" s="162" t="s">
        <v>749</v>
      </c>
      <c r="L566" s="166"/>
      <c r="M566" s="166"/>
      <c r="N566" s="164"/>
      <c r="O566" s="166"/>
      <c r="P566" s="165"/>
    </row>
    <row r="567" spans="1:16" ht="15" hidden="1" customHeight="1" x14ac:dyDescent="0.25">
      <c r="A567" s="168"/>
      <c r="B567" s="167"/>
      <c r="C567" s="168"/>
      <c r="D567" s="167"/>
      <c r="E567" s="167"/>
      <c r="F567" s="167"/>
      <c r="G567" s="167"/>
      <c r="H567" s="167"/>
      <c r="I567" s="164">
        <f t="shared" ca="1" si="9"/>
        <v>44939</v>
      </c>
      <c r="J567" s="163">
        <v>0.33333333333333331</v>
      </c>
      <c r="K567" s="162" t="s">
        <v>749</v>
      </c>
      <c r="L567" s="166"/>
      <c r="M567" s="166"/>
      <c r="N567" s="164"/>
      <c r="O567" s="166"/>
      <c r="P567" s="165"/>
    </row>
    <row r="568" spans="1:16" ht="15" hidden="1" customHeight="1" x14ac:dyDescent="0.25">
      <c r="A568" s="168"/>
      <c r="B568" s="167"/>
      <c r="C568" s="168"/>
      <c r="D568" s="167"/>
      <c r="E568" s="167"/>
      <c r="F568" s="167"/>
      <c r="G568" s="167"/>
      <c r="H568" s="167"/>
      <c r="I568" s="164">
        <f t="shared" ca="1" si="9"/>
        <v>44939</v>
      </c>
      <c r="J568" s="163">
        <v>0.33333333333333331</v>
      </c>
      <c r="K568" s="162" t="s">
        <v>749</v>
      </c>
      <c r="L568" s="166"/>
      <c r="M568" s="166"/>
      <c r="N568" s="164"/>
      <c r="O568" s="166"/>
      <c r="P568" s="165"/>
    </row>
    <row r="569" spans="1:16" ht="15" hidden="1" customHeight="1" x14ac:dyDescent="0.25">
      <c r="A569" s="167"/>
      <c r="B569" s="167"/>
      <c r="C569" s="167"/>
      <c r="D569" s="167"/>
      <c r="E569" s="167"/>
      <c r="F569" s="167"/>
      <c r="G569" s="167"/>
      <c r="H569" s="167"/>
      <c r="I569" s="164">
        <f t="shared" ca="1" si="9"/>
        <v>44939</v>
      </c>
      <c r="J569" s="163">
        <v>0.33333333333333331</v>
      </c>
      <c r="K569" s="162" t="s">
        <v>749</v>
      </c>
      <c r="L569" s="166"/>
      <c r="M569" s="166"/>
      <c r="N569" s="164"/>
      <c r="O569" s="166"/>
      <c r="P569" s="165"/>
    </row>
    <row r="570" spans="1:16" ht="15" hidden="1" customHeight="1" x14ac:dyDescent="0.25">
      <c r="A570" s="167"/>
      <c r="B570" s="167"/>
      <c r="C570" s="167"/>
      <c r="D570" s="167"/>
      <c r="E570" s="167"/>
      <c r="F570" s="167"/>
      <c r="G570" s="167"/>
      <c r="H570" s="167"/>
      <c r="I570" s="164">
        <f t="shared" ca="1" si="9"/>
        <v>44939</v>
      </c>
      <c r="J570" s="163">
        <v>0.33333333333333331</v>
      </c>
      <c r="K570" s="162" t="s">
        <v>749</v>
      </c>
      <c r="L570" s="166"/>
      <c r="M570" s="166"/>
      <c r="N570" s="164"/>
      <c r="O570" s="166"/>
      <c r="P570" s="165"/>
    </row>
    <row r="571" spans="1:16" ht="15" hidden="1" customHeight="1" x14ac:dyDescent="0.25">
      <c r="A571" s="167"/>
      <c r="B571" s="167"/>
      <c r="C571" s="167"/>
      <c r="D571" s="167"/>
      <c r="E571" s="167"/>
      <c r="F571" s="167"/>
      <c r="G571" s="167"/>
      <c r="H571" s="167"/>
      <c r="I571" s="164">
        <f t="shared" ca="1" si="9"/>
        <v>44939</v>
      </c>
      <c r="J571" s="163">
        <v>0.33333333333333331</v>
      </c>
      <c r="K571" s="162" t="s">
        <v>749</v>
      </c>
      <c r="L571" s="166"/>
      <c r="M571" s="166"/>
      <c r="N571" s="164"/>
      <c r="O571" s="166"/>
      <c r="P571" s="165"/>
    </row>
    <row r="572" spans="1:16" ht="15" hidden="1" customHeight="1" x14ac:dyDescent="0.25">
      <c r="A572" s="167"/>
      <c r="B572" s="167"/>
      <c r="C572" s="167"/>
      <c r="D572" s="167"/>
      <c r="E572" s="167"/>
      <c r="F572" s="167"/>
      <c r="G572" s="167"/>
      <c r="H572" s="167"/>
      <c r="I572" s="164">
        <f t="shared" ca="1" si="9"/>
        <v>44939</v>
      </c>
      <c r="J572" s="163">
        <v>0.33333333333333331</v>
      </c>
      <c r="K572" s="162" t="s">
        <v>749</v>
      </c>
      <c r="L572" s="166"/>
      <c r="M572" s="166"/>
      <c r="N572" s="164"/>
      <c r="O572" s="166"/>
      <c r="P572" s="165"/>
    </row>
    <row r="573" spans="1:16" ht="15" hidden="1" customHeight="1" x14ac:dyDescent="0.25">
      <c r="A573" s="167"/>
      <c r="B573" s="167"/>
      <c r="C573" s="167"/>
      <c r="D573" s="167"/>
      <c r="E573" s="167"/>
      <c r="F573" s="167"/>
      <c r="G573" s="167"/>
      <c r="H573" s="167"/>
      <c r="I573" s="164">
        <f t="shared" ca="1" si="9"/>
        <v>44939</v>
      </c>
      <c r="J573" s="163">
        <v>0.33333333333333331</v>
      </c>
      <c r="K573" s="162" t="s">
        <v>749</v>
      </c>
      <c r="L573" s="166"/>
      <c r="M573" s="166"/>
      <c r="N573" s="164"/>
      <c r="O573" s="166"/>
      <c r="P573" s="165"/>
    </row>
    <row r="574" spans="1:16" ht="15" hidden="1" customHeight="1" x14ac:dyDescent="0.25">
      <c r="A574" s="167"/>
      <c r="B574" s="167"/>
      <c r="C574" s="167"/>
      <c r="D574" s="167"/>
      <c r="E574" s="167"/>
      <c r="F574" s="167"/>
      <c r="G574" s="167"/>
      <c r="H574" s="167"/>
      <c r="I574" s="164">
        <f t="shared" ca="1" si="9"/>
        <v>44939</v>
      </c>
      <c r="J574" s="163">
        <v>0.33333333333333331</v>
      </c>
      <c r="K574" s="162" t="s">
        <v>749</v>
      </c>
      <c r="L574" s="166"/>
      <c r="M574" s="166"/>
      <c r="N574" s="164"/>
      <c r="O574" s="166"/>
      <c r="P574" s="165"/>
    </row>
    <row r="575" spans="1:16" ht="15" hidden="1" customHeight="1" x14ac:dyDescent="0.25">
      <c r="A575" s="168"/>
      <c r="B575" s="167"/>
      <c r="C575" s="168"/>
      <c r="D575" s="167"/>
      <c r="E575" s="167"/>
      <c r="F575" s="167"/>
      <c r="G575" s="167"/>
      <c r="H575" s="167"/>
      <c r="I575" s="164">
        <f t="shared" ca="1" si="9"/>
        <v>44939</v>
      </c>
      <c r="J575" s="163">
        <v>0.33333333333333331</v>
      </c>
      <c r="K575" s="162" t="s">
        <v>749</v>
      </c>
      <c r="L575" s="166"/>
      <c r="M575" s="166"/>
      <c r="N575" s="164"/>
      <c r="O575" s="166"/>
      <c r="P575" s="165"/>
    </row>
    <row r="576" spans="1:16" ht="15" hidden="1" customHeight="1" x14ac:dyDescent="0.25">
      <c r="A576" s="168"/>
      <c r="B576" s="167"/>
      <c r="C576" s="168"/>
      <c r="D576" s="167"/>
      <c r="E576" s="167"/>
      <c r="F576" s="167"/>
      <c r="G576" s="167"/>
      <c r="H576" s="167"/>
      <c r="I576" s="164">
        <f t="shared" ca="1" si="9"/>
        <v>44939</v>
      </c>
      <c r="J576" s="163">
        <v>0.33333333333333331</v>
      </c>
      <c r="K576" s="162" t="s">
        <v>749</v>
      </c>
      <c r="L576" s="166"/>
      <c r="M576" s="166"/>
      <c r="N576" s="164"/>
      <c r="O576" s="166"/>
      <c r="P576" s="165"/>
    </row>
    <row r="577" spans="1:16" ht="15" hidden="1" customHeight="1" x14ac:dyDescent="0.25">
      <c r="A577" s="168"/>
      <c r="B577" s="167"/>
      <c r="C577" s="168"/>
      <c r="D577" s="167"/>
      <c r="E577" s="167"/>
      <c r="F577" s="167"/>
      <c r="G577" s="167"/>
      <c r="H577" s="167"/>
      <c r="I577" s="164">
        <f t="shared" ca="1" si="9"/>
        <v>44939</v>
      </c>
      <c r="J577" s="163">
        <v>0.33333333333333331</v>
      </c>
      <c r="K577" s="162" t="s">
        <v>749</v>
      </c>
      <c r="L577" s="166"/>
      <c r="M577" s="166"/>
      <c r="N577" s="164"/>
      <c r="O577" s="166"/>
      <c r="P577" s="165"/>
    </row>
    <row r="578" spans="1:16" ht="15" hidden="1" customHeight="1" x14ac:dyDescent="0.25">
      <c r="A578" s="167"/>
      <c r="B578" s="167"/>
      <c r="C578" s="167"/>
      <c r="D578" s="167"/>
      <c r="E578" s="167"/>
      <c r="F578" s="167"/>
      <c r="G578" s="167"/>
      <c r="H578" s="167"/>
      <c r="I578" s="164">
        <f t="shared" ca="1" si="9"/>
        <v>44939</v>
      </c>
      <c r="J578" s="163">
        <v>0.33333333333333331</v>
      </c>
      <c r="K578" s="162" t="s">
        <v>749</v>
      </c>
      <c r="L578" s="166"/>
      <c r="M578" s="166"/>
      <c r="N578" s="164"/>
      <c r="O578" s="166"/>
      <c r="P578" s="165"/>
    </row>
    <row r="579" spans="1:16" ht="15" hidden="1" customHeight="1" x14ac:dyDescent="0.25">
      <c r="A579" s="167"/>
      <c r="B579" s="167"/>
      <c r="C579" s="167"/>
      <c r="D579" s="167"/>
      <c r="E579" s="167"/>
      <c r="F579" s="167"/>
      <c r="G579" s="167"/>
      <c r="H579" s="167"/>
      <c r="I579" s="164">
        <f t="shared" ca="1" si="9"/>
        <v>44939</v>
      </c>
      <c r="J579" s="163">
        <v>0.33333333333333331</v>
      </c>
      <c r="K579" s="162" t="s">
        <v>749</v>
      </c>
      <c r="L579" s="166"/>
      <c r="M579" s="166"/>
      <c r="N579" s="164"/>
      <c r="O579" s="166"/>
      <c r="P579" s="165"/>
    </row>
    <row r="580" spans="1:16" ht="15" hidden="1" customHeight="1" x14ac:dyDescent="0.25">
      <c r="A580" s="167"/>
      <c r="B580" s="167"/>
      <c r="C580" s="167"/>
      <c r="D580" s="167"/>
      <c r="E580" s="167"/>
      <c r="F580" s="167"/>
      <c r="G580" s="167"/>
      <c r="H580" s="167"/>
      <c r="I580" s="164">
        <f t="shared" ca="1" si="9"/>
        <v>44939</v>
      </c>
      <c r="J580" s="163">
        <v>0.33333333333333331</v>
      </c>
      <c r="K580" s="162" t="s">
        <v>749</v>
      </c>
      <c r="L580" s="166"/>
      <c r="M580" s="166"/>
      <c r="N580" s="164"/>
      <c r="O580" s="166"/>
      <c r="P580" s="165"/>
    </row>
    <row r="581" spans="1:16" ht="15" hidden="1" customHeight="1" x14ac:dyDescent="0.25">
      <c r="A581" s="167"/>
      <c r="B581" s="167"/>
      <c r="C581" s="167"/>
      <c r="D581" s="167"/>
      <c r="E581" s="167"/>
      <c r="F581" s="167"/>
      <c r="G581" s="167"/>
      <c r="H581" s="167"/>
      <c r="I581" s="164">
        <f t="shared" ca="1" si="9"/>
        <v>44939</v>
      </c>
      <c r="J581" s="163">
        <v>0.33333333333333331</v>
      </c>
      <c r="K581" s="162" t="s">
        <v>749</v>
      </c>
      <c r="L581" s="166"/>
      <c r="M581" s="166"/>
      <c r="N581" s="164"/>
      <c r="O581" s="166"/>
      <c r="P581" s="165"/>
    </row>
    <row r="582" spans="1:16" ht="15" hidden="1" customHeight="1" x14ac:dyDescent="0.25">
      <c r="A582" s="167"/>
      <c r="B582" s="167"/>
      <c r="C582" s="167"/>
      <c r="D582" s="167"/>
      <c r="E582" s="167"/>
      <c r="F582" s="167"/>
      <c r="G582" s="167"/>
      <c r="H582" s="167"/>
      <c r="I582" s="164">
        <f t="shared" ca="1" si="9"/>
        <v>44939</v>
      </c>
      <c r="J582" s="163">
        <v>0.33333333333333331</v>
      </c>
      <c r="K582" s="162" t="s">
        <v>749</v>
      </c>
      <c r="L582" s="166"/>
      <c r="M582" s="166"/>
      <c r="N582" s="164"/>
      <c r="O582" s="166"/>
      <c r="P582" s="165"/>
    </row>
    <row r="583" spans="1:16" ht="15" hidden="1" customHeight="1" x14ac:dyDescent="0.25">
      <c r="A583" s="167"/>
      <c r="B583" s="167"/>
      <c r="C583" s="167"/>
      <c r="D583" s="167"/>
      <c r="E583" s="167"/>
      <c r="F583" s="167"/>
      <c r="G583" s="167"/>
      <c r="H583" s="167"/>
      <c r="I583" s="164">
        <f t="shared" ca="1" si="9"/>
        <v>44939</v>
      </c>
      <c r="J583" s="163">
        <v>0.33333333333333331</v>
      </c>
      <c r="K583" s="162" t="s">
        <v>749</v>
      </c>
      <c r="L583" s="166"/>
      <c r="M583" s="166"/>
      <c r="N583" s="164"/>
      <c r="O583" s="166"/>
      <c r="P583" s="165"/>
    </row>
    <row r="584" spans="1:16" ht="15" hidden="1" customHeight="1" x14ac:dyDescent="0.25">
      <c r="A584" s="167"/>
      <c r="B584" s="167"/>
      <c r="C584" s="167"/>
      <c r="D584" s="167"/>
      <c r="E584" s="167"/>
      <c r="F584" s="167"/>
      <c r="G584" s="167"/>
      <c r="H584" s="167"/>
      <c r="I584" s="164">
        <f t="shared" ca="1" si="9"/>
        <v>44939</v>
      </c>
      <c r="J584" s="163">
        <v>0.33333333333333331</v>
      </c>
      <c r="K584" s="162" t="s">
        <v>749</v>
      </c>
      <c r="L584" s="166"/>
      <c r="M584" s="166"/>
      <c r="N584" s="164"/>
      <c r="O584" s="166"/>
      <c r="P584" s="165"/>
    </row>
    <row r="585" spans="1:16" ht="15" hidden="1" customHeight="1" x14ac:dyDescent="0.25">
      <c r="A585" s="167"/>
      <c r="B585" s="167"/>
      <c r="C585" s="167"/>
      <c r="D585" s="167"/>
      <c r="E585" s="167"/>
      <c r="F585" s="167"/>
      <c r="G585" s="167"/>
      <c r="H585" s="167"/>
      <c r="I585" s="164">
        <f t="shared" ca="1" si="9"/>
        <v>44939</v>
      </c>
      <c r="J585" s="163">
        <v>0.33333333333333331</v>
      </c>
      <c r="K585" s="162" t="s">
        <v>749</v>
      </c>
      <c r="L585" s="166"/>
      <c r="M585" s="166"/>
      <c r="N585" s="164"/>
      <c r="O585" s="166"/>
      <c r="P585" s="165"/>
    </row>
    <row r="586" spans="1:16" ht="15" hidden="1" customHeight="1" x14ac:dyDescent="0.25">
      <c r="A586" s="167"/>
      <c r="B586" s="167"/>
      <c r="C586" s="167"/>
      <c r="D586" s="167"/>
      <c r="E586" s="167"/>
      <c r="F586" s="167"/>
      <c r="G586" s="167"/>
      <c r="H586" s="167"/>
      <c r="I586" s="164">
        <f t="shared" ca="1" si="9"/>
        <v>44939</v>
      </c>
      <c r="J586" s="163">
        <v>0.33333333333333331</v>
      </c>
      <c r="K586" s="162" t="s">
        <v>749</v>
      </c>
      <c r="L586" s="166"/>
      <c r="M586" s="166"/>
      <c r="N586" s="164"/>
      <c r="O586" s="166"/>
      <c r="P586" s="165"/>
    </row>
    <row r="587" spans="1:16" ht="15" hidden="1" customHeight="1" x14ac:dyDescent="0.25">
      <c r="A587" s="167"/>
      <c r="B587" s="167"/>
      <c r="C587" s="167"/>
      <c r="D587" s="167"/>
      <c r="E587" s="167"/>
      <c r="F587" s="167"/>
      <c r="G587" s="167"/>
      <c r="H587" s="167"/>
      <c r="I587" s="164">
        <f t="shared" ca="1" si="9"/>
        <v>44939</v>
      </c>
      <c r="J587" s="163">
        <v>0.33333333333333331</v>
      </c>
      <c r="K587" s="162" t="s">
        <v>749</v>
      </c>
      <c r="L587" s="166"/>
      <c r="M587" s="166"/>
      <c r="N587" s="164"/>
      <c r="O587" s="166"/>
      <c r="P587" s="165"/>
    </row>
    <row r="588" spans="1:16" ht="15" hidden="1" customHeight="1" x14ac:dyDescent="0.25">
      <c r="A588" s="167"/>
      <c r="B588" s="167"/>
      <c r="C588" s="167"/>
      <c r="D588" s="167"/>
      <c r="E588" s="167"/>
      <c r="F588" s="167"/>
      <c r="G588" s="167"/>
      <c r="H588" s="167"/>
      <c r="I588" s="164">
        <f t="shared" ca="1" si="9"/>
        <v>44939</v>
      </c>
      <c r="J588" s="163">
        <v>0.33333333333333331</v>
      </c>
      <c r="K588" s="162" t="s">
        <v>749</v>
      </c>
      <c r="L588" s="166"/>
      <c r="M588" s="166"/>
      <c r="N588" s="164"/>
      <c r="O588" s="166"/>
      <c r="P588" s="165"/>
    </row>
    <row r="589" spans="1:16" ht="15" hidden="1" customHeight="1" x14ac:dyDescent="0.25">
      <c r="A589" s="167"/>
      <c r="B589" s="167"/>
      <c r="C589" s="167"/>
      <c r="D589" s="167"/>
      <c r="E589" s="167"/>
      <c r="F589" s="167"/>
      <c r="G589" s="167"/>
      <c r="H589" s="167"/>
      <c r="I589" s="164">
        <f t="shared" ca="1" si="9"/>
        <v>44939</v>
      </c>
      <c r="J589" s="163">
        <v>0.33333333333333331</v>
      </c>
      <c r="K589" s="162" t="s">
        <v>749</v>
      </c>
      <c r="L589" s="166"/>
      <c r="M589" s="166"/>
      <c r="N589" s="164"/>
      <c r="O589" s="166"/>
      <c r="P589" s="165"/>
    </row>
    <row r="590" spans="1:16" ht="15" hidden="1" customHeight="1" x14ac:dyDescent="0.25">
      <c r="A590" s="167"/>
      <c r="B590" s="167"/>
      <c r="C590" s="167"/>
      <c r="D590" s="167"/>
      <c r="E590" s="167"/>
      <c r="F590" s="167"/>
      <c r="G590" s="167"/>
      <c r="H590" s="167"/>
      <c r="I590" s="164">
        <f t="shared" ca="1" si="9"/>
        <v>44939</v>
      </c>
      <c r="J590" s="163">
        <v>0.33333333333333331</v>
      </c>
      <c r="K590" s="162" t="s">
        <v>749</v>
      </c>
      <c r="L590" s="166"/>
      <c r="M590" s="166"/>
      <c r="N590" s="164"/>
      <c r="O590" s="166"/>
      <c r="P590" s="165"/>
    </row>
    <row r="591" spans="1:16" ht="15" hidden="1" customHeight="1" x14ac:dyDescent="0.25">
      <c r="A591" s="167"/>
      <c r="B591" s="167"/>
      <c r="C591" s="167"/>
      <c r="D591" s="167"/>
      <c r="E591" s="167"/>
      <c r="F591" s="167"/>
      <c r="G591" s="167"/>
      <c r="H591" s="167"/>
      <c r="I591" s="164">
        <f t="shared" ca="1" si="9"/>
        <v>44939</v>
      </c>
      <c r="J591" s="163">
        <v>0.33333333333333331</v>
      </c>
      <c r="K591" s="162" t="s">
        <v>749</v>
      </c>
      <c r="L591" s="166"/>
      <c r="M591" s="166"/>
      <c r="N591" s="164"/>
      <c r="O591" s="166"/>
      <c r="P591" s="165"/>
    </row>
    <row r="592" spans="1:16" ht="15" hidden="1" customHeight="1" x14ac:dyDescent="0.25">
      <c r="A592" s="167"/>
      <c r="B592" s="167"/>
      <c r="C592" s="167"/>
      <c r="D592" s="167"/>
      <c r="E592" s="167"/>
      <c r="F592" s="167"/>
      <c r="G592" s="167"/>
      <c r="H592" s="167"/>
      <c r="I592" s="164">
        <f t="shared" ca="1" si="9"/>
        <v>44939</v>
      </c>
      <c r="J592" s="163">
        <v>0.33333333333333331</v>
      </c>
      <c r="K592" s="162" t="s">
        <v>749</v>
      </c>
      <c r="L592" s="166"/>
      <c r="M592" s="166"/>
      <c r="N592" s="164"/>
      <c r="O592" s="166"/>
      <c r="P592" s="165"/>
    </row>
    <row r="593" spans="1:16" ht="15" hidden="1" customHeight="1" x14ac:dyDescent="0.25">
      <c r="A593" s="168"/>
      <c r="B593" s="167"/>
      <c r="C593" s="167"/>
      <c r="D593" s="167"/>
      <c r="E593" s="167"/>
      <c r="F593" s="167"/>
      <c r="G593" s="167"/>
      <c r="H593" s="167"/>
      <c r="I593" s="164">
        <f t="shared" ca="1" si="9"/>
        <v>44939</v>
      </c>
      <c r="J593" s="163">
        <v>0.33333333333333331</v>
      </c>
      <c r="K593" s="162" t="s">
        <v>749</v>
      </c>
      <c r="L593" s="166"/>
      <c r="M593" s="166"/>
      <c r="N593" s="164"/>
      <c r="O593" s="166"/>
      <c r="P593" s="165"/>
    </row>
    <row r="594" spans="1:16" ht="15" hidden="1" customHeight="1" x14ac:dyDescent="0.25">
      <c r="A594" s="167"/>
      <c r="B594" s="167"/>
      <c r="C594" s="167"/>
      <c r="D594" s="167"/>
      <c r="E594" s="167"/>
      <c r="F594" s="167"/>
      <c r="G594" s="167"/>
      <c r="H594" s="167"/>
      <c r="I594" s="164">
        <f t="shared" ca="1" si="9"/>
        <v>44939</v>
      </c>
      <c r="J594" s="163">
        <v>0.33333333333333331</v>
      </c>
      <c r="K594" s="162" t="s">
        <v>749</v>
      </c>
      <c r="L594" s="166"/>
      <c r="M594" s="166"/>
      <c r="N594" s="164"/>
      <c r="O594" s="166"/>
      <c r="P594" s="165"/>
    </row>
    <row r="595" spans="1:16" ht="15" hidden="1" customHeight="1" x14ac:dyDescent="0.25">
      <c r="A595" s="168"/>
      <c r="B595" s="167"/>
      <c r="C595" s="168"/>
      <c r="D595" s="167"/>
      <c r="E595" s="167"/>
      <c r="F595" s="167"/>
      <c r="G595" s="167"/>
      <c r="H595" s="167"/>
      <c r="I595" s="164">
        <f t="shared" ca="1" si="9"/>
        <v>44939</v>
      </c>
      <c r="J595" s="163">
        <v>0.33333333333333331</v>
      </c>
      <c r="K595" s="162" t="s">
        <v>749</v>
      </c>
      <c r="L595" s="166"/>
      <c r="M595" s="166"/>
      <c r="N595" s="164"/>
      <c r="O595" s="166"/>
      <c r="P595" s="165"/>
    </row>
    <row r="596" spans="1:16" ht="15" hidden="1" customHeight="1" x14ac:dyDescent="0.25">
      <c r="A596" s="168"/>
      <c r="B596" s="167"/>
      <c r="C596" s="168"/>
      <c r="D596" s="167"/>
      <c r="E596" s="167"/>
      <c r="F596" s="167"/>
      <c r="G596" s="167"/>
      <c r="H596" s="167"/>
      <c r="I596" s="164">
        <f t="shared" ca="1" si="9"/>
        <v>44939</v>
      </c>
      <c r="J596" s="163">
        <v>0.33333333333333331</v>
      </c>
      <c r="K596" s="162" t="s">
        <v>749</v>
      </c>
      <c r="L596" s="166"/>
      <c r="M596" s="166"/>
      <c r="N596" s="164"/>
      <c r="O596" s="166"/>
      <c r="P596" s="165"/>
    </row>
    <row r="597" spans="1:16" ht="15" hidden="1" customHeight="1" x14ac:dyDescent="0.25">
      <c r="A597" s="168"/>
      <c r="B597" s="167"/>
      <c r="C597" s="168"/>
      <c r="D597" s="167"/>
      <c r="E597" s="167"/>
      <c r="F597" s="167"/>
      <c r="G597" s="167"/>
      <c r="H597" s="167"/>
      <c r="I597" s="164">
        <f t="shared" ca="1" si="9"/>
        <v>44939</v>
      </c>
      <c r="J597" s="163">
        <v>0.33333333333333331</v>
      </c>
      <c r="K597" s="162" t="s">
        <v>749</v>
      </c>
      <c r="L597" s="166"/>
      <c r="M597" s="166"/>
      <c r="N597" s="164"/>
      <c r="O597" s="166"/>
      <c r="P597" s="165"/>
    </row>
    <row r="598" spans="1:16" ht="15" hidden="1" customHeight="1" x14ac:dyDescent="0.25">
      <c r="A598" s="168"/>
      <c r="B598" s="167"/>
      <c r="C598" s="168"/>
      <c r="D598" s="167"/>
      <c r="E598" s="167"/>
      <c r="F598" s="167"/>
      <c r="G598" s="167"/>
      <c r="H598" s="167"/>
      <c r="I598" s="164">
        <f t="shared" ca="1" si="9"/>
        <v>44939</v>
      </c>
      <c r="J598" s="163">
        <v>0.33333333333333331</v>
      </c>
      <c r="K598" s="162" t="s">
        <v>749</v>
      </c>
      <c r="L598" s="166"/>
      <c r="M598" s="166"/>
      <c r="N598" s="164"/>
      <c r="O598" s="166"/>
      <c r="P598" s="165"/>
    </row>
    <row r="599" spans="1:16" ht="15" hidden="1" customHeight="1" x14ac:dyDescent="0.25">
      <c r="A599" s="168"/>
      <c r="B599" s="167"/>
      <c r="C599" s="168"/>
      <c r="D599" s="167"/>
      <c r="E599" s="167"/>
      <c r="F599" s="167"/>
      <c r="G599" s="167"/>
      <c r="H599" s="167"/>
      <c r="I599" s="164">
        <f t="shared" ca="1" si="9"/>
        <v>44939</v>
      </c>
      <c r="J599" s="163">
        <v>0.33333333333333331</v>
      </c>
      <c r="K599" s="162" t="s">
        <v>749</v>
      </c>
      <c r="L599" s="166"/>
      <c r="M599" s="166"/>
      <c r="N599" s="164"/>
      <c r="O599" s="166"/>
      <c r="P599" s="165"/>
    </row>
    <row r="600" spans="1:16" ht="15" hidden="1" customHeight="1" x14ac:dyDescent="0.25">
      <c r="A600" s="168"/>
      <c r="B600" s="167"/>
      <c r="C600" s="168"/>
      <c r="D600" s="167"/>
      <c r="E600" s="167"/>
      <c r="F600" s="167"/>
      <c r="G600" s="167"/>
      <c r="H600" s="167"/>
      <c r="I600" s="164">
        <f t="shared" ref="I600:I663" ca="1" si="10">TODAY()</f>
        <v>44939</v>
      </c>
      <c r="J600" s="163">
        <v>0.33333333333333331</v>
      </c>
      <c r="K600" s="162" t="s">
        <v>749</v>
      </c>
      <c r="L600" s="166"/>
      <c r="M600" s="166"/>
      <c r="N600" s="164"/>
      <c r="O600" s="166"/>
      <c r="P600" s="165"/>
    </row>
    <row r="601" spans="1:16" ht="15" hidden="1" customHeight="1" x14ac:dyDescent="0.25">
      <c r="A601" s="168"/>
      <c r="B601" s="167"/>
      <c r="C601" s="168"/>
      <c r="D601" s="167"/>
      <c r="E601" s="167"/>
      <c r="F601" s="167"/>
      <c r="G601" s="167"/>
      <c r="H601" s="167"/>
      <c r="I601" s="164">
        <f t="shared" ca="1" si="10"/>
        <v>44939</v>
      </c>
      <c r="J601" s="163">
        <v>0.33333333333333331</v>
      </c>
      <c r="K601" s="162" t="s">
        <v>749</v>
      </c>
      <c r="L601" s="166"/>
      <c r="M601" s="166"/>
      <c r="N601" s="164"/>
      <c r="O601" s="166"/>
      <c r="P601" s="165"/>
    </row>
    <row r="602" spans="1:16" ht="15" hidden="1" customHeight="1" x14ac:dyDescent="0.25">
      <c r="A602" s="167"/>
      <c r="B602" s="167"/>
      <c r="C602" s="167"/>
      <c r="D602" s="167"/>
      <c r="E602" s="167"/>
      <c r="F602" s="167"/>
      <c r="G602" s="167"/>
      <c r="H602" s="167"/>
      <c r="I602" s="164">
        <f t="shared" ca="1" si="10"/>
        <v>44939</v>
      </c>
      <c r="J602" s="163">
        <v>0.33333333333333331</v>
      </c>
      <c r="K602" s="162" t="s">
        <v>749</v>
      </c>
      <c r="L602" s="166"/>
      <c r="M602" s="166"/>
      <c r="N602" s="164"/>
      <c r="O602" s="166"/>
      <c r="P602" s="165"/>
    </row>
    <row r="603" spans="1:16" ht="15" hidden="1" customHeight="1" x14ac:dyDescent="0.25">
      <c r="A603" s="167"/>
      <c r="B603" s="167"/>
      <c r="C603" s="167"/>
      <c r="D603" s="167"/>
      <c r="E603" s="167"/>
      <c r="F603" s="167"/>
      <c r="G603" s="167"/>
      <c r="H603" s="167"/>
      <c r="I603" s="164">
        <f t="shared" ca="1" si="10"/>
        <v>44939</v>
      </c>
      <c r="J603" s="163">
        <v>0.33333333333333331</v>
      </c>
      <c r="K603" s="162" t="s">
        <v>749</v>
      </c>
      <c r="L603" s="166"/>
      <c r="M603" s="166"/>
      <c r="N603" s="164"/>
      <c r="O603" s="166"/>
      <c r="P603" s="165"/>
    </row>
    <row r="604" spans="1:16" ht="15" hidden="1" customHeight="1" x14ac:dyDescent="0.25">
      <c r="A604" s="167"/>
      <c r="B604" s="167"/>
      <c r="C604" s="167"/>
      <c r="D604" s="167"/>
      <c r="E604" s="167"/>
      <c r="F604" s="167"/>
      <c r="G604" s="167"/>
      <c r="H604" s="167"/>
      <c r="I604" s="164">
        <f t="shared" ca="1" si="10"/>
        <v>44939</v>
      </c>
      <c r="J604" s="163">
        <v>0.33333333333333331</v>
      </c>
      <c r="K604" s="162" t="s">
        <v>749</v>
      </c>
      <c r="L604" s="166"/>
      <c r="M604" s="166"/>
      <c r="N604" s="164"/>
      <c r="O604" s="166"/>
      <c r="P604" s="165"/>
    </row>
    <row r="605" spans="1:16" ht="15" hidden="1" customHeight="1" x14ac:dyDescent="0.25">
      <c r="A605" s="167"/>
      <c r="B605" s="167"/>
      <c r="C605" s="167"/>
      <c r="D605" s="167"/>
      <c r="E605" s="167"/>
      <c r="F605" s="167"/>
      <c r="G605" s="167"/>
      <c r="H605" s="167"/>
      <c r="I605" s="164">
        <f t="shared" ca="1" si="10"/>
        <v>44939</v>
      </c>
      <c r="J605" s="163">
        <v>0.33333333333333331</v>
      </c>
      <c r="K605" s="162" t="s">
        <v>749</v>
      </c>
      <c r="L605" s="166"/>
      <c r="M605" s="166"/>
      <c r="N605" s="164"/>
      <c r="O605" s="166"/>
      <c r="P605" s="165"/>
    </row>
    <row r="606" spans="1:16" ht="15" hidden="1" customHeight="1" x14ac:dyDescent="0.25">
      <c r="A606" s="167"/>
      <c r="B606" s="167"/>
      <c r="C606" s="167"/>
      <c r="D606" s="167"/>
      <c r="E606" s="167"/>
      <c r="F606" s="167"/>
      <c r="G606" s="167"/>
      <c r="H606" s="167"/>
      <c r="I606" s="164">
        <f t="shared" ca="1" si="10"/>
        <v>44939</v>
      </c>
      <c r="J606" s="163">
        <v>0.33333333333333331</v>
      </c>
      <c r="K606" s="162" t="s">
        <v>749</v>
      </c>
      <c r="L606" s="166"/>
      <c r="M606" s="166"/>
      <c r="N606" s="164"/>
      <c r="O606" s="166"/>
      <c r="P606" s="165"/>
    </row>
    <row r="607" spans="1:16" ht="15" hidden="1" customHeight="1" x14ac:dyDescent="0.25">
      <c r="A607" s="167"/>
      <c r="B607" s="167"/>
      <c r="C607" s="167"/>
      <c r="D607" s="167"/>
      <c r="E607" s="167"/>
      <c r="F607" s="167"/>
      <c r="G607" s="167"/>
      <c r="H607" s="167"/>
      <c r="I607" s="164">
        <f t="shared" ca="1" si="10"/>
        <v>44939</v>
      </c>
      <c r="J607" s="163">
        <v>0.33333333333333331</v>
      </c>
      <c r="K607" s="162" t="s">
        <v>749</v>
      </c>
      <c r="L607" s="166"/>
      <c r="M607" s="166"/>
      <c r="N607" s="164"/>
      <c r="O607" s="166"/>
      <c r="P607" s="165"/>
    </row>
    <row r="608" spans="1:16" ht="15" hidden="1" customHeight="1" x14ac:dyDescent="0.25">
      <c r="A608" s="168"/>
      <c r="B608" s="167"/>
      <c r="C608" s="168"/>
      <c r="D608" s="167"/>
      <c r="E608" s="167"/>
      <c r="F608" s="167"/>
      <c r="G608" s="167"/>
      <c r="H608" s="167"/>
      <c r="I608" s="164">
        <f t="shared" ca="1" si="10"/>
        <v>44939</v>
      </c>
      <c r="J608" s="163">
        <v>0.33333333333333331</v>
      </c>
      <c r="K608" s="162" t="s">
        <v>749</v>
      </c>
      <c r="L608" s="166"/>
      <c r="M608" s="166"/>
      <c r="N608" s="164"/>
      <c r="O608" s="166"/>
      <c r="P608" s="165"/>
    </row>
    <row r="609" spans="1:16" ht="15" hidden="1" customHeight="1" x14ac:dyDescent="0.25">
      <c r="A609" s="168"/>
      <c r="B609" s="167"/>
      <c r="C609" s="168"/>
      <c r="D609" s="167"/>
      <c r="E609" s="167"/>
      <c r="F609" s="167"/>
      <c r="G609" s="167"/>
      <c r="H609" s="167"/>
      <c r="I609" s="164">
        <f t="shared" ca="1" si="10"/>
        <v>44939</v>
      </c>
      <c r="J609" s="163">
        <v>0.33333333333333331</v>
      </c>
      <c r="K609" s="162" t="s">
        <v>749</v>
      </c>
      <c r="L609" s="166"/>
      <c r="M609" s="166"/>
      <c r="N609" s="164"/>
      <c r="O609" s="166"/>
      <c r="P609" s="165"/>
    </row>
    <row r="610" spans="1:16" ht="15" hidden="1" customHeight="1" x14ac:dyDescent="0.25">
      <c r="A610" s="168"/>
      <c r="B610" s="167"/>
      <c r="C610" s="168"/>
      <c r="D610" s="167"/>
      <c r="E610" s="167"/>
      <c r="F610" s="167"/>
      <c r="G610" s="167"/>
      <c r="H610" s="167"/>
      <c r="I610" s="164">
        <f t="shared" ca="1" si="10"/>
        <v>44939</v>
      </c>
      <c r="J610" s="163">
        <v>0.33333333333333331</v>
      </c>
      <c r="K610" s="162" t="s">
        <v>749</v>
      </c>
      <c r="L610" s="166"/>
      <c r="M610" s="166"/>
      <c r="N610" s="164"/>
      <c r="O610" s="166"/>
      <c r="P610" s="165"/>
    </row>
    <row r="611" spans="1:16" ht="15" hidden="1" customHeight="1" x14ac:dyDescent="0.25">
      <c r="A611" s="168"/>
      <c r="B611" s="167"/>
      <c r="C611" s="168"/>
      <c r="D611" s="167"/>
      <c r="E611" s="167"/>
      <c r="F611" s="167"/>
      <c r="G611" s="167"/>
      <c r="H611" s="167"/>
      <c r="I611" s="164">
        <f t="shared" ca="1" si="10"/>
        <v>44939</v>
      </c>
      <c r="J611" s="163">
        <v>0.33333333333333331</v>
      </c>
      <c r="K611" s="162" t="s">
        <v>749</v>
      </c>
      <c r="L611" s="166"/>
      <c r="M611" s="166"/>
      <c r="N611" s="164"/>
      <c r="O611" s="166"/>
      <c r="P611" s="165"/>
    </row>
    <row r="612" spans="1:16" ht="15" hidden="1" customHeight="1" x14ac:dyDescent="0.25">
      <c r="A612" s="167"/>
      <c r="B612" s="167"/>
      <c r="C612" s="168"/>
      <c r="D612" s="167"/>
      <c r="E612" s="167"/>
      <c r="F612" s="167"/>
      <c r="G612" s="167"/>
      <c r="H612" s="167"/>
      <c r="I612" s="164">
        <f t="shared" ca="1" si="10"/>
        <v>44939</v>
      </c>
      <c r="J612" s="163">
        <v>0.33333333333333331</v>
      </c>
      <c r="K612" s="162" t="s">
        <v>749</v>
      </c>
      <c r="L612" s="166"/>
      <c r="M612" s="166"/>
      <c r="N612" s="164"/>
      <c r="O612" s="166"/>
      <c r="P612" s="165"/>
    </row>
    <row r="613" spans="1:16" ht="15" hidden="1" customHeight="1" x14ac:dyDescent="0.25">
      <c r="A613" s="167"/>
      <c r="B613" s="167"/>
      <c r="C613" s="168"/>
      <c r="D613" s="167"/>
      <c r="E613" s="167"/>
      <c r="F613" s="167"/>
      <c r="G613" s="167"/>
      <c r="H613" s="167"/>
      <c r="I613" s="164">
        <f t="shared" ca="1" si="10"/>
        <v>44939</v>
      </c>
      <c r="J613" s="163">
        <v>0.33333333333333331</v>
      </c>
      <c r="K613" s="162" t="s">
        <v>749</v>
      </c>
      <c r="L613" s="166"/>
      <c r="M613" s="166"/>
      <c r="N613" s="164"/>
      <c r="O613" s="166"/>
      <c r="P613" s="165"/>
    </row>
    <row r="614" spans="1:16" ht="15" hidden="1" customHeight="1" x14ac:dyDescent="0.25">
      <c r="A614" s="167"/>
      <c r="B614" s="167"/>
      <c r="C614" s="167"/>
      <c r="D614" s="167"/>
      <c r="E614" s="167"/>
      <c r="F614" s="167"/>
      <c r="G614" s="167"/>
      <c r="H614" s="167"/>
      <c r="I614" s="164">
        <f t="shared" ca="1" si="10"/>
        <v>44939</v>
      </c>
      <c r="J614" s="163">
        <v>0.33333333333333331</v>
      </c>
      <c r="K614" s="162" t="s">
        <v>749</v>
      </c>
      <c r="L614" s="166"/>
      <c r="M614" s="166"/>
      <c r="N614" s="164"/>
      <c r="O614" s="166"/>
      <c r="P614" s="165"/>
    </row>
    <row r="615" spans="1:16" ht="15" hidden="1" customHeight="1" x14ac:dyDescent="0.25">
      <c r="A615" s="167"/>
      <c r="B615" s="167"/>
      <c r="C615" s="167"/>
      <c r="D615" s="167"/>
      <c r="E615" s="167"/>
      <c r="F615" s="167"/>
      <c r="G615" s="167"/>
      <c r="H615" s="167"/>
      <c r="I615" s="164">
        <f t="shared" ca="1" si="10"/>
        <v>44939</v>
      </c>
      <c r="J615" s="163">
        <v>0.33333333333333331</v>
      </c>
      <c r="K615" s="162" t="s">
        <v>749</v>
      </c>
      <c r="L615" s="166"/>
      <c r="M615" s="166"/>
      <c r="N615" s="164"/>
      <c r="O615" s="166"/>
      <c r="P615" s="165"/>
    </row>
    <row r="616" spans="1:16" ht="15" hidden="1" customHeight="1" x14ac:dyDescent="0.25">
      <c r="A616" s="167"/>
      <c r="B616" s="167"/>
      <c r="C616" s="167"/>
      <c r="D616" s="167"/>
      <c r="E616" s="167"/>
      <c r="F616" s="167"/>
      <c r="G616" s="167"/>
      <c r="H616" s="167"/>
      <c r="I616" s="164">
        <f t="shared" ca="1" si="10"/>
        <v>44939</v>
      </c>
      <c r="J616" s="163">
        <v>0.33333333333333331</v>
      </c>
      <c r="K616" s="162" t="s">
        <v>749</v>
      </c>
      <c r="L616" s="166"/>
      <c r="M616" s="166"/>
      <c r="N616" s="164"/>
      <c r="O616" s="166"/>
      <c r="P616" s="165"/>
    </row>
    <row r="617" spans="1:16" ht="15" hidden="1" customHeight="1" x14ac:dyDescent="0.25">
      <c r="A617" s="167"/>
      <c r="B617" s="167"/>
      <c r="C617" s="167"/>
      <c r="D617" s="167"/>
      <c r="E617" s="167"/>
      <c r="F617" s="167"/>
      <c r="G617" s="167"/>
      <c r="H617" s="167"/>
      <c r="I617" s="164">
        <f t="shared" ca="1" si="10"/>
        <v>44939</v>
      </c>
      <c r="J617" s="163">
        <v>0.33333333333333331</v>
      </c>
      <c r="K617" s="162" t="s">
        <v>749</v>
      </c>
      <c r="L617" s="166"/>
      <c r="M617" s="166"/>
      <c r="N617" s="164"/>
      <c r="O617" s="166"/>
      <c r="P617" s="165"/>
    </row>
    <row r="618" spans="1:16" ht="15" hidden="1" customHeight="1" x14ac:dyDescent="0.25">
      <c r="A618" s="167"/>
      <c r="B618" s="167"/>
      <c r="C618" s="167"/>
      <c r="D618" s="167"/>
      <c r="E618" s="167"/>
      <c r="F618" s="167"/>
      <c r="G618" s="167"/>
      <c r="H618" s="167"/>
      <c r="I618" s="164">
        <f t="shared" ca="1" si="10"/>
        <v>44939</v>
      </c>
      <c r="J618" s="163">
        <v>0.33333333333333331</v>
      </c>
      <c r="K618" s="162" t="s">
        <v>749</v>
      </c>
      <c r="L618" s="166"/>
      <c r="M618" s="166"/>
      <c r="N618" s="164"/>
      <c r="O618" s="166"/>
      <c r="P618" s="165"/>
    </row>
    <row r="619" spans="1:16" ht="15" hidden="1" customHeight="1" x14ac:dyDescent="0.25">
      <c r="A619" s="167"/>
      <c r="B619" s="167"/>
      <c r="C619" s="167"/>
      <c r="D619" s="167"/>
      <c r="E619" s="167"/>
      <c r="F619" s="167"/>
      <c r="G619" s="167"/>
      <c r="H619" s="167"/>
      <c r="I619" s="164">
        <f t="shared" ca="1" si="10"/>
        <v>44939</v>
      </c>
      <c r="J619" s="163">
        <v>0.33333333333333331</v>
      </c>
      <c r="K619" s="162" t="s">
        <v>749</v>
      </c>
      <c r="L619" s="166"/>
      <c r="M619" s="166"/>
      <c r="N619" s="164"/>
      <c r="O619" s="166"/>
      <c r="P619" s="165"/>
    </row>
    <row r="620" spans="1:16" ht="15" hidden="1" customHeight="1" x14ac:dyDescent="0.25">
      <c r="A620" s="167"/>
      <c r="B620" s="167"/>
      <c r="C620" s="167"/>
      <c r="D620" s="167"/>
      <c r="E620" s="167"/>
      <c r="F620" s="167"/>
      <c r="G620" s="167"/>
      <c r="H620" s="167"/>
      <c r="I620" s="164">
        <f t="shared" ca="1" si="10"/>
        <v>44939</v>
      </c>
      <c r="J620" s="163">
        <v>0.33333333333333331</v>
      </c>
      <c r="K620" s="162" t="s">
        <v>749</v>
      </c>
      <c r="L620" s="166"/>
      <c r="M620" s="166"/>
      <c r="N620" s="164"/>
      <c r="O620" s="166"/>
      <c r="P620" s="165"/>
    </row>
    <row r="621" spans="1:16" ht="15" hidden="1" customHeight="1" x14ac:dyDescent="0.25">
      <c r="A621" s="168"/>
      <c r="B621" s="167"/>
      <c r="C621" s="168"/>
      <c r="D621" s="167"/>
      <c r="E621" s="167"/>
      <c r="F621" s="167"/>
      <c r="G621" s="167"/>
      <c r="H621" s="167"/>
      <c r="I621" s="164">
        <f t="shared" ca="1" si="10"/>
        <v>44939</v>
      </c>
      <c r="J621" s="163">
        <v>0.33333333333333331</v>
      </c>
      <c r="K621" s="162" t="s">
        <v>749</v>
      </c>
      <c r="L621" s="166"/>
      <c r="M621" s="166"/>
      <c r="N621" s="164"/>
      <c r="O621" s="166"/>
      <c r="P621" s="165"/>
    </row>
    <row r="622" spans="1:16" ht="15" hidden="1" customHeight="1" x14ac:dyDescent="0.25">
      <c r="A622" s="167"/>
      <c r="B622" s="167"/>
      <c r="C622" s="167"/>
      <c r="D622" s="167"/>
      <c r="E622" s="167"/>
      <c r="F622" s="167"/>
      <c r="G622" s="167"/>
      <c r="H622" s="167"/>
      <c r="I622" s="164">
        <f t="shared" ca="1" si="10"/>
        <v>44939</v>
      </c>
      <c r="J622" s="163">
        <v>0.33333333333333331</v>
      </c>
      <c r="K622" s="162" t="s">
        <v>749</v>
      </c>
      <c r="L622" s="166"/>
      <c r="M622" s="166"/>
      <c r="N622" s="164"/>
      <c r="O622" s="166"/>
      <c r="P622" s="165"/>
    </row>
    <row r="623" spans="1:16" ht="15" hidden="1" customHeight="1" x14ac:dyDescent="0.25">
      <c r="A623" s="167"/>
      <c r="B623" s="167"/>
      <c r="C623" s="167"/>
      <c r="D623" s="167"/>
      <c r="E623" s="167"/>
      <c r="F623" s="167"/>
      <c r="G623" s="167"/>
      <c r="H623" s="167"/>
      <c r="I623" s="164">
        <f t="shared" ca="1" si="10"/>
        <v>44939</v>
      </c>
      <c r="J623" s="163">
        <v>0.33333333333333331</v>
      </c>
      <c r="K623" s="162" t="s">
        <v>749</v>
      </c>
      <c r="L623" s="166"/>
      <c r="M623" s="166"/>
      <c r="N623" s="164"/>
      <c r="O623" s="166"/>
      <c r="P623" s="165"/>
    </row>
    <row r="624" spans="1:16" ht="15" hidden="1" customHeight="1" x14ac:dyDescent="0.25">
      <c r="A624" s="167"/>
      <c r="B624" s="167"/>
      <c r="C624" s="167"/>
      <c r="D624" s="167"/>
      <c r="E624" s="167"/>
      <c r="F624" s="167"/>
      <c r="G624" s="167"/>
      <c r="H624" s="167"/>
      <c r="I624" s="164">
        <f t="shared" ca="1" si="10"/>
        <v>44939</v>
      </c>
      <c r="J624" s="163">
        <v>0.33333333333333331</v>
      </c>
      <c r="K624" s="162" t="s">
        <v>749</v>
      </c>
      <c r="L624" s="166"/>
      <c r="M624" s="166"/>
      <c r="N624" s="164"/>
      <c r="O624" s="166"/>
      <c r="P624" s="165"/>
    </row>
    <row r="625" spans="1:16" ht="15" hidden="1" customHeight="1" x14ac:dyDescent="0.25">
      <c r="A625" s="167"/>
      <c r="B625" s="167"/>
      <c r="C625" s="167"/>
      <c r="D625" s="167"/>
      <c r="E625" s="167"/>
      <c r="F625" s="167"/>
      <c r="G625" s="167"/>
      <c r="H625" s="167"/>
      <c r="I625" s="164">
        <f t="shared" ca="1" si="10"/>
        <v>44939</v>
      </c>
      <c r="J625" s="163">
        <v>0.33333333333333331</v>
      </c>
      <c r="K625" s="162" t="s">
        <v>749</v>
      </c>
      <c r="L625" s="166"/>
      <c r="M625" s="166"/>
      <c r="N625" s="164"/>
      <c r="O625" s="166"/>
      <c r="P625" s="165"/>
    </row>
    <row r="626" spans="1:16" ht="15" hidden="1" customHeight="1" x14ac:dyDescent="0.25">
      <c r="A626" s="167"/>
      <c r="B626" s="167"/>
      <c r="C626" s="167"/>
      <c r="D626" s="167"/>
      <c r="E626" s="167"/>
      <c r="F626" s="167"/>
      <c r="G626" s="167"/>
      <c r="H626" s="167"/>
      <c r="I626" s="164">
        <f t="shared" ca="1" si="10"/>
        <v>44939</v>
      </c>
      <c r="J626" s="163">
        <v>0.33333333333333331</v>
      </c>
      <c r="K626" s="162" t="s">
        <v>749</v>
      </c>
      <c r="L626" s="166"/>
      <c r="M626" s="166"/>
      <c r="N626" s="164"/>
      <c r="O626" s="166"/>
      <c r="P626" s="165"/>
    </row>
    <row r="627" spans="1:16" ht="15" hidden="1" customHeight="1" x14ac:dyDescent="0.25">
      <c r="A627" s="167"/>
      <c r="B627" s="167"/>
      <c r="C627" s="167"/>
      <c r="D627" s="167"/>
      <c r="E627" s="167"/>
      <c r="F627" s="167"/>
      <c r="G627" s="167"/>
      <c r="H627" s="167"/>
      <c r="I627" s="164">
        <f t="shared" ca="1" si="10"/>
        <v>44939</v>
      </c>
      <c r="J627" s="163">
        <v>0.33333333333333331</v>
      </c>
      <c r="K627" s="162" t="s">
        <v>749</v>
      </c>
      <c r="L627" s="166"/>
      <c r="M627" s="166"/>
      <c r="N627" s="164"/>
      <c r="O627" s="166"/>
      <c r="P627" s="165"/>
    </row>
    <row r="628" spans="1:16" ht="15" hidden="1" customHeight="1" x14ac:dyDescent="0.25">
      <c r="A628" s="167"/>
      <c r="B628" s="167"/>
      <c r="C628" s="167"/>
      <c r="D628" s="167"/>
      <c r="E628" s="167"/>
      <c r="F628" s="167"/>
      <c r="G628" s="167"/>
      <c r="H628" s="167"/>
      <c r="I628" s="164">
        <f t="shared" ca="1" si="10"/>
        <v>44939</v>
      </c>
      <c r="J628" s="163">
        <v>0.33333333333333331</v>
      </c>
      <c r="K628" s="162" t="s">
        <v>749</v>
      </c>
      <c r="L628" s="166"/>
      <c r="M628" s="166"/>
      <c r="N628" s="164"/>
      <c r="O628" s="166"/>
      <c r="P628" s="165"/>
    </row>
    <row r="629" spans="1:16" ht="15" hidden="1" customHeight="1" x14ac:dyDescent="0.25">
      <c r="A629" s="167"/>
      <c r="B629" s="167"/>
      <c r="C629" s="167"/>
      <c r="D629" s="167"/>
      <c r="E629" s="167"/>
      <c r="F629" s="167"/>
      <c r="G629" s="167"/>
      <c r="H629" s="167"/>
      <c r="I629" s="164">
        <f t="shared" ca="1" si="10"/>
        <v>44939</v>
      </c>
      <c r="J629" s="163">
        <v>0.33333333333333331</v>
      </c>
      <c r="K629" s="162" t="s">
        <v>749</v>
      </c>
      <c r="L629" s="166"/>
      <c r="M629" s="166"/>
      <c r="N629" s="164"/>
      <c r="O629" s="166"/>
      <c r="P629" s="165"/>
    </row>
    <row r="630" spans="1:16" ht="15" hidden="1" customHeight="1" x14ac:dyDescent="0.25">
      <c r="A630" s="168"/>
      <c r="B630" s="167"/>
      <c r="C630" s="168"/>
      <c r="D630" s="167"/>
      <c r="E630" s="167"/>
      <c r="F630" s="167"/>
      <c r="G630" s="167"/>
      <c r="H630" s="167"/>
      <c r="I630" s="164">
        <f t="shared" ca="1" si="10"/>
        <v>44939</v>
      </c>
      <c r="J630" s="163">
        <v>0.33333333333333331</v>
      </c>
      <c r="K630" s="162" t="s">
        <v>749</v>
      </c>
      <c r="L630" s="166"/>
      <c r="M630" s="166"/>
      <c r="N630" s="164"/>
      <c r="O630" s="166"/>
      <c r="P630" s="165"/>
    </row>
    <row r="631" spans="1:16" ht="15" hidden="1" customHeight="1" x14ac:dyDescent="0.25">
      <c r="A631" s="168"/>
      <c r="B631" s="167"/>
      <c r="C631" s="168"/>
      <c r="D631" s="167"/>
      <c r="E631" s="167"/>
      <c r="F631" s="167"/>
      <c r="G631" s="167"/>
      <c r="H631" s="167"/>
      <c r="I631" s="164">
        <f t="shared" ca="1" si="10"/>
        <v>44939</v>
      </c>
      <c r="J631" s="163">
        <v>0.33333333333333331</v>
      </c>
      <c r="K631" s="162" t="s">
        <v>749</v>
      </c>
      <c r="L631" s="166"/>
      <c r="M631" s="166"/>
      <c r="N631" s="164"/>
      <c r="O631" s="166"/>
      <c r="P631" s="165"/>
    </row>
    <row r="632" spans="1:16" ht="15" hidden="1" customHeight="1" x14ac:dyDescent="0.25">
      <c r="A632" s="168"/>
      <c r="B632" s="167"/>
      <c r="C632" s="168"/>
      <c r="D632" s="167"/>
      <c r="E632" s="167"/>
      <c r="F632" s="167"/>
      <c r="G632" s="167"/>
      <c r="H632" s="167"/>
      <c r="I632" s="164">
        <f t="shared" ca="1" si="10"/>
        <v>44939</v>
      </c>
      <c r="J632" s="163">
        <v>0.33333333333333331</v>
      </c>
      <c r="K632" s="162" t="s">
        <v>749</v>
      </c>
      <c r="L632" s="166"/>
      <c r="M632" s="166"/>
      <c r="N632" s="164"/>
      <c r="O632" s="166"/>
      <c r="P632" s="165"/>
    </row>
    <row r="633" spans="1:16" ht="15" hidden="1" customHeight="1" x14ac:dyDescent="0.25">
      <c r="A633" s="167"/>
      <c r="B633" s="167"/>
      <c r="C633" s="167"/>
      <c r="D633" s="167"/>
      <c r="E633" s="167"/>
      <c r="F633" s="167"/>
      <c r="G633" s="167"/>
      <c r="H633" s="167"/>
      <c r="I633" s="164">
        <f t="shared" ca="1" si="10"/>
        <v>44939</v>
      </c>
      <c r="J633" s="163">
        <v>0.33333333333333331</v>
      </c>
      <c r="K633" s="162" t="s">
        <v>749</v>
      </c>
      <c r="L633" s="166"/>
      <c r="M633" s="166"/>
      <c r="N633" s="164"/>
      <c r="O633" s="166"/>
      <c r="P633" s="165"/>
    </row>
    <row r="634" spans="1:16" ht="15" hidden="1" customHeight="1" x14ac:dyDescent="0.25">
      <c r="A634" s="167"/>
      <c r="B634" s="167"/>
      <c r="C634" s="167"/>
      <c r="D634" s="167"/>
      <c r="E634" s="167"/>
      <c r="F634" s="167"/>
      <c r="G634" s="167"/>
      <c r="H634" s="167"/>
      <c r="I634" s="164">
        <f t="shared" ca="1" si="10"/>
        <v>44939</v>
      </c>
      <c r="J634" s="163">
        <v>0.33333333333333331</v>
      </c>
      <c r="K634" s="162" t="s">
        <v>749</v>
      </c>
      <c r="L634" s="166"/>
      <c r="M634" s="166"/>
      <c r="N634" s="164"/>
      <c r="O634" s="166"/>
      <c r="P634" s="165"/>
    </row>
    <row r="635" spans="1:16" ht="15" hidden="1" customHeight="1" x14ac:dyDescent="0.25">
      <c r="A635" s="167"/>
      <c r="B635" s="167"/>
      <c r="C635" s="167"/>
      <c r="D635" s="167"/>
      <c r="E635" s="167"/>
      <c r="F635" s="167"/>
      <c r="G635" s="167"/>
      <c r="H635" s="167"/>
      <c r="I635" s="164">
        <f t="shared" ca="1" si="10"/>
        <v>44939</v>
      </c>
      <c r="J635" s="163">
        <v>0.33333333333333331</v>
      </c>
      <c r="K635" s="162" t="s">
        <v>749</v>
      </c>
      <c r="L635" s="166"/>
      <c r="M635" s="166"/>
      <c r="N635" s="164"/>
      <c r="O635" s="166"/>
      <c r="P635" s="165"/>
    </row>
    <row r="636" spans="1:16" ht="15" hidden="1" customHeight="1" x14ac:dyDescent="0.25">
      <c r="A636" s="167"/>
      <c r="B636" s="167"/>
      <c r="C636" s="167"/>
      <c r="D636" s="167"/>
      <c r="E636" s="167"/>
      <c r="F636" s="167"/>
      <c r="G636" s="167"/>
      <c r="H636" s="167"/>
      <c r="I636" s="164">
        <f t="shared" ca="1" si="10"/>
        <v>44939</v>
      </c>
      <c r="J636" s="163">
        <v>0.33333333333333331</v>
      </c>
      <c r="K636" s="162" t="s">
        <v>749</v>
      </c>
      <c r="L636" s="166"/>
      <c r="M636" s="166"/>
      <c r="N636" s="164"/>
      <c r="O636" s="166"/>
      <c r="P636" s="165"/>
    </row>
    <row r="637" spans="1:16" ht="15" hidden="1" customHeight="1" x14ac:dyDescent="0.25">
      <c r="A637" s="167"/>
      <c r="B637" s="167"/>
      <c r="C637" s="167"/>
      <c r="D637" s="167"/>
      <c r="E637" s="167"/>
      <c r="F637" s="167"/>
      <c r="G637" s="167"/>
      <c r="H637" s="167"/>
      <c r="I637" s="164">
        <f t="shared" ca="1" si="10"/>
        <v>44939</v>
      </c>
      <c r="J637" s="163">
        <v>0.33333333333333331</v>
      </c>
      <c r="K637" s="162" t="s">
        <v>749</v>
      </c>
      <c r="L637" s="166"/>
      <c r="M637" s="166"/>
      <c r="N637" s="164"/>
      <c r="O637" s="166"/>
      <c r="P637" s="165"/>
    </row>
    <row r="638" spans="1:16" ht="15" hidden="1" customHeight="1" x14ac:dyDescent="0.25">
      <c r="A638" s="167"/>
      <c r="B638" s="167"/>
      <c r="C638" s="167"/>
      <c r="D638" s="167"/>
      <c r="E638" s="167"/>
      <c r="F638" s="167"/>
      <c r="G638" s="167"/>
      <c r="H638" s="167"/>
      <c r="I638" s="164">
        <f t="shared" ca="1" si="10"/>
        <v>44939</v>
      </c>
      <c r="J638" s="163">
        <v>0.33333333333333331</v>
      </c>
      <c r="K638" s="162" t="s">
        <v>749</v>
      </c>
      <c r="L638" s="166"/>
      <c r="M638" s="166"/>
      <c r="N638" s="164"/>
      <c r="O638" s="166"/>
      <c r="P638" s="165"/>
    </row>
    <row r="639" spans="1:16" ht="15" hidden="1" customHeight="1" x14ac:dyDescent="0.25">
      <c r="A639" s="167"/>
      <c r="B639" s="167"/>
      <c r="C639" s="167"/>
      <c r="D639" s="167"/>
      <c r="E639" s="167"/>
      <c r="F639" s="167"/>
      <c r="G639" s="167"/>
      <c r="H639" s="167"/>
      <c r="I639" s="164">
        <f t="shared" ca="1" si="10"/>
        <v>44939</v>
      </c>
      <c r="J639" s="163">
        <v>0.33333333333333331</v>
      </c>
      <c r="K639" s="162" t="s">
        <v>749</v>
      </c>
      <c r="L639" s="166"/>
      <c r="M639" s="166"/>
      <c r="N639" s="164"/>
      <c r="O639" s="166"/>
      <c r="P639" s="165"/>
    </row>
    <row r="640" spans="1:16" ht="15" hidden="1" customHeight="1" x14ac:dyDescent="0.25">
      <c r="A640" s="167"/>
      <c r="B640" s="167"/>
      <c r="C640" s="167"/>
      <c r="D640" s="167"/>
      <c r="E640" s="167"/>
      <c r="F640" s="167"/>
      <c r="G640" s="167"/>
      <c r="H640" s="167"/>
      <c r="I640" s="164">
        <f t="shared" ca="1" si="10"/>
        <v>44939</v>
      </c>
      <c r="J640" s="163">
        <v>0.33333333333333331</v>
      </c>
      <c r="K640" s="162" t="s">
        <v>749</v>
      </c>
      <c r="L640" s="166"/>
      <c r="M640" s="166"/>
      <c r="N640" s="164"/>
      <c r="O640" s="166"/>
      <c r="P640" s="165"/>
    </row>
    <row r="641" spans="1:16" ht="15" hidden="1" customHeight="1" x14ac:dyDescent="0.25">
      <c r="A641" s="167"/>
      <c r="B641" s="167"/>
      <c r="C641" s="167"/>
      <c r="D641" s="167"/>
      <c r="E641" s="167"/>
      <c r="F641" s="167"/>
      <c r="G641" s="167"/>
      <c r="H641" s="167"/>
      <c r="I641" s="164">
        <f t="shared" ca="1" si="10"/>
        <v>44939</v>
      </c>
      <c r="J641" s="163">
        <v>0.33333333333333331</v>
      </c>
      <c r="K641" s="162" t="s">
        <v>749</v>
      </c>
      <c r="L641" s="166"/>
      <c r="M641" s="166"/>
      <c r="N641" s="164"/>
      <c r="O641" s="166"/>
      <c r="P641" s="165"/>
    </row>
    <row r="642" spans="1:16" ht="15" hidden="1" customHeight="1" x14ac:dyDescent="0.25">
      <c r="A642" s="167"/>
      <c r="B642" s="167"/>
      <c r="C642" s="167"/>
      <c r="D642" s="167"/>
      <c r="E642" s="167"/>
      <c r="F642" s="167"/>
      <c r="G642" s="167"/>
      <c r="H642" s="167"/>
      <c r="I642" s="164">
        <f t="shared" ca="1" si="10"/>
        <v>44939</v>
      </c>
      <c r="J642" s="163">
        <v>0.33333333333333331</v>
      </c>
      <c r="K642" s="162" t="s">
        <v>749</v>
      </c>
      <c r="L642" s="166"/>
      <c r="M642" s="166"/>
      <c r="N642" s="164"/>
      <c r="O642" s="166"/>
      <c r="P642" s="165"/>
    </row>
    <row r="643" spans="1:16" ht="15" hidden="1" customHeight="1" x14ac:dyDescent="0.25">
      <c r="A643" s="168"/>
      <c r="B643" s="167"/>
      <c r="C643" s="168"/>
      <c r="D643" s="167"/>
      <c r="E643" s="167"/>
      <c r="F643" s="167"/>
      <c r="G643" s="167"/>
      <c r="H643" s="167"/>
      <c r="I643" s="164">
        <f t="shared" ca="1" si="10"/>
        <v>44939</v>
      </c>
      <c r="J643" s="163">
        <v>0.33333333333333331</v>
      </c>
      <c r="K643" s="162" t="s">
        <v>749</v>
      </c>
      <c r="L643" s="166"/>
      <c r="M643" s="166"/>
      <c r="N643" s="164"/>
      <c r="O643" s="166"/>
      <c r="P643" s="165"/>
    </row>
    <row r="644" spans="1:16" ht="15" hidden="1" customHeight="1" x14ac:dyDescent="0.25">
      <c r="A644" s="168"/>
      <c r="B644" s="167"/>
      <c r="C644" s="168"/>
      <c r="D644" s="167"/>
      <c r="E644" s="167"/>
      <c r="F644" s="167"/>
      <c r="G644" s="167"/>
      <c r="H644" s="167"/>
      <c r="I644" s="164">
        <f t="shared" ca="1" si="10"/>
        <v>44939</v>
      </c>
      <c r="J644" s="163">
        <v>0.33333333333333331</v>
      </c>
      <c r="K644" s="162" t="s">
        <v>749</v>
      </c>
      <c r="L644" s="166"/>
      <c r="M644" s="166"/>
      <c r="N644" s="164"/>
      <c r="O644" s="166"/>
      <c r="P644" s="165"/>
    </row>
    <row r="645" spans="1:16" ht="15" hidden="1" customHeight="1" x14ac:dyDescent="0.25">
      <c r="A645" s="168"/>
      <c r="B645" s="167"/>
      <c r="C645" s="168"/>
      <c r="D645" s="167"/>
      <c r="E645" s="167"/>
      <c r="F645" s="167"/>
      <c r="G645" s="167"/>
      <c r="H645" s="167"/>
      <c r="I645" s="164">
        <f t="shared" ca="1" si="10"/>
        <v>44939</v>
      </c>
      <c r="J645" s="163">
        <v>0.33333333333333331</v>
      </c>
      <c r="K645" s="162" t="s">
        <v>749</v>
      </c>
      <c r="L645" s="166"/>
      <c r="M645" s="166"/>
      <c r="N645" s="164"/>
      <c r="O645" s="166"/>
      <c r="P645" s="165"/>
    </row>
    <row r="646" spans="1:16" ht="15" hidden="1" customHeight="1" x14ac:dyDescent="0.25">
      <c r="A646" s="168"/>
      <c r="B646" s="167"/>
      <c r="C646" s="168"/>
      <c r="D646" s="167"/>
      <c r="E646" s="167"/>
      <c r="F646" s="167"/>
      <c r="G646" s="167"/>
      <c r="H646" s="167"/>
      <c r="I646" s="164">
        <f t="shared" ca="1" si="10"/>
        <v>44939</v>
      </c>
      <c r="J646" s="163">
        <v>0.33333333333333331</v>
      </c>
      <c r="K646" s="162" t="s">
        <v>749</v>
      </c>
      <c r="L646" s="166"/>
      <c r="M646" s="166"/>
      <c r="N646" s="164"/>
      <c r="O646" s="166"/>
      <c r="P646" s="165"/>
    </row>
    <row r="647" spans="1:16" ht="15" hidden="1" customHeight="1" x14ac:dyDescent="0.25">
      <c r="A647" s="168"/>
      <c r="B647" s="167"/>
      <c r="C647" s="168"/>
      <c r="D647" s="167"/>
      <c r="E647" s="167"/>
      <c r="F647" s="167"/>
      <c r="G647" s="167"/>
      <c r="H647" s="167"/>
      <c r="I647" s="164">
        <f t="shared" ca="1" si="10"/>
        <v>44939</v>
      </c>
      <c r="J647" s="163">
        <v>0.33333333333333331</v>
      </c>
      <c r="K647" s="162" t="s">
        <v>749</v>
      </c>
      <c r="L647" s="166"/>
      <c r="M647" s="166"/>
      <c r="N647" s="164"/>
      <c r="O647" s="166"/>
      <c r="P647" s="165"/>
    </row>
    <row r="648" spans="1:16" ht="15" hidden="1" customHeight="1" x14ac:dyDescent="0.25">
      <c r="A648" s="168"/>
      <c r="B648" s="167"/>
      <c r="C648" s="168"/>
      <c r="D648" s="167"/>
      <c r="E648" s="167"/>
      <c r="F648" s="167"/>
      <c r="G648" s="167"/>
      <c r="H648" s="167"/>
      <c r="I648" s="164">
        <f t="shared" ca="1" si="10"/>
        <v>44939</v>
      </c>
      <c r="J648" s="163">
        <v>0.33333333333333331</v>
      </c>
      <c r="K648" s="162" t="s">
        <v>749</v>
      </c>
      <c r="L648" s="166"/>
      <c r="M648" s="166"/>
      <c r="N648" s="164"/>
      <c r="O648" s="166"/>
      <c r="P648" s="165"/>
    </row>
    <row r="649" spans="1:16" ht="15" hidden="1" customHeight="1" x14ac:dyDescent="0.25">
      <c r="A649" s="167"/>
      <c r="B649" s="167"/>
      <c r="C649" s="167"/>
      <c r="D649" s="167"/>
      <c r="E649" s="167"/>
      <c r="F649" s="167"/>
      <c r="G649" s="167"/>
      <c r="H649" s="167"/>
      <c r="I649" s="164">
        <f t="shared" ca="1" si="10"/>
        <v>44939</v>
      </c>
      <c r="J649" s="163">
        <v>0.33333333333333331</v>
      </c>
      <c r="K649" s="162" t="s">
        <v>749</v>
      </c>
      <c r="L649" s="166"/>
      <c r="M649" s="166"/>
      <c r="N649" s="164"/>
      <c r="O649" s="166"/>
      <c r="P649" s="165"/>
    </row>
    <row r="650" spans="1:16" ht="15" hidden="1" customHeight="1" x14ac:dyDescent="0.25">
      <c r="A650" s="167"/>
      <c r="B650" s="167"/>
      <c r="C650" s="167"/>
      <c r="D650" s="167"/>
      <c r="E650" s="167"/>
      <c r="F650" s="167"/>
      <c r="G650" s="167"/>
      <c r="H650" s="167"/>
      <c r="I650" s="164">
        <f t="shared" ca="1" si="10"/>
        <v>44939</v>
      </c>
      <c r="J650" s="163">
        <v>0.33333333333333331</v>
      </c>
      <c r="K650" s="162" t="s">
        <v>749</v>
      </c>
      <c r="L650" s="166"/>
      <c r="M650" s="166"/>
      <c r="N650" s="164"/>
      <c r="O650" s="166"/>
      <c r="P650" s="165"/>
    </row>
    <row r="651" spans="1:16" ht="15" hidden="1" customHeight="1" x14ac:dyDescent="0.25">
      <c r="A651" s="167"/>
      <c r="B651" s="167"/>
      <c r="C651" s="167"/>
      <c r="D651" s="167"/>
      <c r="E651" s="167"/>
      <c r="F651" s="167"/>
      <c r="G651" s="167"/>
      <c r="H651" s="167"/>
      <c r="I651" s="164">
        <f t="shared" ca="1" si="10"/>
        <v>44939</v>
      </c>
      <c r="J651" s="163">
        <v>0.33333333333333331</v>
      </c>
      <c r="K651" s="162" t="s">
        <v>749</v>
      </c>
      <c r="L651" s="166"/>
      <c r="M651" s="166"/>
      <c r="N651" s="164"/>
      <c r="O651" s="166"/>
      <c r="P651" s="165"/>
    </row>
    <row r="652" spans="1:16" ht="15" hidden="1" customHeight="1" x14ac:dyDescent="0.25">
      <c r="A652" s="168"/>
      <c r="B652" s="167"/>
      <c r="C652" s="168"/>
      <c r="D652" s="167"/>
      <c r="E652" s="167"/>
      <c r="F652" s="167"/>
      <c r="G652" s="167"/>
      <c r="H652" s="167"/>
      <c r="I652" s="164">
        <f t="shared" ca="1" si="10"/>
        <v>44939</v>
      </c>
      <c r="J652" s="163">
        <v>0.33333333333333331</v>
      </c>
      <c r="K652" s="162" t="s">
        <v>749</v>
      </c>
      <c r="L652" s="166"/>
      <c r="M652" s="166"/>
      <c r="N652" s="164"/>
      <c r="O652" s="166"/>
      <c r="P652" s="165"/>
    </row>
    <row r="653" spans="1:16" ht="15" hidden="1" customHeight="1" x14ac:dyDescent="0.25">
      <c r="A653" s="168"/>
      <c r="B653" s="167"/>
      <c r="C653" s="168"/>
      <c r="D653" s="167"/>
      <c r="E653" s="167"/>
      <c r="F653" s="167"/>
      <c r="G653" s="167"/>
      <c r="H653" s="167"/>
      <c r="I653" s="164">
        <f t="shared" ca="1" si="10"/>
        <v>44939</v>
      </c>
      <c r="J653" s="163">
        <v>0.33333333333333331</v>
      </c>
      <c r="K653" s="162" t="s">
        <v>749</v>
      </c>
      <c r="L653" s="166"/>
      <c r="M653" s="166"/>
      <c r="N653" s="164"/>
      <c r="O653" s="166"/>
      <c r="P653" s="165"/>
    </row>
    <row r="654" spans="1:16" ht="15" hidden="1" customHeight="1" x14ac:dyDescent="0.25">
      <c r="A654" s="168"/>
      <c r="B654" s="167"/>
      <c r="C654" s="168"/>
      <c r="D654" s="167"/>
      <c r="E654" s="167"/>
      <c r="F654" s="167"/>
      <c r="G654" s="167"/>
      <c r="H654" s="167"/>
      <c r="I654" s="164">
        <f t="shared" ca="1" si="10"/>
        <v>44939</v>
      </c>
      <c r="J654" s="163">
        <v>0.33333333333333331</v>
      </c>
      <c r="K654" s="162" t="s">
        <v>749</v>
      </c>
      <c r="L654" s="166"/>
      <c r="M654" s="166"/>
      <c r="N654" s="164"/>
      <c r="O654" s="166"/>
      <c r="P654" s="165"/>
    </row>
    <row r="655" spans="1:16" ht="15" hidden="1" customHeight="1" x14ac:dyDescent="0.25">
      <c r="A655" s="167"/>
      <c r="B655" s="167"/>
      <c r="C655" s="168"/>
      <c r="D655" s="167"/>
      <c r="E655" s="167"/>
      <c r="F655" s="167"/>
      <c r="G655" s="167"/>
      <c r="H655" s="167"/>
      <c r="I655" s="164">
        <f t="shared" ca="1" si="10"/>
        <v>44939</v>
      </c>
      <c r="J655" s="163">
        <v>0.33333333333333331</v>
      </c>
      <c r="K655" s="162" t="s">
        <v>749</v>
      </c>
      <c r="L655" s="166"/>
      <c r="M655" s="166"/>
      <c r="N655" s="164"/>
      <c r="O655" s="166"/>
      <c r="P655" s="165"/>
    </row>
    <row r="656" spans="1:16" ht="15" hidden="1" customHeight="1" x14ac:dyDescent="0.25">
      <c r="A656" s="167"/>
      <c r="B656" s="167"/>
      <c r="C656" s="167"/>
      <c r="D656" s="167"/>
      <c r="E656" s="167"/>
      <c r="F656" s="167"/>
      <c r="G656" s="167"/>
      <c r="H656" s="167"/>
      <c r="I656" s="164">
        <f t="shared" ca="1" si="10"/>
        <v>44939</v>
      </c>
      <c r="J656" s="163">
        <v>0.33333333333333331</v>
      </c>
      <c r="K656" s="162" t="s">
        <v>749</v>
      </c>
      <c r="L656" s="166"/>
      <c r="M656" s="166"/>
      <c r="N656" s="164"/>
      <c r="O656" s="166"/>
      <c r="P656" s="165"/>
    </row>
    <row r="657" spans="1:16" ht="15" hidden="1" customHeight="1" x14ac:dyDescent="0.25">
      <c r="A657" s="167"/>
      <c r="B657" s="167"/>
      <c r="C657" s="167"/>
      <c r="D657" s="167"/>
      <c r="E657" s="167"/>
      <c r="F657" s="167"/>
      <c r="G657" s="167"/>
      <c r="H657" s="167"/>
      <c r="I657" s="164">
        <f t="shared" ca="1" si="10"/>
        <v>44939</v>
      </c>
      <c r="J657" s="163">
        <v>0.33333333333333331</v>
      </c>
      <c r="K657" s="162" t="s">
        <v>749</v>
      </c>
      <c r="L657" s="166"/>
      <c r="M657" s="166"/>
      <c r="N657" s="164"/>
      <c r="O657" s="166"/>
      <c r="P657" s="165"/>
    </row>
    <row r="658" spans="1:16" ht="15" hidden="1" customHeight="1" x14ac:dyDescent="0.25">
      <c r="A658" s="167"/>
      <c r="B658" s="167"/>
      <c r="C658" s="167"/>
      <c r="D658" s="167"/>
      <c r="E658" s="167"/>
      <c r="F658" s="167"/>
      <c r="G658" s="167"/>
      <c r="H658" s="167"/>
      <c r="I658" s="164">
        <f t="shared" ca="1" si="10"/>
        <v>44939</v>
      </c>
      <c r="J658" s="163">
        <v>0.33333333333333331</v>
      </c>
      <c r="K658" s="162" t="s">
        <v>749</v>
      </c>
      <c r="L658" s="166"/>
      <c r="M658" s="166"/>
      <c r="N658" s="164"/>
      <c r="O658" s="166"/>
      <c r="P658" s="165"/>
    </row>
    <row r="659" spans="1:16" ht="15" hidden="1" customHeight="1" x14ac:dyDescent="0.25">
      <c r="A659" s="168"/>
      <c r="B659" s="167"/>
      <c r="C659" s="168"/>
      <c r="D659" s="167"/>
      <c r="E659" s="167"/>
      <c r="F659" s="167"/>
      <c r="G659" s="167"/>
      <c r="H659" s="167"/>
      <c r="I659" s="164">
        <f t="shared" ca="1" si="10"/>
        <v>44939</v>
      </c>
      <c r="J659" s="163">
        <v>0.33333333333333331</v>
      </c>
      <c r="K659" s="162" t="s">
        <v>749</v>
      </c>
      <c r="L659" s="166"/>
      <c r="M659" s="166"/>
      <c r="N659" s="164"/>
      <c r="O659" s="166"/>
      <c r="P659" s="165"/>
    </row>
    <row r="660" spans="1:16" ht="15" hidden="1" customHeight="1" x14ac:dyDescent="0.25">
      <c r="A660" s="168"/>
      <c r="B660" s="167"/>
      <c r="C660" s="168"/>
      <c r="D660" s="167"/>
      <c r="E660" s="167"/>
      <c r="F660" s="167"/>
      <c r="G660" s="167"/>
      <c r="H660" s="167"/>
      <c r="I660" s="164">
        <f t="shared" ca="1" si="10"/>
        <v>44939</v>
      </c>
      <c r="J660" s="163">
        <v>0.33333333333333331</v>
      </c>
      <c r="K660" s="162" t="s">
        <v>749</v>
      </c>
      <c r="L660" s="166"/>
      <c r="M660" s="166"/>
      <c r="N660" s="164"/>
      <c r="O660" s="166"/>
      <c r="P660" s="165"/>
    </row>
    <row r="661" spans="1:16" ht="15" hidden="1" customHeight="1" x14ac:dyDescent="0.25">
      <c r="A661" s="168"/>
      <c r="B661" s="167"/>
      <c r="C661" s="168"/>
      <c r="D661" s="167"/>
      <c r="E661" s="167"/>
      <c r="F661" s="167"/>
      <c r="G661" s="167"/>
      <c r="H661" s="167"/>
      <c r="I661" s="164">
        <f t="shared" ca="1" si="10"/>
        <v>44939</v>
      </c>
      <c r="J661" s="163">
        <v>0.33333333333333331</v>
      </c>
      <c r="K661" s="162" t="s">
        <v>749</v>
      </c>
      <c r="L661" s="166"/>
      <c r="M661" s="166"/>
      <c r="N661" s="164"/>
      <c r="O661" s="166"/>
      <c r="P661" s="165"/>
    </row>
    <row r="662" spans="1:16" ht="15" hidden="1" customHeight="1" x14ac:dyDescent="0.25">
      <c r="A662" s="167"/>
      <c r="B662" s="167"/>
      <c r="C662" s="167"/>
      <c r="D662" s="167"/>
      <c r="E662" s="167"/>
      <c r="F662" s="167"/>
      <c r="G662" s="167"/>
      <c r="H662" s="167"/>
      <c r="I662" s="164">
        <f t="shared" ca="1" si="10"/>
        <v>44939</v>
      </c>
      <c r="J662" s="163">
        <v>0.33333333333333331</v>
      </c>
      <c r="K662" s="162" t="s">
        <v>749</v>
      </c>
      <c r="L662" s="166"/>
      <c r="M662" s="166"/>
      <c r="N662" s="164"/>
      <c r="O662" s="166"/>
      <c r="P662" s="165"/>
    </row>
    <row r="663" spans="1:16" ht="15" hidden="1" customHeight="1" x14ac:dyDescent="0.25">
      <c r="A663" s="167"/>
      <c r="B663" s="167"/>
      <c r="C663" s="167"/>
      <c r="D663" s="167"/>
      <c r="E663" s="167"/>
      <c r="F663" s="167"/>
      <c r="G663" s="167"/>
      <c r="H663" s="167"/>
      <c r="I663" s="164">
        <f t="shared" ca="1" si="10"/>
        <v>44939</v>
      </c>
      <c r="J663" s="163">
        <v>0.33333333333333331</v>
      </c>
      <c r="K663" s="162" t="s">
        <v>749</v>
      </c>
      <c r="L663" s="166"/>
      <c r="M663" s="166"/>
      <c r="N663" s="164"/>
      <c r="O663" s="166"/>
      <c r="P663" s="165"/>
    </row>
    <row r="664" spans="1:16" ht="15" hidden="1" customHeight="1" x14ac:dyDescent="0.25">
      <c r="A664" s="167"/>
      <c r="B664" s="167"/>
      <c r="C664" s="167"/>
      <c r="D664" s="167"/>
      <c r="E664" s="167"/>
      <c r="F664" s="167"/>
      <c r="G664" s="167"/>
      <c r="H664" s="167"/>
      <c r="I664" s="164">
        <f t="shared" ref="I664:I727" ca="1" si="11">TODAY()</f>
        <v>44939</v>
      </c>
      <c r="J664" s="163">
        <v>0.33333333333333331</v>
      </c>
      <c r="K664" s="162" t="s">
        <v>749</v>
      </c>
      <c r="L664" s="166"/>
      <c r="M664" s="166"/>
      <c r="N664" s="164"/>
      <c r="O664" s="166"/>
      <c r="P664" s="165"/>
    </row>
    <row r="665" spans="1:16" ht="15" hidden="1" customHeight="1" x14ac:dyDescent="0.25">
      <c r="A665" s="167"/>
      <c r="B665" s="167"/>
      <c r="C665" s="167"/>
      <c r="D665" s="167"/>
      <c r="E665" s="167"/>
      <c r="F665" s="167"/>
      <c r="G665" s="167"/>
      <c r="H665" s="167"/>
      <c r="I665" s="164">
        <f t="shared" ca="1" si="11"/>
        <v>44939</v>
      </c>
      <c r="J665" s="163">
        <v>0.33333333333333331</v>
      </c>
      <c r="K665" s="162" t="s">
        <v>749</v>
      </c>
      <c r="L665" s="166"/>
      <c r="M665" s="166"/>
      <c r="N665" s="164"/>
      <c r="O665" s="166"/>
      <c r="P665" s="165"/>
    </row>
    <row r="666" spans="1:16" ht="15" hidden="1" customHeight="1" x14ac:dyDescent="0.25">
      <c r="A666" s="167"/>
      <c r="B666" s="167"/>
      <c r="C666" s="167"/>
      <c r="D666" s="167"/>
      <c r="E666" s="167"/>
      <c r="F666" s="167"/>
      <c r="G666" s="167"/>
      <c r="H666" s="167"/>
      <c r="I666" s="164">
        <f t="shared" ca="1" si="11"/>
        <v>44939</v>
      </c>
      <c r="J666" s="163">
        <v>0.33333333333333331</v>
      </c>
      <c r="K666" s="162" t="s">
        <v>749</v>
      </c>
      <c r="L666" s="166"/>
      <c r="M666" s="166"/>
      <c r="N666" s="164"/>
      <c r="O666" s="166"/>
      <c r="P666" s="165"/>
    </row>
    <row r="667" spans="1:16" ht="15" hidden="1" customHeight="1" x14ac:dyDescent="0.25">
      <c r="A667" s="168"/>
      <c r="B667" s="167"/>
      <c r="C667" s="168"/>
      <c r="D667" s="167"/>
      <c r="E667" s="167"/>
      <c r="F667" s="167"/>
      <c r="G667" s="167"/>
      <c r="H667" s="167"/>
      <c r="I667" s="164">
        <f t="shared" ca="1" si="11"/>
        <v>44939</v>
      </c>
      <c r="J667" s="163">
        <v>0.33333333333333331</v>
      </c>
      <c r="K667" s="162" t="s">
        <v>749</v>
      </c>
      <c r="L667" s="166"/>
      <c r="M667" s="166"/>
      <c r="N667" s="164"/>
      <c r="O667" s="166"/>
      <c r="P667" s="165"/>
    </row>
    <row r="668" spans="1:16" ht="15" hidden="1" customHeight="1" x14ac:dyDescent="0.25">
      <c r="A668" s="168"/>
      <c r="B668" s="167"/>
      <c r="C668" s="168"/>
      <c r="D668" s="167"/>
      <c r="E668" s="167"/>
      <c r="F668" s="167"/>
      <c r="G668" s="167"/>
      <c r="H668" s="167"/>
      <c r="I668" s="164">
        <f t="shared" ca="1" si="11"/>
        <v>44939</v>
      </c>
      <c r="J668" s="163">
        <v>0.33333333333333331</v>
      </c>
      <c r="K668" s="162" t="s">
        <v>749</v>
      </c>
      <c r="L668" s="166"/>
      <c r="M668" s="166"/>
      <c r="N668" s="164"/>
      <c r="O668" s="166"/>
      <c r="P668" s="165"/>
    </row>
    <row r="669" spans="1:16" ht="15" hidden="1" customHeight="1" x14ac:dyDescent="0.25">
      <c r="A669" s="168"/>
      <c r="B669" s="167"/>
      <c r="C669" s="168"/>
      <c r="D669" s="167"/>
      <c r="E669" s="167"/>
      <c r="F669" s="167"/>
      <c r="G669" s="167"/>
      <c r="H669" s="167"/>
      <c r="I669" s="164">
        <f t="shared" ca="1" si="11"/>
        <v>44939</v>
      </c>
      <c r="J669" s="163">
        <v>0.33333333333333331</v>
      </c>
      <c r="K669" s="162" t="s">
        <v>749</v>
      </c>
      <c r="L669" s="166"/>
      <c r="M669" s="166"/>
      <c r="N669" s="164"/>
      <c r="O669" s="166"/>
      <c r="P669" s="165"/>
    </row>
    <row r="670" spans="1:16" ht="15" hidden="1" customHeight="1" x14ac:dyDescent="0.25">
      <c r="A670" s="168"/>
      <c r="B670" s="167"/>
      <c r="C670" s="168"/>
      <c r="D670" s="167"/>
      <c r="E670" s="167"/>
      <c r="F670" s="167"/>
      <c r="G670" s="167"/>
      <c r="H670" s="167"/>
      <c r="I670" s="164">
        <f t="shared" ca="1" si="11"/>
        <v>44939</v>
      </c>
      <c r="J670" s="163">
        <v>0.33333333333333331</v>
      </c>
      <c r="K670" s="162" t="s">
        <v>749</v>
      </c>
      <c r="L670" s="166"/>
      <c r="M670" s="166"/>
      <c r="N670" s="164"/>
      <c r="O670" s="166"/>
      <c r="P670" s="165"/>
    </row>
    <row r="671" spans="1:16" ht="15" hidden="1" customHeight="1" x14ac:dyDescent="0.25">
      <c r="A671" s="168"/>
      <c r="B671" s="167"/>
      <c r="C671" s="168"/>
      <c r="D671" s="167"/>
      <c r="E671" s="167"/>
      <c r="F671" s="167"/>
      <c r="G671" s="167"/>
      <c r="H671" s="167"/>
      <c r="I671" s="164">
        <f t="shared" ca="1" si="11"/>
        <v>44939</v>
      </c>
      <c r="J671" s="163">
        <v>0.33333333333333331</v>
      </c>
      <c r="K671" s="162" t="s">
        <v>749</v>
      </c>
      <c r="L671" s="166"/>
      <c r="M671" s="166"/>
      <c r="N671" s="164"/>
      <c r="O671" s="166"/>
      <c r="P671" s="165"/>
    </row>
    <row r="672" spans="1:16" ht="15" hidden="1" customHeight="1" x14ac:dyDescent="0.25">
      <c r="A672" s="167"/>
      <c r="B672" s="167"/>
      <c r="C672" s="167"/>
      <c r="D672" s="167"/>
      <c r="E672" s="167"/>
      <c r="F672" s="167"/>
      <c r="G672" s="167"/>
      <c r="H672" s="167"/>
      <c r="I672" s="164">
        <f t="shared" ca="1" si="11"/>
        <v>44939</v>
      </c>
      <c r="J672" s="163">
        <v>0.33333333333333331</v>
      </c>
      <c r="K672" s="162" t="s">
        <v>749</v>
      </c>
      <c r="L672" s="166"/>
      <c r="M672" s="166"/>
      <c r="N672" s="164"/>
      <c r="O672" s="166"/>
      <c r="P672" s="165"/>
    </row>
    <row r="673" spans="1:16" ht="15" hidden="1" customHeight="1" x14ac:dyDescent="0.25">
      <c r="A673" s="167"/>
      <c r="B673" s="167"/>
      <c r="C673" s="167"/>
      <c r="D673" s="167"/>
      <c r="E673" s="167"/>
      <c r="F673" s="167"/>
      <c r="G673" s="167"/>
      <c r="H673" s="167"/>
      <c r="I673" s="164">
        <f t="shared" ca="1" si="11"/>
        <v>44939</v>
      </c>
      <c r="J673" s="163">
        <v>0.33333333333333331</v>
      </c>
      <c r="K673" s="162" t="s">
        <v>749</v>
      </c>
      <c r="L673" s="166"/>
      <c r="M673" s="166"/>
      <c r="N673" s="164"/>
      <c r="O673" s="166"/>
      <c r="P673" s="165"/>
    </row>
    <row r="674" spans="1:16" ht="15" hidden="1" customHeight="1" x14ac:dyDescent="0.25">
      <c r="A674" s="167"/>
      <c r="B674" s="167"/>
      <c r="C674" s="167"/>
      <c r="D674" s="167"/>
      <c r="E674" s="167"/>
      <c r="F674" s="167"/>
      <c r="G674" s="167"/>
      <c r="H674" s="167"/>
      <c r="I674" s="164">
        <f t="shared" ca="1" si="11"/>
        <v>44939</v>
      </c>
      <c r="J674" s="163">
        <v>0.33333333333333331</v>
      </c>
      <c r="K674" s="162" t="s">
        <v>749</v>
      </c>
      <c r="L674" s="166"/>
      <c r="M674" s="166"/>
      <c r="N674" s="164"/>
      <c r="O674" s="166"/>
      <c r="P674" s="165"/>
    </row>
    <row r="675" spans="1:16" ht="15" hidden="1" customHeight="1" x14ac:dyDescent="0.25">
      <c r="A675" s="167"/>
      <c r="B675" s="167"/>
      <c r="C675" s="167"/>
      <c r="D675" s="167"/>
      <c r="E675" s="167"/>
      <c r="F675" s="167"/>
      <c r="G675" s="167"/>
      <c r="H675" s="167"/>
      <c r="I675" s="164">
        <f t="shared" ca="1" si="11"/>
        <v>44939</v>
      </c>
      <c r="J675" s="163">
        <v>0.33333333333333331</v>
      </c>
      <c r="K675" s="162" t="s">
        <v>749</v>
      </c>
      <c r="L675" s="166"/>
      <c r="M675" s="166"/>
      <c r="N675" s="164"/>
      <c r="O675" s="166"/>
      <c r="P675" s="165"/>
    </row>
    <row r="676" spans="1:16" ht="15" hidden="1" customHeight="1" x14ac:dyDescent="0.25">
      <c r="A676" s="167"/>
      <c r="B676" s="167"/>
      <c r="C676" s="167"/>
      <c r="D676" s="167"/>
      <c r="E676" s="167"/>
      <c r="F676" s="167"/>
      <c r="G676" s="167"/>
      <c r="H676" s="167"/>
      <c r="I676" s="164">
        <f t="shared" ca="1" si="11"/>
        <v>44939</v>
      </c>
      <c r="J676" s="163">
        <v>0.33333333333333331</v>
      </c>
      <c r="K676" s="162" t="s">
        <v>749</v>
      </c>
      <c r="L676" s="166"/>
      <c r="M676" s="166"/>
      <c r="N676" s="164"/>
      <c r="O676" s="166"/>
      <c r="P676" s="165"/>
    </row>
    <row r="677" spans="1:16" ht="15" hidden="1" customHeight="1" x14ac:dyDescent="0.25">
      <c r="A677" s="167"/>
      <c r="B677" s="167"/>
      <c r="C677" s="167"/>
      <c r="D677" s="167"/>
      <c r="E677" s="167"/>
      <c r="F677" s="167"/>
      <c r="G677" s="167"/>
      <c r="H677" s="167"/>
      <c r="I677" s="164">
        <f t="shared" ca="1" si="11"/>
        <v>44939</v>
      </c>
      <c r="J677" s="163">
        <v>0.33333333333333331</v>
      </c>
      <c r="K677" s="162" t="s">
        <v>749</v>
      </c>
      <c r="L677" s="166"/>
      <c r="M677" s="166"/>
      <c r="N677" s="164"/>
      <c r="O677" s="166"/>
      <c r="P677" s="165"/>
    </row>
    <row r="678" spans="1:16" ht="15" hidden="1" customHeight="1" x14ac:dyDescent="0.25">
      <c r="A678" s="168"/>
      <c r="B678" s="167"/>
      <c r="C678" s="168"/>
      <c r="D678" s="167"/>
      <c r="E678" s="167"/>
      <c r="F678" s="167"/>
      <c r="G678" s="167"/>
      <c r="H678" s="167"/>
      <c r="I678" s="164">
        <f t="shared" ca="1" si="11"/>
        <v>44939</v>
      </c>
      <c r="J678" s="163">
        <v>0.33333333333333331</v>
      </c>
      <c r="K678" s="162" t="s">
        <v>749</v>
      </c>
      <c r="L678" s="166"/>
      <c r="M678" s="166"/>
      <c r="N678" s="164"/>
      <c r="O678" s="166"/>
      <c r="P678" s="165"/>
    </row>
    <row r="679" spans="1:16" ht="15" hidden="1" customHeight="1" x14ac:dyDescent="0.25">
      <c r="A679" s="168"/>
      <c r="B679" s="167"/>
      <c r="C679" s="168"/>
      <c r="D679" s="167"/>
      <c r="E679" s="167"/>
      <c r="F679" s="167"/>
      <c r="G679" s="167"/>
      <c r="H679" s="167"/>
      <c r="I679" s="164">
        <f t="shared" ca="1" si="11"/>
        <v>44939</v>
      </c>
      <c r="J679" s="163">
        <v>0.33333333333333331</v>
      </c>
      <c r="K679" s="162" t="s">
        <v>749</v>
      </c>
      <c r="L679" s="166"/>
      <c r="M679" s="166"/>
      <c r="N679" s="164"/>
      <c r="O679" s="166"/>
      <c r="P679" s="165"/>
    </row>
    <row r="680" spans="1:16" ht="15" hidden="1" customHeight="1" x14ac:dyDescent="0.25">
      <c r="A680" s="167"/>
      <c r="B680" s="167"/>
      <c r="C680" s="167"/>
      <c r="D680" s="167"/>
      <c r="E680" s="167"/>
      <c r="F680" s="167"/>
      <c r="G680" s="167"/>
      <c r="H680" s="167"/>
      <c r="I680" s="164">
        <f t="shared" ca="1" si="11"/>
        <v>44939</v>
      </c>
      <c r="J680" s="163">
        <v>0.33333333333333331</v>
      </c>
      <c r="K680" s="162" t="s">
        <v>749</v>
      </c>
      <c r="L680" s="166"/>
      <c r="M680" s="166"/>
      <c r="N680" s="164"/>
      <c r="O680" s="166"/>
      <c r="P680" s="165"/>
    </row>
    <row r="681" spans="1:16" ht="15" hidden="1" customHeight="1" x14ac:dyDescent="0.25">
      <c r="A681" s="167"/>
      <c r="B681" s="167"/>
      <c r="C681" s="167"/>
      <c r="D681" s="167"/>
      <c r="E681" s="167"/>
      <c r="F681" s="167"/>
      <c r="G681" s="167"/>
      <c r="H681" s="167"/>
      <c r="I681" s="164">
        <f t="shared" ca="1" si="11"/>
        <v>44939</v>
      </c>
      <c r="J681" s="163">
        <v>0.33333333333333331</v>
      </c>
      <c r="K681" s="162" t="s">
        <v>749</v>
      </c>
      <c r="L681" s="166"/>
      <c r="M681" s="166"/>
      <c r="N681" s="164"/>
      <c r="O681" s="166"/>
      <c r="P681" s="165"/>
    </row>
    <row r="682" spans="1:16" ht="15" hidden="1" customHeight="1" x14ac:dyDescent="0.25">
      <c r="A682" s="167"/>
      <c r="B682" s="167"/>
      <c r="C682" s="167"/>
      <c r="D682" s="167"/>
      <c r="E682" s="167"/>
      <c r="F682" s="167"/>
      <c r="G682" s="167"/>
      <c r="H682" s="167"/>
      <c r="I682" s="164">
        <f t="shared" ca="1" si="11"/>
        <v>44939</v>
      </c>
      <c r="J682" s="163">
        <v>0.33333333333333331</v>
      </c>
      <c r="K682" s="162" t="s">
        <v>749</v>
      </c>
      <c r="L682" s="166"/>
      <c r="M682" s="166"/>
      <c r="N682" s="164"/>
      <c r="O682" s="166"/>
      <c r="P682" s="165"/>
    </row>
    <row r="683" spans="1:16" ht="15" hidden="1" customHeight="1" x14ac:dyDescent="0.25">
      <c r="A683" s="167"/>
      <c r="B683" s="167"/>
      <c r="C683" s="167"/>
      <c r="D683" s="167"/>
      <c r="E683" s="167"/>
      <c r="F683" s="167"/>
      <c r="G683" s="167"/>
      <c r="H683" s="167"/>
      <c r="I683" s="164">
        <f t="shared" ca="1" si="11"/>
        <v>44939</v>
      </c>
      <c r="J683" s="163">
        <v>0.33333333333333331</v>
      </c>
      <c r="K683" s="162" t="s">
        <v>749</v>
      </c>
      <c r="L683" s="166"/>
      <c r="M683" s="166"/>
      <c r="N683" s="164"/>
      <c r="O683" s="166"/>
      <c r="P683" s="165"/>
    </row>
    <row r="684" spans="1:16" ht="15" hidden="1" customHeight="1" x14ac:dyDescent="0.25">
      <c r="A684" s="167"/>
      <c r="B684" s="167"/>
      <c r="C684" s="167"/>
      <c r="D684" s="167"/>
      <c r="E684" s="167"/>
      <c r="F684" s="167"/>
      <c r="G684" s="167"/>
      <c r="H684" s="167"/>
      <c r="I684" s="164">
        <f t="shared" ca="1" si="11"/>
        <v>44939</v>
      </c>
      <c r="J684" s="163">
        <v>0.33333333333333331</v>
      </c>
      <c r="K684" s="162" t="s">
        <v>749</v>
      </c>
      <c r="L684" s="166"/>
      <c r="M684" s="166"/>
      <c r="N684" s="164"/>
      <c r="O684" s="166"/>
      <c r="P684" s="165"/>
    </row>
    <row r="685" spans="1:16" ht="15" hidden="1" customHeight="1" x14ac:dyDescent="0.25">
      <c r="A685" s="168"/>
      <c r="B685" s="167"/>
      <c r="C685" s="168"/>
      <c r="D685" s="167"/>
      <c r="E685" s="167"/>
      <c r="F685" s="167"/>
      <c r="G685" s="167"/>
      <c r="H685" s="167"/>
      <c r="I685" s="164">
        <f t="shared" ca="1" si="11"/>
        <v>44939</v>
      </c>
      <c r="J685" s="163">
        <v>0.33333333333333331</v>
      </c>
      <c r="K685" s="162" t="s">
        <v>749</v>
      </c>
      <c r="L685" s="166"/>
      <c r="M685" s="166"/>
      <c r="N685" s="164"/>
      <c r="O685" s="166"/>
      <c r="P685" s="165"/>
    </row>
    <row r="686" spans="1:16" ht="15" hidden="1" customHeight="1" x14ac:dyDescent="0.25">
      <c r="A686" s="168"/>
      <c r="B686" s="167"/>
      <c r="C686" s="168"/>
      <c r="D686" s="167"/>
      <c r="E686" s="167"/>
      <c r="F686" s="167"/>
      <c r="G686" s="167"/>
      <c r="H686" s="167"/>
      <c r="I686" s="164">
        <f t="shared" ca="1" si="11"/>
        <v>44939</v>
      </c>
      <c r="J686" s="163">
        <v>0.33333333333333331</v>
      </c>
      <c r="K686" s="162" t="s">
        <v>749</v>
      </c>
      <c r="L686" s="166"/>
      <c r="M686" s="166"/>
      <c r="N686" s="164"/>
      <c r="O686" s="166"/>
      <c r="P686" s="165"/>
    </row>
    <row r="687" spans="1:16" ht="15" hidden="1" customHeight="1" x14ac:dyDescent="0.25">
      <c r="A687" s="168"/>
      <c r="B687" s="167"/>
      <c r="C687" s="168"/>
      <c r="D687" s="167"/>
      <c r="E687" s="167"/>
      <c r="F687" s="167"/>
      <c r="G687" s="167"/>
      <c r="H687" s="167"/>
      <c r="I687" s="164">
        <f t="shared" ca="1" si="11"/>
        <v>44939</v>
      </c>
      <c r="J687" s="163">
        <v>0.33333333333333331</v>
      </c>
      <c r="K687" s="162" t="s">
        <v>749</v>
      </c>
      <c r="L687" s="166"/>
      <c r="M687" s="166"/>
      <c r="N687" s="164"/>
      <c r="O687" s="166"/>
      <c r="P687" s="165"/>
    </row>
    <row r="688" spans="1:16" ht="15" hidden="1" customHeight="1" x14ac:dyDescent="0.25">
      <c r="A688" s="167"/>
      <c r="B688" s="167"/>
      <c r="C688" s="167"/>
      <c r="D688" s="167"/>
      <c r="E688" s="167"/>
      <c r="F688" s="167"/>
      <c r="G688" s="167"/>
      <c r="H688" s="167"/>
      <c r="I688" s="164">
        <f t="shared" ca="1" si="11"/>
        <v>44939</v>
      </c>
      <c r="J688" s="163">
        <v>0.33333333333333331</v>
      </c>
      <c r="K688" s="162" t="s">
        <v>749</v>
      </c>
      <c r="L688" s="166"/>
      <c r="M688" s="166"/>
      <c r="N688" s="164"/>
      <c r="O688" s="166"/>
      <c r="P688" s="165"/>
    </row>
    <row r="689" spans="1:16" ht="15" hidden="1" customHeight="1" x14ac:dyDescent="0.25">
      <c r="A689" s="167"/>
      <c r="B689" s="167"/>
      <c r="C689" s="167"/>
      <c r="D689" s="167"/>
      <c r="E689" s="167"/>
      <c r="F689" s="167"/>
      <c r="G689" s="167"/>
      <c r="H689" s="167"/>
      <c r="I689" s="164">
        <f t="shared" ca="1" si="11"/>
        <v>44939</v>
      </c>
      <c r="J689" s="163">
        <v>0.33333333333333331</v>
      </c>
      <c r="K689" s="162" t="s">
        <v>749</v>
      </c>
      <c r="L689" s="166"/>
      <c r="M689" s="166"/>
      <c r="N689" s="164"/>
      <c r="O689" s="166"/>
      <c r="P689" s="165"/>
    </row>
    <row r="690" spans="1:16" ht="15" hidden="1" customHeight="1" x14ac:dyDescent="0.25">
      <c r="A690" s="167"/>
      <c r="B690" s="167"/>
      <c r="C690" s="167"/>
      <c r="D690" s="167"/>
      <c r="E690" s="167"/>
      <c r="F690" s="167"/>
      <c r="G690" s="167"/>
      <c r="H690" s="167"/>
      <c r="I690" s="164">
        <f t="shared" ca="1" si="11"/>
        <v>44939</v>
      </c>
      <c r="J690" s="163">
        <v>0.33333333333333331</v>
      </c>
      <c r="K690" s="162" t="s">
        <v>749</v>
      </c>
      <c r="L690" s="166"/>
      <c r="M690" s="166"/>
      <c r="N690" s="164"/>
      <c r="O690" s="166"/>
      <c r="P690" s="165"/>
    </row>
    <row r="691" spans="1:16" ht="15" hidden="1" customHeight="1" x14ac:dyDescent="0.25">
      <c r="A691" s="167"/>
      <c r="B691" s="167"/>
      <c r="C691" s="167"/>
      <c r="D691" s="167"/>
      <c r="E691" s="167"/>
      <c r="F691" s="167"/>
      <c r="G691" s="167"/>
      <c r="H691" s="167"/>
      <c r="I691" s="164">
        <f t="shared" ca="1" si="11"/>
        <v>44939</v>
      </c>
      <c r="J691" s="163">
        <v>0.33333333333333331</v>
      </c>
      <c r="K691" s="162" t="s">
        <v>749</v>
      </c>
      <c r="L691" s="166"/>
      <c r="M691" s="166"/>
      <c r="N691" s="164"/>
      <c r="O691" s="166"/>
      <c r="P691" s="165"/>
    </row>
    <row r="692" spans="1:16" ht="15" hidden="1" customHeight="1" x14ac:dyDescent="0.25">
      <c r="A692" s="167"/>
      <c r="B692" s="167"/>
      <c r="C692" s="167"/>
      <c r="D692" s="167"/>
      <c r="E692" s="167"/>
      <c r="F692" s="167"/>
      <c r="G692" s="167"/>
      <c r="H692" s="167"/>
      <c r="I692" s="164">
        <f t="shared" ca="1" si="11"/>
        <v>44939</v>
      </c>
      <c r="J692" s="163">
        <v>0.33333333333333331</v>
      </c>
      <c r="K692" s="162" t="s">
        <v>749</v>
      </c>
      <c r="L692" s="166"/>
      <c r="M692" s="166"/>
      <c r="N692" s="164"/>
      <c r="O692" s="166"/>
      <c r="P692" s="165"/>
    </row>
    <row r="693" spans="1:16" ht="15" hidden="1" customHeight="1" x14ac:dyDescent="0.25">
      <c r="A693" s="167"/>
      <c r="B693" s="167"/>
      <c r="C693" s="167"/>
      <c r="D693" s="167"/>
      <c r="E693" s="167"/>
      <c r="F693" s="167"/>
      <c r="G693" s="167"/>
      <c r="H693" s="167"/>
      <c r="I693" s="164">
        <f t="shared" ca="1" si="11"/>
        <v>44939</v>
      </c>
      <c r="J693" s="163">
        <v>0.33333333333333331</v>
      </c>
      <c r="K693" s="162" t="s">
        <v>749</v>
      </c>
      <c r="L693" s="166"/>
      <c r="M693" s="166"/>
      <c r="N693" s="164"/>
      <c r="O693" s="166"/>
      <c r="P693" s="165"/>
    </row>
    <row r="694" spans="1:16" ht="15" hidden="1" customHeight="1" x14ac:dyDescent="0.25">
      <c r="A694" s="167"/>
      <c r="B694" s="167"/>
      <c r="C694" s="167"/>
      <c r="D694" s="167"/>
      <c r="E694" s="167"/>
      <c r="F694" s="167"/>
      <c r="G694" s="167"/>
      <c r="H694" s="167"/>
      <c r="I694" s="164">
        <f t="shared" ca="1" si="11"/>
        <v>44939</v>
      </c>
      <c r="J694" s="163">
        <v>0.33333333333333331</v>
      </c>
      <c r="K694" s="162" t="s">
        <v>749</v>
      </c>
      <c r="L694" s="166"/>
      <c r="M694" s="166"/>
      <c r="N694" s="164"/>
      <c r="O694" s="166"/>
      <c r="P694" s="165"/>
    </row>
    <row r="695" spans="1:16" ht="15" hidden="1" customHeight="1" x14ac:dyDescent="0.25">
      <c r="A695" s="167"/>
      <c r="B695" s="167"/>
      <c r="C695" s="167"/>
      <c r="D695" s="167"/>
      <c r="E695" s="167"/>
      <c r="F695" s="167"/>
      <c r="G695" s="167"/>
      <c r="H695" s="167"/>
      <c r="I695" s="164">
        <f t="shared" ca="1" si="11"/>
        <v>44939</v>
      </c>
      <c r="J695" s="163">
        <v>0.33333333333333331</v>
      </c>
      <c r="K695" s="162" t="s">
        <v>749</v>
      </c>
      <c r="L695" s="166"/>
      <c r="M695" s="166"/>
      <c r="N695" s="164"/>
      <c r="O695" s="166"/>
      <c r="P695" s="165"/>
    </row>
    <row r="696" spans="1:16" ht="15" hidden="1" customHeight="1" x14ac:dyDescent="0.25">
      <c r="A696" s="168"/>
      <c r="B696" s="167"/>
      <c r="C696" s="168"/>
      <c r="D696" s="167"/>
      <c r="E696" s="167"/>
      <c r="F696" s="167"/>
      <c r="G696" s="167"/>
      <c r="H696" s="167"/>
      <c r="I696" s="164">
        <f t="shared" ca="1" si="11"/>
        <v>44939</v>
      </c>
      <c r="J696" s="163">
        <v>0.33333333333333331</v>
      </c>
      <c r="K696" s="162" t="s">
        <v>749</v>
      </c>
      <c r="L696" s="166"/>
      <c r="M696" s="166"/>
      <c r="N696" s="164"/>
      <c r="O696" s="166"/>
      <c r="P696" s="165"/>
    </row>
    <row r="697" spans="1:16" ht="15" hidden="1" customHeight="1" x14ac:dyDescent="0.25">
      <c r="A697" s="168"/>
      <c r="B697" s="167"/>
      <c r="C697" s="168"/>
      <c r="D697" s="167"/>
      <c r="E697" s="167"/>
      <c r="F697" s="167"/>
      <c r="G697" s="167"/>
      <c r="H697" s="167"/>
      <c r="I697" s="164">
        <f t="shared" ca="1" si="11"/>
        <v>44939</v>
      </c>
      <c r="J697" s="163">
        <v>0.33333333333333331</v>
      </c>
      <c r="K697" s="162" t="s">
        <v>749</v>
      </c>
      <c r="L697" s="166"/>
      <c r="M697" s="166"/>
      <c r="N697" s="164"/>
      <c r="O697" s="166"/>
      <c r="P697" s="165"/>
    </row>
    <row r="698" spans="1:16" ht="15" hidden="1" customHeight="1" x14ac:dyDescent="0.25">
      <c r="A698" s="168"/>
      <c r="B698" s="167"/>
      <c r="C698" s="168"/>
      <c r="D698" s="167"/>
      <c r="E698" s="167"/>
      <c r="F698" s="167"/>
      <c r="G698" s="167"/>
      <c r="H698" s="167"/>
      <c r="I698" s="164">
        <f t="shared" ca="1" si="11"/>
        <v>44939</v>
      </c>
      <c r="J698" s="163">
        <v>0.33333333333333331</v>
      </c>
      <c r="K698" s="162" t="s">
        <v>749</v>
      </c>
      <c r="L698" s="166"/>
      <c r="M698" s="166"/>
      <c r="N698" s="164"/>
      <c r="O698" s="166"/>
      <c r="P698" s="165"/>
    </row>
    <row r="699" spans="1:16" ht="15" hidden="1" customHeight="1" x14ac:dyDescent="0.25">
      <c r="A699" s="168"/>
      <c r="B699" s="167"/>
      <c r="C699" s="168"/>
      <c r="D699" s="167"/>
      <c r="E699" s="167"/>
      <c r="F699" s="167"/>
      <c r="G699" s="167"/>
      <c r="H699" s="167"/>
      <c r="I699" s="164">
        <f t="shared" ca="1" si="11"/>
        <v>44939</v>
      </c>
      <c r="J699" s="163">
        <v>0.33333333333333331</v>
      </c>
      <c r="K699" s="162" t="s">
        <v>749</v>
      </c>
      <c r="L699" s="166"/>
      <c r="M699" s="166"/>
      <c r="N699" s="164"/>
      <c r="O699" s="166"/>
      <c r="P699" s="165"/>
    </row>
    <row r="700" spans="1:16" ht="15" hidden="1" customHeight="1" x14ac:dyDescent="0.25">
      <c r="A700" s="168"/>
      <c r="B700" s="167"/>
      <c r="C700" s="168"/>
      <c r="D700" s="167"/>
      <c r="E700" s="167"/>
      <c r="F700" s="167"/>
      <c r="G700" s="167"/>
      <c r="H700" s="167"/>
      <c r="I700" s="164">
        <f t="shared" ca="1" si="11"/>
        <v>44939</v>
      </c>
      <c r="J700" s="163">
        <v>0.33333333333333331</v>
      </c>
      <c r="K700" s="162" t="s">
        <v>749</v>
      </c>
      <c r="L700" s="166"/>
      <c r="M700" s="166"/>
      <c r="N700" s="164"/>
      <c r="O700" s="166"/>
      <c r="P700" s="165"/>
    </row>
    <row r="701" spans="1:16" ht="15" hidden="1" customHeight="1" x14ac:dyDescent="0.25">
      <c r="A701" s="167"/>
      <c r="B701" s="167"/>
      <c r="C701" s="167"/>
      <c r="D701" s="167"/>
      <c r="E701" s="167"/>
      <c r="F701" s="167"/>
      <c r="G701" s="167"/>
      <c r="H701" s="167"/>
      <c r="I701" s="164">
        <f t="shared" ca="1" si="11"/>
        <v>44939</v>
      </c>
      <c r="J701" s="163">
        <v>0.33333333333333331</v>
      </c>
      <c r="K701" s="162" t="s">
        <v>749</v>
      </c>
      <c r="L701" s="166"/>
      <c r="M701" s="166"/>
      <c r="N701" s="164"/>
      <c r="O701" s="166"/>
      <c r="P701" s="165"/>
    </row>
    <row r="702" spans="1:16" ht="15" hidden="1" customHeight="1" x14ac:dyDescent="0.25">
      <c r="A702" s="167"/>
      <c r="B702" s="167"/>
      <c r="C702" s="167"/>
      <c r="D702" s="167"/>
      <c r="E702" s="167"/>
      <c r="F702" s="167"/>
      <c r="G702" s="167"/>
      <c r="H702" s="167"/>
      <c r="I702" s="164">
        <f t="shared" ca="1" si="11"/>
        <v>44939</v>
      </c>
      <c r="J702" s="163">
        <v>0.33333333333333331</v>
      </c>
      <c r="K702" s="162" t="s">
        <v>749</v>
      </c>
      <c r="L702" s="166"/>
      <c r="M702" s="166"/>
      <c r="N702" s="164"/>
      <c r="O702" s="166"/>
      <c r="P702" s="165"/>
    </row>
    <row r="703" spans="1:16" ht="15" hidden="1" customHeight="1" x14ac:dyDescent="0.25">
      <c r="A703" s="167"/>
      <c r="B703" s="167"/>
      <c r="C703" s="167"/>
      <c r="D703" s="167"/>
      <c r="E703" s="167"/>
      <c r="F703" s="167"/>
      <c r="G703" s="167"/>
      <c r="H703" s="167"/>
      <c r="I703" s="164">
        <f t="shared" ca="1" si="11"/>
        <v>44939</v>
      </c>
      <c r="J703" s="163">
        <v>0.33333333333333331</v>
      </c>
      <c r="K703" s="162" t="s">
        <v>749</v>
      </c>
      <c r="L703" s="166"/>
      <c r="M703" s="166"/>
      <c r="N703" s="164"/>
      <c r="O703" s="166"/>
      <c r="P703" s="165"/>
    </row>
    <row r="704" spans="1:16" ht="15" hidden="1" customHeight="1" x14ac:dyDescent="0.25">
      <c r="A704" s="168"/>
      <c r="B704" s="167"/>
      <c r="C704" s="168"/>
      <c r="D704" s="167"/>
      <c r="E704" s="167"/>
      <c r="F704" s="167"/>
      <c r="G704" s="167"/>
      <c r="H704" s="167"/>
      <c r="I704" s="164">
        <f t="shared" ca="1" si="11"/>
        <v>44939</v>
      </c>
      <c r="J704" s="163">
        <v>0.33333333333333331</v>
      </c>
      <c r="K704" s="162" t="s">
        <v>749</v>
      </c>
      <c r="L704" s="166"/>
      <c r="M704" s="166"/>
      <c r="N704" s="164"/>
      <c r="O704" s="166"/>
      <c r="P704" s="165"/>
    </row>
    <row r="705" spans="1:16" ht="15" hidden="1" customHeight="1" x14ac:dyDescent="0.25">
      <c r="A705" s="168"/>
      <c r="B705" s="167"/>
      <c r="C705" s="168"/>
      <c r="D705" s="167"/>
      <c r="E705" s="167"/>
      <c r="F705" s="167"/>
      <c r="G705" s="167"/>
      <c r="H705" s="167"/>
      <c r="I705" s="164">
        <f t="shared" ca="1" si="11"/>
        <v>44939</v>
      </c>
      <c r="J705" s="163">
        <v>0.33333333333333331</v>
      </c>
      <c r="K705" s="162" t="s">
        <v>749</v>
      </c>
      <c r="L705" s="166"/>
      <c r="M705" s="166"/>
      <c r="N705" s="164"/>
      <c r="O705" s="166"/>
      <c r="P705" s="165"/>
    </row>
    <row r="706" spans="1:16" ht="15" hidden="1" customHeight="1" x14ac:dyDescent="0.25">
      <c r="A706" s="167"/>
      <c r="B706" s="167"/>
      <c r="C706" s="167"/>
      <c r="D706" s="167"/>
      <c r="E706" s="167"/>
      <c r="F706" s="167"/>
      <c r="G706" s="167"/>
      <c r="H706" s="167"/>
      <c r="I706" s="164">
        <f t="shared" ca="1" si="11"/>
        <v>44939</v>
      </c>
      <c r="J706" s="163">
        <v>0.33333333333333331</v>
      </c>
      <c r="K706" s="162" t="s">
        <v>749</v>
      </c>
      <c r="L706" s="166"/>
      <c r="M706" s="166"/>
      <c r="N706" s="164"/>
      <c r="O706" s="166"/>
      <c r="P706" s="165"/>
    </row>
    <row r="707" spans="1:16" ht="15" hidden="1" customHeight="1" x14ac:dyDescent="0.25">
      <c r="A707" s="167"/>
      <c r="B707" s="167"/>
      <c r="C707" s="167"/>
      <c r="D707" s="167"/>
      <c r="E707" s="167"/>
      <c r="F707" s="167"/>
      <c r="G707" s="167"/>
      <c r="H707" s="167"/>
      <c r="I707" s="164">
        <f t="shared" ca="1" si="11"/>
        <v>44939</v>
      </c>
      <c r="J707" s="163">
        <v>0.33333333333333331</v>
      </c>
      <c r="K707" s="162" t="s">
        <v>749</v>
      </c>
      <c r="L707" s="166"/>
      <c r="M707" s="166"/>
      <c r="N707" s="164"/>
      <c r="O707" s="166"/>
      <c r="P707" s="165"/>
    </row>
    <row r="708" spans="1:16" ht="15" hidden="1" customHeight="1" x14ac:dyDescent="0.25">
      <c r="A708" s="167"/>
      <c r="B708" s="167"/>
      <c r="C708" s="167"/>
      <c r="D708" s="167"/>
      <c r="E708" s="167"/>
      <c r="F708" s="167"/>
      <c r="G708" s="167"/>
      <c r="H708" s="167"/>
      <c r="I708" s="164">
        <f t="shared" ca="1" si="11"/>
        <v>44939</v>
      </c>
      <c r="J708" s="163">
        <v>0.33333333333333331</v>
      </c>
      <c r="K708" s="162" t="s">
        <v>749</v>
      </c>
      <c r="L708" s="166"/>
      <c r="M708" s="166"/>
      <c r="N708" s="164"/>
      <c r="O708" s="166"/>
      <c r="P708" s="165"/>
    </row>
    <row r="709" spans="1:16" ht="15" hidden="1" customHeight="1" x14ac:dyDescent="0.25">
      <c r="A709" s="167"/>
      <c r="B709" s="167"/>
      <c r="C709" s="167"/>
      <c r="D709" s="167"/>
      <c r="E709" s="167"/>
      <c r="F709" s="167"/>
      <c r="G709" s="167"/>
      <c r="H709" s="167"/>
      <c r="I709" s="164">
        <f t="shared" ca="1" si="11"/>
        <v>44939</v>
      </c>
      <c r="J709" s="163">
        <v>0.33333333333333331</v>
      </c>
      <c r="K709" s="162" t="s">
        <v>749</v>
      </c>
      <c r="L709" s="166"/>
      <c r="M709" s="166"/>
      <c r="N709" s="164"/>
      <c r="O709" s="166"/>
      <c r="P709" s="165"/>
    </row>
    <row r="710" spans="1:16" ht="15" hidden="1" customHeight="1" x14ac:dyDescent="0.25">
      <c r="A710" s="167"/>
      <c r="B710" s="167"/>
      <c r="C710" s="167"/>
      <c r="D710" s="167"/>
      <c r="E710" s="167"/>
      <c r="F710" s="167"/>
      <c r="G710" s="167"/>
      <c r="H710" s="167"/>
      <c r="I710" s="164">
        <f t="shared" ca="1" si="11"/>
        <v>44939</v>
      </c>
      <c r="J710" s="163">
        <v>0.33333333333333331</v>
      </c>
      <c r="K710" s="162" t="s">
        <v>749</v>
      </c>
      <c r="L710" s="166"/>
      <c r="M710" s="166"/>
      <c r="N710" s="164"/>
      <c r="O710" s="166"/>
      <c r="P710" s="165"/>
    </row>
    <row r="711" spans="1:16" ht="15" hidden="1" customHeight="1" x14ac:dyDescent="0.25">
      <c r="A711" s="167"/>
      <c r="B711" s="167"/>
      <c r="C711" s="167"/>
      <c r="D711" s="167"/>
      <c r="E711" s="167"/>
      <c r="F711" s="167"/>
      <c r="G711" s="167"/>
      <c r="H711" s="167"/>
      <c r="I711" s="164">
        <f t="shared" ca="1" si="11"/>
        <v>44939</v>
      </c>
      <c r="J711" s="163">
        <v>0.33333333333333331</v>
      </c>
      <c r="K711" s="162" t="s">
        <v>749</v>
      </c>
      <c r="L711" s="166"/>
      <c r="M711" s="166"/>
      <c r="N711" s="164"/>
      <c r="O711" s="166"/>
      <c r="P711" s="165"/>
    </row>
    <row r="712" spans="1:16" ht="15" hidden="1" customHeight="1" x14ac:dyDescent="0.25">
      <c r="A712" s="167"/>
      <c r="B712" s="167"/>
      <c r="C712" s="167"/>
      <c r="D712" s="167"/>
      <c r="E712" s="167"/>
      <c r="F712" s="167"/>
      <c r="G712" s="167"/>
      <c r="H712" s="167"/>
      <c r="I712" s="164">
        <f t="shared" ca="1" si="11"/>
        <v>44939</v>
      </c>
      <c r="J712" s="163">
        <v>0.33333333333333331</v>
      </c>
      <c r="K712" s="162" t="s">
        <v>749</v>
      </c>
      <c r="L712" s="166"/>
      <c r="M712" s="166"/>
      <c r="N712" s="164"/>
      <c r="O712" s="166"/>
      <c r="P712" s="165"/>
    </row>
    <row r="713" spans="1:16" ht="15" hidden="1" customHeight="1" x14ac:dyDescent="0.25">
      <c r="A713" s="167"/>
      <c r="B713" s="167"/>
      <c r="C713" s="167"/>
      <c r="D713" s="167"/>
      <c r="E713" s="167"/>
      <c r="F713" s="167"/>
      <c r="G713" s="167"/>
      <c r="H713" s="167"/>
      <c r="I713" s="164">
        <f t="shared" ca="1" si="11"/>
        <v>44939</v>
      </c>
      <c r="J713" s="163">
        <v>0.33333333333333331</v>
      </c>
      <c r="K713" s="162" t="s">
        <v>749</v>
      </c>
      <c r="L713" s="166"/>
      <c r="M713" s="166"/>
      <c r="N713" s="164"/>
      <c r="O713" s="166"/>
      <c r="P713" s="165"/>
    </row>
    <row r="714" spans="1:16" ht="15" hidden="1" customHeight="1" x14ac:dyDescent="0.25">
      <c r="A714" s="167"/>
      <c r="B714" s="167"/>
      <c r="C714" s="167"/>
      <c r="D714" s="167"/>
      <c r="E714" s="167"/>
      <c r="F714" s="167"/>
      <c r="G714" s="167"/>
      <c r="H714" s="167"/>
      <c r="I714" s="164">
        <f t="shared" ca="1" si="11"/>
        <v>44939</v>
      </c>
      <c r="J714" s="163">
        <v>0.33333333333333331</v>
      </c>
      <c r="K714" s="162" t="s">
        <v>749</v>
      </c>
      <c r="L714" s="166"/>
      <c r="M714" s="166"/>
      <c r="N714" s="164"/>
      <c r="O714" s="166"/>
      <c r="P714" s="165"/>
    </row>
    <row r="715" spans="1:16" ht="15" hidden="1" customHeight="1" x14ac:dyDescent="0.25">
      <c r="A715" s="168"/>
      <c r="B715" s="167"/>
      <c r="C715" s="168"/>
      <c r="D715" s="167"/>
      <c r="E715" s="167"/>
      <c r="F715" s="167"/>
      <c r="G715" s="167"/>
      <c r="H715" s="167"/>
      <c r="I715" s="164">
        <f t="shared" ca="1" si="11"/>
        <v>44939</v>
      </c>
      <c r="J715" s="163">
        <v>0.33333333333333331</v>
      </c>
      <c r="K715" s="162" t="s">
        <v>749</v>
      </c>
      <c r="L715" s="166"/>
      <c r="M715" s="166"/>
      <c r="N715" s="164"/>
      <c r="O715" s="166"/>
      <c r="P715" s="165"/>
    </row>
    <row r="716" spans="1:16" ht="15" hidden="1" customHeight="1" x14ac:dyDescent="0.25">
      <c r="A716" s="168"/>
      <c r="B716" s="167"/>
      <c r="C716" s="168"/>
      <c r="D716" s="167"/>
      <c r="E716" s="167"/>
      <c r="F716" s="167"/>
      <c r="G716" s="167"/>
      <c r="H716" s="167"/>
      <c r="I716" s="164">
        <f t="shared" ca="1" si="11"/>
        <v>44939</v>
      </c>
      <c r="J716" s="163">
        <v>0.33333333333333331</v>
      </c>
      <c r="K716" s="162" t="s">
        <v>749</v>
      </c>
      <c r="L716" s="166"/>
      <c r="M716" s="166"/>
      <c r="N716" s="164"/>
      <c r="O716" s="166"/>
      <c r="P716" s="165"/>
    </row>
    <row r="717" spans="1:16" ht="15" hidden="1" customHeight="1" x14ac:dyDescent="0.25">
      <c r="A717" s="168"/>
      <c r="B717" s="167"/>
      <c r="C717" s="168"/>
      <c r="D717" s="167"/>
      <c r="E717" s="167"/>
      <c r="F717" s="167"/>
      <c r="G717" s="167"/>
      <c r="H717" s="167"/>
      <c r="I717" s="164">
        <f t="shared" ca="1" si="11"/>
        <v>44939</v>
      </c>
      <c r="J717" s="163">
        <v>0.33333333333333331</v>
      </c>
      <c r="K717" s="162" t="s">
        <v>749</v>
      </c>
      <c r="L717" s="166"/>
      <c r="M717" s="166"/>
      <c r="N717" s="164"/>
      <c r="O717" s="166"/>
      <c r="P717" s="165"/>
    </row>
    <row r="718" spans="1:16" ht="15" hidden="1" customHeight="1" x14ac:dyDescent="0.25">
      <c r="A718" s="167"/>
      <c r="B718" s="167"/>
      <c r="C718" s="167"/>
      <c r="D718" s="167"/>
      <c r="E718" s="167"/>
      <c r="F718" s="167"/>
      <c r="G718" s="167"/>
      <c r="H718" s="167"/>
      <c r="I718" s="164">
        <f t="shared" ca="1" si="11"/>
        <v>44939</v>
      </c>
      <c r="J718" s="163">
        <v>0.33333333333333331</v>
      </c>
      <c r="K718" s="162" t="s">
        <v>749</v>
      </c>
      <c r="L718" s="166"/>
      <c r="M718" s="166"/>
      <c r="N718" s="164"/>
      <c r="O718" s="166"/>
      <c r="P718" s="165"/>
    </row>
    <row r="719" spans="1:16" ht="15" hidden="1" customHeight="1" x14ac:dyDescent="0.25">
      <c r="A719" s="167"/>
      <c r="B719" s="167"/>
      <c r="C719" s="167"/>
      <c r="D719" s="167"/>
      <c r="E719" s="167"/>
      <c r="F719" s="167"/>
      <c r="G719" s="167"/>
      <c r="H719" s="167"/>
      <c r="I719" s="164">
        <f t="shared" ca="1" si="11"/>
        <v>44939</v>
      </c>
      <c r="J719" s="163">
        <v>0.33333333333333331</v>
      </c>
      <c r="K719" s="162" t="s">
        <v>749</v>
      </c>
      <c r="L719" s="166"/>
      <c r="M719" s="166"/>
      <c r="N719" s="164"/>
      <c r="O719" s="166"/>
      <c r="P719" s="165"/>
    </row>
    <row r="720" spans="1:16" ht="15" hidden="1" customHeight="1" x14ac:dyDescent="0.25">
      <c r="A720" s="167"/>
      <c r="B720" s="167"/>
      <c r="C720" s="167"/>
      <c r="D720" s="167"/>
      <c r="E720" s="167"/>
      <c r="F720" s="167"/>
      <c r="G720" s="167"/>
      <c r="H720" s="167"/>
      <c r="I720" s="164">
        <f t="shared" ca="1" si="11"/>
        <v>44939</v>
      </c>
      <c r="J720" s="163">
        <v>0.33333333333333331</v>
      </c>
      <c r="K720" s="162" t="s">
        <v>749</v>
      </c>
      <c r="L720" s="166"/>
      <c r="M720" s="166"/>
      <c r="N720" s="164"/>
      <c r="O720" s="166"/>
      <c r="P720" s="165"/>
    </row>
    <row r="721" spans="1:16" ht="15" hidden="1" customHeight="1" x14ac:dyDescent="0.25">
      <c r="A721" s="168"/>
      <c r="B721" s="167"/>
      <c r="C721" s="167"/>
      <c r="D721" s="167"/>
      <c r="E721" s="167"/>
      <c r="F721" s="167"/>
      <c r="G721" s="167"/>
      <c r="H721" s="167"/>
      <c r="I721" s="164">
        <f t="shared" ca="1" si="11"/>
        <v>44939</v>
      </c>
      <c r="J721" s="163">
        <v>0.33333333333333331</v>
      </c>
      <c r="K721" s="162" t="s">
        <v>749</v>
      </c>
      <c r="L721" s="166"/>
      <c r="M721" s="166"/>
      <c r="N721" s="164"/>
      <c r="O721" s="166"/>
      <c r="P721" s="165"/>
    </row>
    <row r="722" spans="1:16" ht="15" hidden="1" customHeight="1" x14ac:dyDescent="0.25">
      <c r="A722" s="168"/>
      <c r="B722" s="167"/>
      <c r="C722" s="168"/>
      <c r="D722" s="167"/>
      <c r="E722" s="167"/>
      <c r="F722" s="167"/>
      <c r="G722" s="167"/>
      <c r="H722" s="167"/>
      <c r="I722" s="164">
        <f t="shared" ca="1" si="11"/>
        <v>44939</v>
      </c>
      <c r="J722" s="163">
        <v>0.33333333333333331</v>
      </c>
      <c r="K722" s="162" t="s">
        <v>749</v>
      </c>
      <c r="L722" s="166"/>
      <c r="M722" s="166"/>
      <c r="N722" s="164"/>
      <c r="O722" s="166"/>
      <c r="P722" s="165"/>
    </row>
    <row r="723" spans="1:16" ht="15" hidden="1" customHeight="1" x14ac:dyDescent="0.25">
      <c r="A723" s="168"/>
      <c r="B723" s="167"/>
      <c r="C723" s="168"/>
      <c r="D723" s="167"/>
      <c r="E723" s="167"/>
      <c r="F723" s="167"/>
      <c r="G723" s="167"/>
      <c r="H723" s="167"/>
      <c r="I723" s="164">
        <f t="shared" ca="1" si="11"/>
        <v>44939</v>
      </c>
      <c r="J723" s="163">
        <v>0.33333333333333331</v>
      </c>
      <c r="K723" s="162" t="s">
        <v>749</v>
      </c>
      <c r="L723" s="166"/>
      <c r="M723" s="166"/>
      <c r="N723" s="164"/>
      <c r="O723" s="166"/>
      <c r="P723" s="165"/>
    </row>
    <row r="724" spans="1:16" ht="15" hidden="1" customHeight="1" x14ac:dyDescent="0.25">
      <c r="A724" s="167"/>
      <c r="B724" s="167"/>
      <c r="C724" s="167"/>
      <c r="D724" s="167"/>
      <c r="E724" s="167"/>
      <c r="F724" s="167"/>
      <c r="G724" s="167"/>
      <c r="H724" s="167"/>
      <c r="I724" s="164">
        <f t="shared" ca="1" si="11"/>
        <v>44939</v>
      </c>
      <c r="J724" s="163">
        <v>0.33333333333333331</v>
      </c>
      <c r="K724" s="162" t="s">
        <v>749</v>
      </c>
      <c r="L724" s="166"/>
      <c r="M724" s="166"/>
      <c r="N724" s="164"/>
      <c r="O724" s="166"/>
      <c r="P724" s="165"/>
    </row>
    <row r="725" spans="1:16" ht="15" hidden="1" customHeight="1" x14ac:dyDescent="0.25">
      <c r="A725" s="168"/>
      <c r="B725" s="167"/>
      <c r="C725" s="168"/>
      <c r="D725" s="167"/>
      <c r="E725" s="167"/>
      <c r="F725" s="167"/>
      <c r="G725" s="167"/>
      <c r="H725" s="167"/>
      <c r="I725" s="164">
        <f t="shared" ca="1" si="11"/>
        <v>44939</v>
      </c>
      <c r="J725" s="163">
        <v>0.33333333333333331</v>
      </c>
      <c r="K725" s="162" t="s">
        <v>749</v>
      </c>
      <c r="L725" s="166"/>
      <c r="M725" s="166"/>
      <c r="N725" s="164"/>
      <c r="O725" s="166"/>
      <c r="P725" s="165"/>
    </row>
    <row r="726" spans="1:16" ht="15" hidden="1" customHeight="1" x14ac:dyDescent="0.25">
      <c r="A726" s="167"/>
      <c r="B726" s="167"/>
      <c r="C726" s="167"/>
      <c r="D726" s="167"/>
      <c r="E726" s="167"/>
      <c r="F726" s="167"/>
      <c r="G726" s="167"/>
      <c r="H726" s="167"/>
      <c r="I726" s="164">
        <f t="shared" ca="1" si="11"/>
        <v>44939</v>
      </c>
      <c r="J726" s="163">
        <v>0.33333333333333331</v>
      </c>
      <c r="K726" s="162" t="s">
        <v>749</v>
      </c>
      <c r="L726" s="166"/>
      <c r="M726" s="166"/>
      <c r="N726" s="164"/>
      <c r="O726" s="166"/>
      <c r="P726" s="165"/>
    </row>
    <row r="727" spans="1:16" ht="15" hidden="1" customHeight="1" x14ac:dyDescent="0.25">
      <c r="A727" s="167"/>
      <c r="B727" s="167"/>
      <c r="C727" s="167"/>
      <c r="D727" s="167"/>
      <c r="E727" s="167"/>
      <c r="F727" s="167"/>
      <c r="G727" s="167"/>
      <c r="H727" s="167"/>
      <c r="I727" s="164">
        <f t="shared" ca="1" si="11"/>
        <v>44939</v>
      </c>
      <c r="J727" s="163">
        <v>0.33333333333333331</v>
      </c>
      <c r="K727" s="162" t="s">
        <v>749</v>
      </c>
      <c r="L727" s="166"/>
      <c r="M727" s="166"/>
      <c r="N727" s="164"/>
      <c r="O727" s="166"/>
      <c r="P727" s="165"/>
    </row>
    <row r="728" spans="1:16" ht="15" hidden="1" customHeight="1" x14ac:dyDescent="0.25">
      <c r="A728" s="167"/>
      <c r="B728" s="167"/>
      <c r="C728" s="167"/>
      <c r="D728" s="167"/>
      <c r="E728" s="167"/>
      <c r="F728" s="167"/>
      <c r="G728" s="167"/>
      <c r="H728" s="167"/>
      <c r="I728" s="164">
        <f t="shared" ref="I728:I791" ca="1" si="12">TODAY()</f>
        <v>44939</v>
      </c>
      <c r="J728" s="163">
        <v>0.33333333333333331</v>
      </c>
      <c r="K728" s="162" t="s">
        <v>749</v>
      </c>
      <c r="L728" s="166"/>
      <c r="M728" s="166"/>
      <c r="N728" s="164"/>
      <c r="O728" s="166"/>
      <c r="P728" s="165"/>
    </row>
    <row r="729" spans="1:16" ht="15" hidden="1" customHeight="1" x14ac:dyDescent="0.25">
      <c r="A729" s="168"/>
      <c r="B729" s="167"/>
      <c r="C729" s="168"/>
      <c r="D729" s="167"/>
      <c r="E729" s="167"/>
      <c r="F729" s="167"/>
      <c r="G729" s="167"/>
      <c r="H729" s="167"/>
      <c r="I729" s="164">
        <f t="shared" ca="1" si="12"/>
        <v>44939</v>
      </c>
      <c r="J729" s="163">
        <v>0.33333333333333331</v>
      </c>
      <c r="K729" s="162" t="s">
        <v>749</v>
      </c>
      <c r="L729" s="166"/>
      <c r="M729" s="166"/>
      <c r="N729" s="164"/>
      <c r="O729" s="166"/>
      <c r="P729" s="165"/>
    </row>
    <row r="730" spans="1:16" ht="15" hidden="1" customHeight="1" x14ac:dyDescent="0.25">
      <c r="A730" s="167"/>
      <c r="B730" s="167"/>
      <c r="C730" s="167"/>
      <c r="D730" s="167"/>
      <c r="E730" s="167"/>
      <c r="F730" s="167"/>
      <c r="G730" s="167"/>
      <c r="H730" s="167"/>
      <c r="I730" s="164">
        <f t="shared" ca="1" si="12"/>
        <v>44939</v>
      </c>
      <c r="J730" s="163">
        <v>0.33333333333333331</v>
      </c>
      <c r="K730" s="162" t="s">
        <v>749</v>
      </c>
      <c r="L730" s="166"/>
      <c r="M730" s="166"/>
      <c r="N730" s="164"/>
      <c r="O730" s="166"/>
      <c r="P730" s="165"/>
    </row>
    <row r="731" spans="1:16" ht="15" hidden="1" customHeight="1" x14ac:dyDescent="0.25">
      <c r="A731" s="167"/>
      <c r="B731" s="167"/>
      <c r="C731" s="167"/>
      <c r="D731" s="167"/>
      <c r="E731" s="167"/>
      <c r="F731" s="167"/>
      <c r="G731" s="167"/>
      <c r="H731" s="167"/>
      <c r="I731" s="164">
        <f t="shared" ca="1" si="12"/>
        <v>44939</v>
      </c>
      <c r="J731" s="163">
        <v>0.33333333333333331</v>
      </c>
      <c r="K731" s="162" t="s">
        <v>749</v>
      </c>
      <c r="L731" s="166"/>
      <c r="M731" s="166"/>
      <c r="N731" s="164"/>
      <c r="O731" s="166"/>
      <c r="P731" s="165"/>
    </row>
    <row r="732" spans="1:16" ht="15" hidden="1" customHeight="1" x14ac:dyDescent="0.25">
      <c r="A732" s="168"/>
      <c r="B732" s="167"/>
      <c r="C732" s="168"/>
      <c r="D732" s="167"/>
      <c r="E732" s="167"/>
      <c r="F732" s="167"/>
      <c r="G732" s="167"/>
      <c r="H732" s="167"/>
      <c r="I732" s="164">
        <f t="shared" ca="1" si="12"/>
        <v>44939</v>
      </c>
      <c r="J732" s="163">
        <v>0.33333333333333331</v>
      </c>
      <c r="K732" s="162" t="s">
        <v>749</v>
      </c>
      <c r="L732" s="166"/>
      <c r="M732" s="166"/>
      <c r="N732" s="164"/>
      <c r="O732" s="166"/>
      <c r="P732" s="165"/>
    </row>
    <row r="733" spans="1:16" ht="15" hidden="1" customHeight="1" x14ac:dyDescent="0.25">
      <c r="A733" s="168"/>
      <c r="B733" s="167"/>
      <c r="C733" s="168"/>
      <c r="D733" s="167"/>
      <c r="E733" s="167"/>
      <c r="F733" s="167"/>
      <c r="G733" s="167"/>
      <c r="H733" s="167"/>
      <c r="I733" s="164">
        <f t="shared" ca="1" si="12"/>
        <v>44939</v>
      </c>
      <c r="J733" s="163">
        <v>0.33333333333333331</v>
      </c>
      <c r="K733" s="162" t="s">
        <v>749</v>
      </c>
      <c r="L733" s="166"/>
      <c r="M733" s="166"/>
      <c r="N733" s="164"/>
      <c r="O733" s="166"/>
      <c r="P733" s="165"/>
    </row>
    <row r="734" spans="1:16" ht="15" hidden="1" customHeight="1" x14ac:dyDescent="0.25">
      <c r="A734" s="167"/>
      <c r="B734" s="167"/>
      <c r="C734" s="167"/>
      <c r="D734" s="167"/>
      <c r="E734" s="167"/>
      <c r="F734" s="167"/>
      <c r="G734" s="167"/>
      <c r="H734" s="167"/>
      <c r="I734" s="164">
        <f t="shared" ca="1" si="12"/>
        <v>44939</v>
      </c>
      <c r="J734" s="163">
        <v>0.33333333333333331</v>
      </c>
      <c r="K734" s="162" t="s">
        <v>749</v>
      </c>
      <c r="L734" s="166"/>
      <c r="M734" s="166"/>
      <c r="N734" s="164"/>
      <c r="O734" s="166"/>
      <c r="P734" s="165"/>
    </row>
    <row r="735" spans="1:16" ht="15" hidden="1" customHeight="1" x14ac:dyDescent="0.25">
      <c r="A735" s="167"/>
      <c r="B735" s="167"/>
      <c r="C735" s="167"/>
      <c r="D735" s="167"/>
      <c r="E735" s="167"/>
      <c r="F735" s="167"/>
      <c r="G735" s="167"/>
      <c r="H735" s="167"/>
      <c r="I735" s="164">
        <f t="shared" ca="1" si="12"/>
        <v>44939</v>
      </c>
      <c r="J735" s="163">
        <v>0.33333333333333331</v>
      </c>
      <c r="K735" s="162" t="s">
        <v>749</v>
      </c>
      <c r="L735" s="166"/>
      <c r="M735" s="166"/>
      <c r="N735" s="164"/>
      <c r="O735" s="166"/>
      <c r="P735" s="165"/>
    </row>
    <row r="736" spans="1:16" ht="15" hidden="1" customHeight="1" x14ac:dyDescent="0.25">
      <c r="A736" s="168"/>
      <c r="B736" s="167"/>
      <c r="C736" s="168"/>
      <c r="D736" s="167"/>
      <c r="E736" s="167"/>
      <c r="F736" s="167"/>
      <c r="G736" s="167"/>
      <c r="H736" s="167"/>
      <c r="I736" s="164">
        <f t="shared" ca="1" si="12"/>
        <v>44939</v>
      </c>
      <c r="J736" s="163">
        <v>0.33333333333333331</v>
      </c>
      <c r="K736" s="162" t="s">
        <v>749</v>
      </c>
      <c r="L736" s="166"/>
      <c r="M736" s="166"/>
      <c r="N736" s="164"/>
      <c r="O736" s="166"/>
      <c r="P736" s="165"/>
    </row>
    <row r="737" spans="1:16" ht="15" hidden="1" customHeight="1" x14ac:dyDescent="0.25">
      <c r="A737" s="167"/>
      <c r="B737" s="167"/>
      <c r="C737" s="167"/>
      <c r="D737" s="167"/>
      <c r="E737" s="167"/>
      <c r="F737" s="167"/>
      <c r="G737" s="167"/>
      <c r="H737" s="167"/>
      <c r="I737" s="164">
        <f t="shared" ca="1" si="12"/>
        <v>44939</v>
      </c>
      <c r="J737" s="163">
        <v>0.33333333333333331</v>
      </c>
      <c r="K737" s="162" t="s">
        <v>749</v>
      </c>
      <c r="L737" s="166"/>
      <c r="M737" s="166"/>
      <c r="N737" s="164"/>
      <c r="O737" s="166"/>
      <c r="P737" s="165"/>
    </row>
    <row r="738" spans="1:16" ht="15" hidden="1" customHeight="1" x14ac:dyDescent="0.25">
      <c r="A738" s="167"/>
      <c r="B738" s="167"/>
      <c r="C738" s="167"/>
      <c r="D738" s="167"/>
      <c r="E738" s="167"/>
      <c r="F738" s="167"/>
      <c r="G738" s="167"/>
      <c r="H738" s="167"/>
      <c r="I738" s="164">
        <f t="shared" ca="1" si="12"/>
        <v>44939</v>
      </c>
      <c r="J738" s="163">
        <v>0.33333333333333331</v>
      </c>
      <c r="K738" s="162" t="s">
        <v>749</v>
      </c>
      <c r="L738" s="166"/>
      <c r="M738" s="166"/>
      <c r="N738" s="164"/>
      <c r="O738" s="166"/>
      <c r="P738" s="165"/>
    </row>
    <row r="739" spans="1:16" ht="15" hidden="1" customHeight="1" x14ac:dyDescent="0.25">
      <c r="A739" s="167"/>
      <c r="B739" s="167"/>
      <c r="C739" s="167"/>
      <c r="D739" s="167"/>
      <c r="E739" s="167"/>
      <c r="F739" s="167"/>
      <c r="G739" s="167"/>
      <c r="H739" s="167"/>
      <c r="I739" s="164">
        <f t="shared" ca="1" si="12"/>
        <v>44939</v>
      </c>
      <c r="J739" s="163">
        <v>0.33333333333333331</v>
      </c>
      <c r="K739" s="162" t="s">
        <v>749</v>
      </c>
      <c r="L739" s="166"/>
      <c r="M739" s="166"/>
      <c r="N739" s="164"/>
      <c r="O739" s="166"/>
      <c r="P739" s="165"/>
    </row>
    <row r="740" spans="1:16" ht="15" hidden="1" customHeight="1" x14ac:dyDescent="0.25">
      <c r="A740" s="167"/>
      <c r="B740" s="167"/>
      <c r="C740" s="167"/>
      <c r="D740" s="167"/>
      <c r="E740" s="167"/>
      <c r="F740" s="167"/>
      <c r="G740" s="167"/>
      <c r="H740" s="167"/>
      <c r="I740" s="164">
        <f t="shared" ca="1" si="12"/>
        <v>44939</v>
      </c>
      <c r="J740" s="163">
        <v>0.33333333333333331</v>
      </c>
      <c r="K740" s="162" t="s">
        <v>749</v>
      </c>
      <c r="L740" s="166"/>
      <c r="M740" s="166"/>
      <c r="N740" s="164"/>
      <c r="O740" s="166"/>
      <c r="P740" s="165"/>
    </row>
    <row r="741" spans="1:16" ht="15" hidden="1" customHeight="1" x14ac:dyDescent="0.25">
      <c r="A741" s="167"/>
      <c r="B741" s="167"/>
      <c r="C741" s="167"/>
      <c r="D741" s="167"/>
      <c r="E741" s="167"/>
      <c r="F741" s="167"/>
      <c r="G741" s="167"/>
      <c r="H741" s="167"/>
      <c r="I741" s="164">
        <f t="shared" ca="1" si="12"/>
        <v>44939</v>
      </c>
      <c r="J741" s="163">
        <v>0.33333333333333331</v>
      </c>
      <c r="K741" s="162" t="s">
        <v>749</v>
      </c>
      <c r="L741" s="166"/>
      <c r="M741" s="166"/>
      <c r="N741" s="164"/>
      <c r="O741" s="166"/>
      <c r="P741" s="165"/>
    </row>
    <row r="742" spans="1:16" ht="15" hidden="1" customHeight="1" x14ac:dyDescent="0.25">
      <c r="A742" s="168"/>
      <c r="B742" s="167"/>
      <c r="C742" s="168"/>
      <c r="D742" s="167"/>
      <c r="E742" s="167"/>
      <c r="F742" s="167"/>
      <c r="G742" s="167"/>
      <c r="H742" s="167"/>
      <c r="I742" s="164">
        <f t="shared" ca="1" si="12"/>
        <v>44939</v>
      </c>
      <c r="J742" s="163">
        <v>0.33333333333333331</v>
      </c>
      <c r="K742" s="162" t="s">
        <v>749</v>
      </c>
      <c r="L742" s="166"/>
      <c r="M742" s="166"/>
      <c r="N742" s="164"/>
      <c r="O742" s="166"/>
      <c r="P742" s="165"/>
    </row>
    <row r="743" spans="1:16" ht="15" hidden="1" customHeight="1" x14ac:dyDescent="0.25">
      <c r="A743" s="168"/>
      <c r="B743" s="167"/>
      <c r="C743" s="168"/>
      <c r="D743" s="167"/>
      <c r="E743" s="167"/>
      <c r="F743" s="167"/>
      <c r="G743" s="167"/>
      <c r="H743" s="167"/>
      <c r="I743" s="164">
        <f t="shared" ca="1" si="12"/>
        <v>44939</v>
      </c>
      <c r="J743" s="163">
        <v>0.33333333333333331</v>
      </c>
      <c r="K743" s="162" t="s">
        <v>749</v>
      </c>
      <c r="L743" s="166"/>
      <c r="M743" s="166"/>
      <c r="N743" s="164"/>
      <c r="O743" s="166"/>
      <c r="P743" s="165"/>
    </row>
    <row r="744" spans="1:16" ht="15" hidden="1" customHeight="1" x14ac:dyDescent="0.25">
      <c r="A744" s="168"/>
      <c r="B744" s="167"/>
      <c r="C744" s="168"/>
      <c r="D744" s="167"/>
      <c r="E744" s="167"/>
      <c r="F744" s="167"/>
      <c r="G744" s="167"/>
      <c r="H744" s="167"/>
      <c r="I744" s="164">
        <f t="shared" ca="1" si="12"/>
        <v>44939</v>
      </c>
      <c r="J744" s="163">
        <v>0.33333333333333331</v>
      </c>
      <c r="K744" s="162" t="s">
        <v>749</v>
      </c>
      <c r="L744" s="166"/>
      <c r="M744" s="166"/>
      <c r="N744" s="164"/>
      <c r="O744" s="166"/>
      <c r="P744" s="165"/>
    </row>
    <row r="745" spans="1:16" ht="15" hidden="1" customHeight="1" x14ac:dyDescent="0.25">
      <c r="A745" s="168"/>
      <c r="B745" s="167"/>
      <c r="C745" s="168"/>
      <c r="D745" s="167"/>
      <c r="E745" s="167"/>
      <c r="F745" s="167"/>
      <c r="G745" s="167"/>
      <c r="H745" s="167"/>
      <c r="I745" s="164">
        <f t="shared" ca="1" si="12"/>
        <v>44939</v>
      </c>
      <c r="J745" s="163">
        <v>0.33333333333333331</v>
      </c>
      <c r="K745" s="162" t="s">
        <v>749</v>
      </c>
      <c r="L745" s="166"/>
      <c r="M745" s="166"/>
      <c r="N745" s="164"/>
      <c r="O745" s="166"/>
      <c r="P745" s="165"/>
    </row>
    <row r="746" spans="1:16" ht="15" hidden="1" customHeight="1" x14ac:dyDescent="0.25">
      <c r="A746" s="167"/>
      <c r="B746" s="167"/>
      <c r="C746" s="167"/>
      <c r="D746" s="167"/>
      <c r="E746" s="167"/>
      <c r="F746" s="167"/>
      <c r="G746" s="167"/>
      <c r="H746" s="167"/>
      <c r="I746" s="164">
        <f t="shared" ca="1" si="12"/>
        <v>44939</v>
      </c>
      <c r="J746" s="163">
        <v>0.33333333333333331</v>
      </c>
      <c r="K746" s="162" t="s">
        <v>749</v>
      </c>
      <c r="L746" s="166"/>
      <c r="M746" s="166"/>
      <c r="N746" s="164"/>
      <c r="O746" s="166"/>
      <c r="P746" s="165"/>
    </row>
    <row r="747" spans="1:16" ht="15" hidden="1" customHeight="1" x14ac:dyDescent="0.25">
      <c r="A747" s="167"/>
      <c r="B747" s="167"/>
      <c r="C747" s="167"/>
      <c r="D747" s="167"/>
      <c r="E747" s="167"/>
      <c r="F747" s="167"/>
      <c r="G747" s="167"/>
      <c r="H747" s="167"/>
      <c r="I747" s="164">
        <f t="shared" ca="1" si="12"/>
        <v>44939</v>
      </c>
      <c r="J747" s="163">
        <v>0.33333333333333331</v>
      </c>
      <c r="K747" s="162" t="s">
        <v>749</v>
      </c>
      <c r="L747" s="166"/>
      <c r="M747" s="166"/>
      <c r="N747" s="164"/>
      <c r="O747" s="166"/>
      <c r="P747" s="165"/>
    </row>
    <row r="748" spans="1:16" ht="15" hidden="1" customHeight="1" x14ac:dyDescent="0.25">
      <c r="A748" s="167"/>
      <c r="B748" s="167"/>
      <c r="C748" s="167"/>
      <c r="D748" s="167"/>
      <c r="E748" s="167"/>
      <c r="F748" s="167"/>
      <c r="G748" s="167"/>
      <c r="H748" s="167"/>
      <c r="I748" s="164">
        <f t="shared" ca="1" si="12"/>
        <v>44939</v>
      </c>
      <c r="J748" s="163">
        <v>0.33333333333333331</v>
      </c>
      <c r="K748" s="162" t="s">
        <v>749</v>
      </c>
      <c r="L748" s="166"/>
      <c r="M748" s="166"/>
      <c r="N748" s="164"/>
      <c r="O748" s="166"/>
      <c r="P748" s="165"/>
    </row>
    <row r="749" spans="1:16" ht="15" hidden="1" customHeight="1" x14ac:dyDescent="0.25">
      <c r="A749" s="168"/>
      <c r="B749" s="167"/>
      <c r="C749" s="168"/>
      <c r="D749" s="167"/>
      <c r="E749" s="167"/>
      <c r="F749" s="167"/>
      <c r="G749" s="167"/>
      <c r="H749" s="167"/>
      <c r="I749" s="164">
        <f t="shared" ca="1" si="12"/>
        <v>44939</v>
      </c>
      <c r="J749" s="163">
        <v>0.33333333333333331</v>
      </c>
      <c r="K749" s="162" t="s">
        <v>749</v>
      </c>
      <c r="L749" s="166"/>
      <c r="M749" s="166"/>
      <c r="N749" s="164"/>
      <c r="O749" s="166"/>
      <c r="P749" s="165"/>
    </row>
    <row r="750" spans="1:16" ht="15" hidden="1" customHeight="1" x14ac:dyDescent="0.25">
      <c r="A750" s="168"/>
      <c r="B750" s="167"/>
      <c r="C750" s="168"/>
      <c r="D750" s="167"/>
      <c r="E750" s="167"/>
      <c r="F750" s="167"/>
      <c r="G750" s="167"/>
      <c r="H750" s="167"/>
      <c r="I750" s="164">
        <f t="shared" ca="1" si="12"/>
        <v>44939</v>
      </c>
      <c r="J750" s="163">
        <v>0.33333333333333331</v>
      </c>
      <c r="K750" s="162" t="s">
        <v>749</v>
      </c>
      <c r="L750" s="166"/>
      <c r="M750" s="166"/>
      <c r="N750" s="164"/>
      <c r="O750" s="166"/>
      <c r="P750" s="165"/>
    </row>
    <row r="751" spans="1:16" ht="15" hidden="1" customHeight="1" x14ac:dyDescent="0.25">
      <c r="A751" s="168"/>
      <c r="B751" s="167"/>
      <c r="C751" s="168"/>
      <c r="D751" s="167"/>
      <c r="E751" s="167"/>
      <c r="F751" s="167"/>
      <c r="G751" s="167"/>
      <c r="H751" s="167"/>
      <c r="I751" s="164">
        <f t="shared" ca="1" si="12"/>
        <v>44939</v>
      </c>
      <c r="J751" s="163">
        <v>0.33333333333333331</v>
      </c>
      <c r="K751" s="162" t="s">
        <v>749</v>
      </c>
      <c r="L751" s="166"/>
      <c r="M751" s="166"/>
      <c r="N751" s="164"/>
      <c r="O751" s="166"/>
      <c r="P751" s="165"/>
    </row>
    <row r="752" spans="1:16" ht="15" hidden="1" customHeight="1" x14ac:dyDescent="0.25">
      <c r="A752" s="168"/>
      <c r="B752" s="167"/>
      <c r="C752" s="168"/>
      <c r="D752" s="167"/>
      <c r="E752" s="167"/>
      <c r="F752" s="167"/>
      <c r="G752" s="167"/>
      <c r="H752" s="167"/>
      <c r="I752" s="164">
        <f t="shared" ca="1" si="12"/>
        <v>44939</v>
      </c>
      <c r="J752" s="163">
        <v>0.33333333333333331</v>
      </c>
      <c r="K752" s="162" t="s">
        <v>749</v>
      </c>
      <c r="L752" s="166"/>
      <c r="M752" s="166"/>
      <c r="N752" s="164"/>
      <c r="O752" s="166"/>
      <c r="P752" s="165"/>
    </row>
    <row r="753" spans="1:16" ht="15" hidden="1" customHeight="1" x14ac:dyDescent="0.25">
      <c r="A753" s="168"/>
      <c r="B753" s="167"/>
      <c r="C753" s="168"/>
      <c r="D753" s="167"/>
      <c r="E753" s="167"/>
      <c r="F753" s="167"/>
      <c r="G753" s="167"/>
      <c r="H753" s="167"/>
      <c r="I753" s="164">
        <f t="shared" ca="1" si="12"/>
        <v>44939</v>
      </c>
      <c r="J753" s="163">
        <v>0.33333333333333331</v>
      </c>
      <c r="K753" s="162" t="s">
        <v>749</v>
      </c>
      <c r="L753" s="166"/>
      <c r="M753" s="166"/>
      <c r="N753" s="164"/>
      <c r="O753" s="166"/>
      <c r="P753" s="165"/>
    </row>
    <row r="754" spans="1:16" ht="15" hidden="1" customHeight="1" x14ac:dyDescent="0.25">
      <c r="A754" s="167"/>
      <c r="B754" s="167"/>
      <c r="C754" s="167"/>
      <c r="D754" s="167"/>
      <c r="E754" s="167"/>
      <c r="F754" s="167"/>
      <c r="G754" s="167"/>
      <c r="H754" s="167"/>
      <c r="I754" s="164">
        <f t="shared" ca="1" si="12"/>
        <v>44939</v>
      </c>
      <c r="J754" s="163">
        <v>0.33333333333333331</v>
      </c>
      <c r="K754" s="162" t="s">
        <v>749</v>
      </c>
      <c r="L754" s="166"/>
      <c r="M754" s="166"/>
      <c r="N754" s="164"/>
      <c r="O754" s="166"/>
      <c r="P754" s="165"/>
    </row>
    <row r="755" spans="1:16" ht="15" hidden="1" customHeight="1" x14ac:dyDescent="0.25">
      <c r="A755" s="160"/>
      <c r="B755" s="167"/>
      <c r="C755" s="167"/>
      <c r="D755" s="167"/>
      <c r="E755" s="167"/>
      <c r="F755" s="167"/>
      <c r="G755" s="167"/>
      <c r="H755" s="167"/>
      <c r="I755" s="164">
        <f t="shared" ca="1" si="12"/>
        <v>44939</v>
      </c>
      <c r="J755" s="163">
        <v>0.33333333333333331</v>
      </c>
      <c r="K755" s="162" t="s">
        <v>749</v>
      </c>
      <c r="L755" s="166"/>
      <c r="M755" s="166"/>
      <c r="N755" s="164"/>
      <c r="O755" s="166"/>
      <c r="P755" s="165"/>
    </row>
    <row r="756" spans="1:16" ht="15" hidden="1" customHeight="1" x14ac:dyDescent="0.25">
      <c r="A756" s="167"/>
      <c r="B756" s="167"/>
      <c r="C756" s="167"/>
      <c r="D756" s="167"/>
      <c r="E756" s="167"/>
      <c r="F756" s="167"/>
      <c r="G756" s="167"/>
      <c r="H756" s="167"/>
      <c r="I756" s="164">
        <f t="shared" ca="1" si="12"/>
        <v>44939</v>
      </c>
      <c r="J756" s="163">
        <v>0.33333333333333331</v>
      </c>
      <c r="K756" s="162" t="s">
        <v>749</v>
      </c>
      <c r="L756" s="166"/>
      <c r="M756" s="166"/>
      <c r="N756" s="164"/>
      <c r="O756" s="166"/>
      <c r="P756" s="165"/>
    </row>
    <row r="757" spans="1:16" ht="15" hidden="1" customHeight="1" x14ac:dyDescent="0.25">
      <c r="A757" s="167"/>
      <c r="B757" s="167"/>
      <c r="C757" s="167"/>
      <c r="D757" s="167"/>
      <c r="E757" s="167"/>
      <c r="F757" s="167"/>
      <c r="G757" s="167"/>
      <c r="H757" s="167"/>
      <c r="I757" s="164">
        <f t="shared" ca="1" si="12"/>
        <v>44939</v>
      </c>
      <c r="J757" s="163">
        <v>0.33333333333333331</v>
      </c>
      <c r="K757" s="162" t="s">
        <v>749</v>
      </c>
      <c r="L757" s="166"/>
      <c r="M757" s="166"/>
      <c r="N757" s="164"/>
      <c r="O757" s="166"/>
      <c r="P757" s="165"/>
    </row>
    <row r="758" spans="1:16" ht="15" hidden="1" customHeight="1" x14ac:dyDescent="0.25">
      <c r="A758" s="167"/>
      <c r="B758" s="167"/>
      <c r="C758" s="167"/>
      <c r="D758" s="167"/>
      <c r="E758" s="167"/>
      <c r="F758" s="167"/>
      <c r="G758" s="167"/>
      <c r="H758" s="167"/>
      <c r="I758" s="164">
        <f t="shared" ca="1" si="12"/>
        <v>44939</v>
      </c>
      <c r="J758" s="163">
        <v>0.33333333333333331</v>
      </c>
      <c r="K758" s="162" t="s">
        <v>749</v>
      </c>
      <c r="L758" s="166"/>
      <c r="M758" s="166"/>
      <c r="N758" s="164"/>
      <c r="O758" s="166"/>
      <c r="P758" s="165"/>
    </row>
    <row r="759" spans="1:16" ht="15" hidden="1" customHeight="1" x14ac:dyDescent="0.25">
      <c r="A759" s="167"/>
      <c r="B759" s="167"/>
      <c r="C759" s="167"/>
      <c r="D759" s="167"/>
      <c r="E759" s="167"/>
      <c r="F759" s="167"/>
      <c r="G759" s="167"/>
      <c r="H759" s="167"/>
      <c r="I759" s="164">
        <f t="shared" ca="1" si="12"/>
        <v>44939</v>
      </c>
      <c r="J759" s="163">
        <v>0.33333333333333331</v>
      </c>
      <c r="K759" s="162" t="s">
        <v>749</v>
      </c>
      <c r="L759" s="166"/>
      <c r="M759" s="166"/>
      <c r="N759" s="164"/>
      <c r="O759" s="166"/>
      <c r="P759" s="165"/>
    </row>
    <row r="760" spans="1:16" ht="15" hidden="1" customHeight="1" x14ac:dyDescent="0.25">
      <c r="A760" s="168"/>
      <c r="B760" s="167"/>
      <c r="C760" s="168"/>
      <c r="D760" s="167"/>
      <c r="E760" s="167"/>
      <c r="F760" s="167"/>
      <c r="G760" s="167"/>
      <c r="H760" s="167"/>
      <c r="I760" s="164">
        <f t="shared" ca="1" si="12"/>
        <v>44939</v>
      </c>
      <c r="J760" s="163">
        <v>0.33333333333333331</v>
      </c>
      <c r="K760" s="162" t="s">
        <v>749</v>
      </c>
      <c r="L760" s="166"/>
      <c r="M760" s="166"/>
      <c r="N760" s="164"/>
      <c r="O760" s="166"/>
      <c r="P760" s="165"/>
    </row>
    <row r="761" spans="1:16" ht="15" hidden="1" customHeight="1" x14ac:dyDescent="0.25">
      <c r="A761" s="167"/>
      <c r="B761" s="167"/>
      <c r="C761" s="167"/>
      <c r="D761" s="167"/>
      <c r="E761" s="167"/>
      <c r="F761" s="167"/>
      <c r="G761" s="167"/>
      <c r="H761" s="167"/>
      <c r="I761" s="164">
        <f t="shared" ca="1" si="12"/>
        <v>44939</v>
      </c>
      <c r="J761" s="163">
        <v>0.33333333333333331</v>
      </c>
      <c r="K761" s="162" t="s">
        <v>749</v>
      </c>
      <c r="L761" s="166"/>
      <c r="M761" s="166"/>
      <c r="N761" s="164"/>
      <c r="O761" s="166"/>
      <c r="P761" s="165"/>
    </row>
    <row r="762" spans="1:16" ht="15" hidden="1" customHeight="1" x14ac:dyDescent="0.25">
      <c r="A762" s="167"/>
      <c r="B762" s="167"/>
      <c r="C762" s="167"/>
      <c r="D762" s="167"/>
      <c r="E762" s="167"/>
      <c r="F762" s="167"/>
      <c r="G762" s="167"/>
      <c r="H762" s="167"/>
      <c r="I762" s="164">
        <f t="shared" ca="1" si="12"/>
        <v>44939</v>
      </c>
      <c r="J762" s="163">
        <v>0.33333333333333331</v>
      </c>
      <c r="K762" s="162" t="s">
        <v>749</v>
      </c>
      <c r="L762" s="166"/>
      <c r="M762" s="166"/>
      <c r="N762" s="164"/>
      <c r="O762" s="166"/>
      <c r="P762" s="165"/>
    </row>
    <row r="763" spans="1:16" ht="15" hidden="1" customHeight="1" x14ac:dyDescent="0.25">
      <c r="A763" s="167"/>
      <c r="B763" s="167"/>
      <c r="C763" s="167"/>
      <c r="D763" s="167"/>
      <c r="E763" s="167"/>
      <c r="F763" s="167"/>
      <c r="G763" s="167"/>
      <c r="H763" s="167"/>
      <c r="I763" s="164">
        <f t="shared" ca="1" si="12"/>
        <v>44939</v>
      </c>
      <c r="J763" s="163">
        <v>0.33333333333333331</v>
      </c>
      <c r="K763" s="162" t="s">
        <v>749</v>
      </c>
      <c r="L763" s="166"/>
      <c r="M763" s="166"/>
      <c r="N763" s="164"/>
      <c r="O763" s="166"/>
      <c r="P763" s="165"/>
    </row>
    <row r="764" spans="1:16" ht="15" hidden="1" customHeight="1" x14ac:dyDescent="0.25">
      <c r="A764" s="168"/>
      <c r="B764" s="167"/>
      <c r="C764" s="168"/>
      <c r="D764" s="167"/>
      <c r="E764" s="167"/>
      <c r="F764" s="167"/>
      <c r="G764" s="167"/>
      <c r="H764" s="167"/>
      <c r="I764" s="164">
        <f t="shared" ca="1" si="12"/>
        <v>44939</v>
      </c>
      <c r="J764" s="163">
        <v>0.33333333333333331</v>
      </c>
      <c r="K764" s="162" t="s">
        <v>749</v>
      </c>
      <c r="L764" s="166"/>
      <c r="M764" s="166"/>
      <c r="N764" s="164"/>
      <c r="O764" s="166"/>
      <c r="P764" s="165"/>
    </row>
    <row r="765" spans="1:16" ht="15" hidden="1" customHeight="1" x14ac:dyDescent="0.25">
      <c r="A765" s="168"/>
      <c r="B765" s="167"/>
      <c r="C765" s="168"/>
      <c r="D765" s="167"/>
      <c r="E765" s="167"/>
      <c r="F765" s="167"/>
      <c r="G765" s="167"/>
      <c r="H765" s="167"/>
      <c r="I765" s="164">
        <f t="shared" ca="1" si="12"/>
        <v>44939</v>
      </c>
      <c r="J765" s="163">
        <v>0.33333333333333331</v>
      </c>
      <c r="K765" s="162" t="s">
        <v>749</v>
      </c>
      <c r="L765" s="166"/>
      <c r="M765" s="166"/>
      <c r="N765" s="164"/>
      <c r="O765" s="166"/>
      <c r="P765" s="165"/>
    </row>
    <row r="766" spans="1:16" ht="15" hidden="1" customHeight="1" x14ac:dyDescent="0.25">
      <c r="A766" s="167"/>
      <c r="B766" s="167"/>
      <c r="C766" s="167"/>
      <c r="D766" s="167"/>
      <c r="E766" s="167"/>
      <c r="F766" s="167"/>
      <c r="G766" s="167"/>
      <c r="H766" s="167"/>
      <c r="I766" s="164">
        <f t="shared" ca="1" si="12"/>
        <v>44939</v>
      </c>
      <c r="J766" s="163">
        <v>0.33333333333333331</v>
      </c>
      <c r="K766" s="162" t="s">
        <v>749</v>
      </c>
      <c r="L766" s="166"/>
      <c r="M766" s="166"/>
      <c r="N766" s="164"/>
      <c r="O766" s="166"/>
      <c r="P766" s="165"/>
    </row>
    <row r="767" spans="1:16" ht="15" hidden="1" customHeight="1" x14ac:dyDescent="0.25">
      <c r="A767" s="167"/>
      <c r="B767" s="167"/>
      <c r="C767" s="167"/>
      <c r="D767" s="167"/>
      <c r="E767" s="167"/>
      <c r="F767" s="167"/>
      <c r="G767" s="167"/>
      <c r="H767" s="167"/>
      <c r="I767" s="164">
        <f t="shared" ca="1" si="12"/>
        <v>44939</v>
      </c>
      <c r="J767" s="163">
        <v>0.33333333333333331</v>
      </c>
      <c r="K767" s="162" t="s">
        <v>749</v>
      </c>
      <c r="L767" s="166"/>
      <c r="M767" s="166"/>
      <c r="N767" s="164"/>
      <c r="O767" s="166"/>
      <c r="P767" s="165"/>
    </row>
    <row r="768" spans="1:16" ht="15" hidden="1" customHeight="1" x14ac:dyDescent="0.25">
      <c r="A768" s="167"/>
      <c r="B768" s="167"/>
      <c r="C768" s="167"/>
      <c r="D768" s="167"/>
      <c r="E768" s="167"/>
      <c r="F768" s="167"/>
      <c r="G768" s="167"/>
      <c r="H768" s="167"/>
      <c r="I768" s="164">
        <f t="shared" ca="1" si="12"/>
        <v>44939</v>
      </c>
      <c r="J768" s="163">
        <v>0.33333333333333331</v>
      </c>
      <c r="K768" s="162" t="s">
        <v>749</v>
      </c>
      <c r="L768" s="166"/>
      <c r="M768" s="166"/>
      <c r="N768" s="164"/>
      <c r="O768" s="166"/>
      <c r="P768" s="165"/>
    </row>
    <row r="769" spans="1:16" ht="15" hidden="1" customHeight="1" x14ac:dyDescent="0.25">
      <c r="A769" s="167"/>
      <c r="B769" s="167"/>
      <c r="C769" s="167"/>
      <c r="D769" s="167"/>
      <c r="E769" s="167"/>
      <c r="F769" s="167"/>
      <c r="G769" s="167"/>
      <c r="H769" s="167"/>
      <c r="I769" s="164">
        <f t="shared" ca="1" si="12"/>
        <v>44939</v>
      </c>
      <c r="J769" s="163">
        <v>0.33333333333333331</v>
      </c>
      <c r="K769" s="162" t="s">
        <v>749</v>
      </c>
      <c r="L769" s="166"/>
      <c r="M769" s="166"/>
      <c r="N769" s="164"/>
      <c r="O769" s="166"/>
      <c r="P769" s="165"/>
    </row>
    <row r="770" spans="1:16" ht="15" hidden="1" customHeight="1" x14ac:dyDescent="0.25">
      <c r="A770" s="167"/>
      <c r="B770" s="167"/>
      <c r="C770" s="167"/>
      <c r="D770" s="167"/>
      <c r="E770" s="167"/>
      <c r="F770" s="167"/>
      <c r="G770" s="167"/>
      <c r="H770" s="167"/>
      <c r="I770" s="164">
        <f t="shared" ca="1" si="12"/>
        <v>44939</v>
      </c>
      <c r="J770" s="163">
        <v>0.33333333333333331</v>
      </c>
      <c r="K770" s="162" t="s">
        <v>749</v>
      </c>
      <c r="L770" s="166"/>
      <c r="M770" s="166"/>
      <c r="N770" s="164"/>
      <c r="O770" s="166"/>
      <c r="P770" s="165"/>
    </row>
    <row r="771" spans="1:16" ht="15" hidden="1" customHeight="1" x14ac:dyDescent="0.25">
      <c r="A771" s="168"/>
      <c r="B771" s="167"/>
      <c r="C771" s="168"/>
      <c r="D771" s="167"/>
      <c r="E771" s="167"/>
      <c r="F771" s="167"/>
      <c r="G771" s="167"/>
      <c r="H771" s="167"/>
      <c r="I771" s="164">
        <f t="shared" ca="1" si="12"/>
        <v>44939</v>
      </c>
      <c r="J771" s="163">
        <v>0.33333333333333331</v>
      </c>
      <c r="K771" s="162" t="s">
        <v>749</v>
      </c>
      <c r="L771" s="166"/>
      <c r="M771" s="166"/>
      <c r="N771" s="164"/>
      <c r="O771" s="166"/>
      <c r="P771" s="165"/>
    </row>
    <row r="772" spans="1:16" ht="15" hidden="1" customHeight="1" x14ac:dyDescent="0.25">
      <c r="A772" s="168"/>
      <c r="B772" s="167"/>
      <c r="C772" s="168"/>
      <c r="D772" s="167"/>
      <c r="E772" s="167"/>
      <c r="F772" s="167"/>
      <c r="G772" s="167"/>
      <c r="H772" s="167"/>
      <c r="I772" s="164">
        <f t="shared" ca="1" si="12"/>
        <v>44939</v>
      </c>
      <c r="J772" s="163">
        <v>0.33333333333333331</v>
      </c>
      <c r="K772" s="162" t="s">
        <v>749</v>
      </c>
      <c r="L772" s="166"/>
      <c r="M772" s="166"/>
      <c r="N772" s="164"/>
      <c r="O772" s="166"/>
      <c r="P772" s="165"/>
    </row>
    <row r="773" spans="1:16" ht="15" hidden="1" customHeight="1" x14ac:dyDescent="0.25">
      <c r="A773" s="168"/>
      <c r="B773" s="167"/>
      <c r="C773" s="168"/>
      <c r="D773" s="167"/>
      <c r="E773" s="167"/>
      <c r="F773" s="167"/>
      <c r="G773" s="167"/>
      <c r="H773" s="167"/>
      <c r="I773" s="164">
        <f t="shared" ca="1" si="12"/>
        <v>44939</v>
      </c>
      <c r="J773" s="163">
        <v>0.33333333333333331</v>
      </c>
      <c r="K773" s="162" t="s">
        <v>749</v>
      </c>
      <c r="L773" s="166"/>
      <c r="M773" s="166"/>
      <c r="N773" s="164"/>
      <c r="O773" s="166"/>
      <c r="P773" s="165"/>
    </row>
    <row r="774" spans="1:16" ht="15" hidden="1" customHeight="1" x14ac:dyDescent="0.25">
      <c r="A774" s="168"/>
      <c r="B774" s="167"/>
      <c r="C774" s="168"/>
      <c r="D774" s="167"/>
      <c r="E774" s="167"/>
      <c r="F774" s="167"/>
      <c r="G774" s="167"/>
      <c r="H774" s="167"/>
      <c r="I774" s="164">
        <f t="shared" ca="1" si="12"/>
        <v>44939</v>
      </c>
      <c r="J774" s="163">
        <v>0.33333333333333331</v>
      </c>
      <c r="K774" s="162" t="s">
        <v>749</v>
      </c>
      <c r="L774" s="166"/>
      <c r="M774" s="166"/>
      <c r="N774" s="164"/>
      <c r="O774" s="166"/>
      <c r="P774" s="165"/>
    </row>
    <row r="775" spans="1:16" ht="15" hidden="1" customHeight="1" x14ac:dyDescent="0.25">
      <c r="A775" s="168"/>
      <c r="B775" s="167"/>
      <c r="C775" s="168"/>
      <c r="D775" s="167"/>
      <c r="E775" s="167"/>
      <c r="F775" s="167"/>
      <c r="G775" s="167"/>
      <c r="H775" s="167"/>
      <c r="I775" s="164">
        <f t="shared" ca="1" si="12"/>
        <v>44939</v>
      </c>
      <c r="J775" s="163">
        <v>0.33333333333333331</v>
      </c>
      <c r="K775" s="162" t="s">
        <v>749</v>
      </c>
      <c r="L775" s="166"/>
      <c r="M775" s="166"/>
      <c r="N775" s="164"/>
      <c r="O775" s="166"/>
      <c r="P775" s="165"/>
    </row>
    <row r="776" spans="1:16" ht="15" hidden="1" customHeight="1" x14ac:dyDescent="0.25">
      <c r="A776" s="168"/>
      <c r="B776" s="167"/>
      <c r="C776" s="168"/>
      <c r="D776" s="167"/>
      <c r="E776" s="167"/>
      <c r="F776" s="167"/>
      <c r="G776" s="167"/>
      <c r="H776" s="167"/>
      <c r="I776" s="164">
        <f t="shared" ca="1" si="12"/>
        <v>44939</v>
      </c>
      <c r="J776" s="163">
        <v>0.33333333333333331</v>
      </c>
      <c r="K776" s="162" t="s">
        <v>749</v>
      </c>
      <c r="L776" s="166"/>
      <c r="M776" s="166"/>
      <c r="N776" s="164"/>
      <c r="O776" s="166"/>
      <c r="P776" s="165"/>
    </row>
    <row r="777" spans="1:16" ht="15" hidden="1" customHeight="1" x14ac:dyDescent="0.25">
      <c r="A777" s="167"/>
      <c r="B777" s="160"/>
      <c r="C777" s="168"/>
      <c r="D777" s="167"/>
      <c r="E777" s="167"/>
      <c r="F777" s="167"/>
      <c r="G777" s="167"/>
      <c r="H777" s="167"/>
      <c r="I777" s="164">
        <f t="shared" ca="1" si="12"/>
        <v>44939</v>
      </c>
      <c r="J777" s="163">
        <v>0.33333333333333331</v>
      </c>
      <c r="K777" s="162" t="s">
        <v>749</v>
      </c>
      <c r="L777" s="166"/>
      <c r="M777" s="166"/>
      <c r="N777" s="164"/>
      <c r="O777" s="166"/>
      <c r="P777" s="165"/>
    </row>
    <row r="778" spans="1:16" ht="15" hidden="1" customHeight="1" x14ac:dyDescent="0.25">
      <c r="A778" s="167"/>
      <c r="B778" s="167"/>
      <c r="C778" s="167"/>
      <c r="D778" s="167"/>
      <c r="E778" s="167"/>
      <c r="F778" s="167"/>
      <c r="G778" s="167"/>
      <c r="H778" s="167"/>
      <c r="I778" s="164">
        <f t="shared" ca="1" si="12"/>
        <v>44939</v>
      </c>
      <c r="J778" s="163">
        <v>0.33333333333333331</v>
      </c>
      <c r="K778" s="162" t="s">
        <v>749</v>
      </c>
      <c r="L778" s="166"/>
      <c r="M778" s="166"/>
      <c r="N778" s="164"/>
      <c r="O778" s="166"/>
      <c r="P778" s="165"/>
    </row>
    <row r="779" spans="1:16" ht="15" hidden="1" customHeight="1" x14ac:dyDescent="0.25">
      <c r="A779" s="167"/>
      <c r="B779" s="167"/>
      <c r="C779" s="167"/>
      <c r="D779" s="167"/>
      <c r="E779" s="167"/>
      <c r="F779" s="167"/>
      <c r="G779" s="167"/>
      <c r="H779" s="167"/>
      <c r="I779" s="164">
        <f t="shared" ca="1" si="12"/>
        <v>44939</v>
      </c>
      <c r="J779" s="163">
        <v>0.33333333333333331</v>
      </c>
      <c r="K779" s="162" t="s">
        <v>749</v>
      </c>
      <c r="L779" s="166"/>
      <c r="M779" s="166"/>
      <c r="N779" s="167"/>
      <c r="O779" s="167"/>
      <c r="P779" s="165"/>
    </row>
    <row r="780" spans="1:16" ht="15" hidden="1" customHeight="1" x14ac:dyDescent="0.25">
      <c r="A780" s="167"/>
      <c r="B780" s="167"/>
      <c r="C780" s="167"/>
      <c r="D780" s="167"/>
      <c r="E780" s="167"/>
      <c r="F780" s="167"/>
      <c r="G780" s="167"/>
      <c r="H780" s="167"/>
      <c r="I780" s="164">
        <f t="shared" ca="1" si="12"/>
        <v>44939</v>
      </c>
      <c r="J780" s="163">
        <v>0.33333333333333331</v>
      </c>
      <c r="K780" s="162" t="s">
        <v>749</v>
      </c>
      <c r="L780" s="166"/>
      <c r="M780" s="166"/>
      <c r="N780" s="164"/>
      <c r="O780" s="166"/>
      <c r="P780" s="165"/>
    </row>
    <row r="781" spans="1:16" ht="15" hidden="1" customHeight="1" x14ac:dyDescent="0.25">
      <c r="A781" s="167"/>
      <c r="B781" s="167"/>
      <c r="C781" s="167"/>
      <c r="D781" s="167"/>
      <c r="E781" s="167"/>
      <c r="F781" s="167"/>
      <c r="G781" s="167"/>
      <c r="H781" s="167"/>
      <c r="I781" s="164">
        <f t="shared" ca="1" si="12"/>
        <v>44939</v>
      </c>
      <c r="J781" s="163">
        <v>0.33333333333333331</v>
      </c>
      <c r="K781" s="162" t="s">
        <v>749</v>
      </c>
      <c r="L781" s="166"/>
      <c r="M781" s="166"/>
      <c r="N781" s="164"/>
      <c r="O781" s="166"/>
      <c r="P781" s="165"/>
    </row>
    <row r="782" spans="1:16" ht="15" hidden="1" customHeight="1" x14ac:dyDescent="0.25">
      <c r="A782" s="167"/>
      <c r="B782" s="167"/>
      <c r="C782" s="167"/>
      <c r="D782" s="167"/>
      <c r="E782" s="167"/>
      <c r="F782" s="167"/>
      <c r="G782" s="167"/>
      <c r="H782" s="167"/>
      <c r="I782" s="164">
        <f t="shared" ca="1" si="12"/>
        <v>44939</v>
      </c>
      <c r="J782" s="163">
        <v>0.33333333333333331</v>
      </c>
      <c r="K782" s="162" t="s">
        <v>749</v>
      </c>
      <c r="L782" s="166"/>
      <c r="M782" s="166"/>
      <c r="N782" s="164"/>
      <c r="O782" s="166"/>
      <c r="P782" s="165"/>
    </row>
    <row r="783" spans="1:16" ht="15" hidden="1" customHeight="1" x14ac:dyDescent="0.25">
      <c r="A783" s="167"/>
      <c r="B783" s="167"/>
      <c r="C783" s="167"/>
      <c r="D783" s="167"/>
      <c r="E783" s="167"/>
      <c r="F783" s="167"/>
      <c r="G783" s="167"/>
      <c r="H783" s="167"/>
      <c r="I783" s="164">
        <f t="shared" ca="1" si="12"/>
        <v>44939</v>
      </c>
      <c r="J783" s="163">
        <v>0.33333333333333331</v>
      </c>
      <c r="K783" s="162" t="s">
        <v>749</v>
      </c>
      <c r="L783" s="166"/>
      <c r="M783" s="166"/>
      <c r="N783" s="164"/>
      <c r="O783" s="166"/>
      <c r="P783" s="165"/>
    </row>
    <row r="784" spans="1:16" ht="15" hidden="1" customHeight="1" x14ac:dyDescent="0.25">
      <c r="A784" s="167"/>
      <c r="B784" s="167"/>
      <c r="C784" s="167"/>
      <c r="D784" s="167"/>
      <c r="E784" s="167"/>
      <c r="F784" s="167"/>
      <c r="G784" s="167"/>
      <c r="H784" s="167"/>
      <c r="I784" s="164">
        <f t="shared" ca="1" si="12"/>
        <v>44939</v>
      </c>
      <c r="J784" s="163">
        <v>0.33333333333333331</v>
      </c>
      <c r="K784" s="162" t="s">
        <v>749</v>
      </c>
      <c r="L784" s="166"/>
      <c r="M784" s="166"/>
      <c r="N784" s="164"/>
      <c r="O784" s="166"/>
      <c r="P784" s="165"/>
    </row>
    <row r="785" spans="1:16" ht="15" hidden="1" customHeight="1" x14ac:dyDescent="0.25">
      <c r="A785" s="167"/>
      <c r="B785" s="167"/>
      <c r="C785" s="167"/>
      <c r="D785" s="167"/>
      <c r="E785" s="167"/>
      <c r="F785" s="167"/>
      <c r="G785" s="167"/>
      <c r="H785" s="167"/>
      <c r="I785" s="164">
        <f t="shared" ca="1" si="12"/>
        <v>44939</v>
      </c>
      <c r="J785" s="163">
        <v>0.33333333333333331</v>
      </c>
      <c r="K785" s="162" t="s">
        <v>749</v>
      </c>
      <c r="L785" s="166"/>
      <c r="M785" s="166"/>
      <c r="N785" s="164"/>
      <c r="O785" s="166"/>
      <c r="P785" s="165"/>
    </row>
    <row r="786" spans="1:16" ht="15" hidden="1" customHeight="1" x14ac:dyDescent="0.25">
      <c r="A786" s="168"/>
      <c r="B786" s="167"/>
      <c r="C786" s="168"/>
      <c r="D786" s="167"/>
      <c r="E786" s="167"/>
      <c r="F786" s="167"/>
      <c r="G786" s="167"/>
      <c r="H786" s="167"/>
      <c r="I786" s="164">
        <f t="shared" ca="1" si="12"/>
        <v>44939</v>
      </c>
      <c r="J786" s="163">
        <v>0.33333333333333331</v>
      </c>
      <c r="K786" s="162" t="s">
        <v>749</v>
      </c>
      <c r="L786" s="166"/>
      <c r="M786" s="166"/>
      <c r="N786" s="164"/>
      <c r="O786" s="166"/>
      <c r="P786" s="165"/>
    </row>
    <row r="787" spans="1:16" ht="15" hidden="1" customHeight="1" x14ac:dyDescent="0.25">
      <c r="A787" s="168"/>
      <c r="B787" s="167"/>
      <c r="C787" s="168"/>
      <c r="D787" s="167"/>
      <c r="E787" s="167"/>
      <c r="F787" s="167"/>
      <c r="G787" s="167"/>
      <c r="H787" s="167"/>
      <c r="I787" s="164">
        <f t="shared" ca="1" si="12"/>
        <v>44939</v>
      </c>
      <c r="J787" s="163">
        <v>0.33333333333333331</v>
      </c>
      <c r="K787" s="162" t="s">
        <v>749</v>
      </c>
      <c r="L787" s="166"/>
      <c r="M787" s="166"/>
      <c r="N787" s="164"/>
      <c r="O787" s="166"/>
      <c r="P787" s="165"/>
    </row>
    <row r="788" spans="1:16" ht="15" hidden="1" customHeight="1" x14ac:dyDescent="0.25">
      <c r="A788" s="168"/>
      <c r="B788" s="167"/>
      <c r="C788" s="168"/>
      <c r="D788" s="167"/>
      <c r="E788" s="167"/>
      <c r="F788" s="167"/>
      <c r="G788" s="167"/>
      <c r="H788" s="167"/>
      <c r="I788" s="164">
        <f t="shared" ca="1" si="12"/>
        <v>44939</v>
      </c>
      <c r="J788" s="163">
        <v>0.33333333333333331</v>
      </c>
      <c r="K788" s="162" t="s">
        <v>749</v>
      </c>
      <c r="L788" s="166"/>
      <c r="M788" s="166"/>
      <c r="N788" s="164"/>
      <c r="O788" s="166"/>
      <c r="P788" s="165"/>
    </row>
    <row r="789" spans="1:16" ht="15" hidden="1" customHeight="1" x14ac:dyDescent="0.25">
      <c r="A789" s="167"/>
      <c r="B789" s="167"/>
      <c r="C789" s="167"/>
      <c r="D789" s="167"/>
      <c r="E789" s="167"/>
      <c r="F789" s="167"/>
      <c r="G789" s="167"/>
      <c r="H789" s="167"/>
      <c r="I789" s="164">
        <f t="shared" ca="1" si="12"/>
        <v>44939</v>
      </c>
      <c r="J789" s="163">
        <v>0.33333333333333331</v>
      </c>
      <c r="K789" s="162" t="s">
        <v>749</v>
      </c>
      <c r="L789" s="166"/>
      <c r="M789" s="166"/>
      <c r="N789" s="164"/>
      <c r="O789" s="166"/>
      <c r="P789" s="165"/>
    </row>
    <row r="790" spans="1:16" ht="15" hidden="1" customHeight="1" x14ac:dyDescent="0.25">
      <c r="A790" s="167"/>
      <c r="B790" s="167"/>
      <c r="C790" s="167"/>
      <c r="D790" s="167"/>
      <c r="E790" s="167"/>
      <c r="F790" s="167"/>
      <c r="G790" s="167"/>
      <c r="H790" s="167"/>
      <c r="I790" s="164">
        <f t="shared" ca="1" si="12"/>
        <v>44939</v>
      </c>
      <c r="J790" s="163">
        <v>0.33333333333333331</v>
      </c>
      <c r="K790" s="162" t="s">
        <v>749</v>
      </c>
      <c r="L790" s="166"/>
      <c r="M790" s="166"/>
      <c r="N790" s="164"/>
      <c r="O790" s="166"/>
      <c r="P790" s="165"/>
    </row>
    <row r="791" spans="1:16" ht="15" hidden="1" customHeight="1" x14ac:dyDescent="0.25">
      <c r="A791" s="167"/>
      <c r="B791" s="167"/>
      <c r="C791" s="167"/>
      <c r="D791" s="167"/>
      <c r="E791" s="167"/>
      <c r="F791" s="167"/>
      <c r="G791" s="167"/>
      <c r="H791" s="167"/>
      <c r="I791" s="164">
        <f t="shared" ca="1" si="12"/>
        <v>44939</v>
      </c>
      <c r="J791" s="163">
        <v>0.33333333333333331</v>
      </c>
      <c r="K791" s="162" t="s">
        <v>749</v>
      </c>
      <c r="L791" s="166"/>
      <c r="M791" s="166"/>
      <c r="N791" s="164"/>
      <c r="O791" s="166"/>
      <c r="P791" s="165"/>
    </row>
    <row r="792" spans="1:16" ht="15" hidden="1" customHeight="1" x14ac:dyDescent="0.25">
      <c r="A792" s="167"/>
      <c r="B792" s="167"/>
      <c r="C792" s="167"/>
      <c r="D792" s="167"/>
      <c r="E792" s="167"/>
      <c r="F792" s="167"/>
      <c r="G792" s="167"/>
      <c r="H792" s="167"/>
      <c r="I792" s="164">
        <f t="shared" ref="I792:I855" ca="1" si="13">TODAY()</f>
        <v>44939</v>
      </c>
      <c r="J792" s="163">
        <v>0.33333333333333331</v>
      </c>
      <c r="K792" s="162" t="s">
        <v>749</v>
      </c>
      <c r="L792" s="166"/>
      <c r="M792" s="166"/>
      <c r="N792" s="164"/>
      <c r="O792" s="166"/>
      <c r="P792" s="165"/>
    </row>
    <row r="793" spans="1:16" ht="15" hidden="1" customHeight="1" x14ac:dyDescent="0.25">
      <c r="A793" s="167"/>
      <c r="B793" s="167"/>
      <c r="C793" s="167"/>
      <c r="D793" s="167"/>
      <c r="E793" s="167"/>
      <c r="F793" s="167"/>
      <c r="G793" s="167"/>
      <c r="H793" s="167"/>
      <c r="I793" s="164">
        <f t="shared" ca="1" si="13"/>
        <v>44939</v>
      </c>
      <c r="J793" s="163">
        <v>0.33333333333333331</v>
      </c>
      <c r="K793" s="162" t="s">
        <v>749</v>
      </c>
      <c r="L793" s="166"/>
      <c r="M793" s="166"/>
      <c r="N793" s="164"/>
      <c r="O793" s="166"/>
      <c r="P793" s="165"/>
    </row>
    <row r="794" spans="1:16" ht="15" hidden="1" customHeight="1" x14ac:dyDescent="0.25">
      <c r="A794" s="167"/>
      <c r="B794" s="167"/>
      <c r="C794" s="167"/>
      <c r="D794" s="167"/>
      <c r="E794" s="167"/>
      <c r="F794" s="167"/>
      <c r="G794" s="167"/>
      <c r="H794" s="167"/>
      <c r="I794" s="164">
        <f t="shared" ca="1" si="13"/>
        <v>44939</v>
      </c>
      <c r="J794" s="163">
        <v>0.33333333333333331</v>
      </c>
      <c r="K794" s="162" t="s">
        <v>749</v>
      </c>
      <c r="L794" s="166"/>
      <c r="M794" s="166"/>
      <c r="N794" s="164"/>
      <c r="O794" s="166"/>
      <c r="P794" s="165"/>
    </row>
    <row r="795" spans="1:16" ht="15" hidden="1" customHeight="1" x14ac:dyDescent="0.25">
      <c r="A795" s="167"/>
      <c r="B795" s="167"/>
      <c r="C795" s="167"/>
      <c r="D795" s="167"/>
      <c r="E795" s="167"/>
      <c r="F795" s="167"/>
      <c r="G795" s="167"/>
      <c r="H795" s="167"/>
      <c r="I795" s="164">
        <f t="shared" ca="1" si="13"/>
        <v>44939</v>
      </c>
      <c r="J795" s="163">
        <v>0.33333333333333331</v>
      </c>
      <c r="K795" s="162" t="s">
        <v>749</v>
      </c>
      <c r="L795" s="166"/>
      <c r="M795" s="166"/>
      <c r="N795" s="164"/>
      <c r="O795" s="166"/>
      <c r="P795" s="165"/>
    </row>
    <row r="796" spans="1:16" ht="15" hidden="1" customHeight="1" x14ac:dyDescent="0.25">
      <c r="A796" s="167"/>
      <c r="B796" s="167"/>
      <c r="C796" s="167"/>
      <c r="D796" s="167"/>
      <c r="E796" s="167"/>
      <c r="F796" s="167"/>
      <c r="G796" s="167"/>
      <c r="H796" s="167"/>
      <c r="I796" s="164">
        <f t="shared" ca="1" si="13"/>
        <v>44939</v>
      </c>
      <c r="J796" s="163">
        <v>0.33333333333333331</v>
      </c>
      <c r="K796" s="162" t="s">
        <v>749</v>
      </c>
      <c r="L796" s="166"/>
      <c r="M796" s="166"/>
      <c r="N796" s="164"/>
      <c r="O796" s="166"/>
      <c r="P796" s="165"/>
    </row>
    <row r="797" spans="1:16" ht="15" hidden="1" customHeight="1" x14ac:dyDescent="0.25">
      <c r="A797" s="167"/>
      <c r="B797" s="167"/>
      <c r="C797" s="167"/>
      <c r="D797" s="167"/>
      <c r="E797" s="167"/>
      <c r="F797" s="167"/>
      <c r="G797" s="167"/>
      <c r="H797" s="167"/>
      <c r="I797" s="164">
        <f t="shared" ca="1" si="13"/>
        <v>44939</v>
      </c>
      <c r="J797" s="163">
        <v>0.33333333333333331</v>
      </c>
      <c r="K797" s="162" t="s">
        <v>749</v>
      </c>
      <c r="L797" s="166"/>
      <c r="M797" s="166"/>
      <c r="N797" s="164"/>
      <c r="O797" s="166"/>
      <c r="P797" s="165"/>
    </row>
    <row r="798" spans="1:16" ht="15" hidden="1" customHeight="1" x14ac:dyDescent="0.25">
      <c r="A798" s="167"/>
      <c r="B798" s="167"/>
      <c r="C798" s="167"/>
      <c r="D798" s="167"/>
      <c r="E798" s="167"/>
      <c r="F798" s="167"/>
      <c r="G798" s="167"/>
      <c r="H798" s="167"/>
      <c r="I798" s="164">
        <f t="shared" ca="1" si="13"/>
        <v>44939</v>
      </c>
      <c r="J798" s="163">
        <v>0.33333333333333331</v>
      </c>
      <c r="K798" s="162" t="s">
        <v>749</v>
      </c>
      <c r="L798" s="166"/>
      <c r="M798" s="166"/>
      <c r="N798" s="164"/>
      <c r="O798" s="166"/>
      <c r="P798" s="165"/>
    </row>
    <row r="799" spans="1:16" ht="15" hidden="1" customHeight="1" x14ac:dyDescent="0.25">
      <c r="A799" s="167"/>
      <c r="B799" s="167"/>
      <c r="C799" s="167"/>
      <c r="D799" s="167"/>
      <c r="E799" s="167"/>
      <c r="F799" s="167"/>
      <c r="G799" s="167"/>
      <c r="H799" s="167"/>
      <c r="I799" s="164">
        <f t="shared" ca="1" si="13"/>
        <v>44939</v>
      </c>
      <c r="J799" s="163">
        <v>0.33333333333333331</v>
      </c>
      <c r="K799" s="162" t="s">
        <v>749</v>
      </c>
      <c r="L799" s="166"/>
      <c r="M799" s="166"/>
      <c r="N799" s="164"/>
      <c r="O799" s="166"/>
      <c r="P799" s="165"/>
    </row>
    <row r="800" spans="1:16" ht="15" hidden="1" customHeight="1" x14ac:dyDescent="0.25">
      <c r="A800" s="167"/>
      <c r="B800" s="167"/>
      <c r="C800" s="167"/>
      <c r="D800" s="167"/>
      <c r="E800" s="167"/>
      <c r="F800" s="167"/>
      <c r="G800" s="167"/>
      <c r="H800" s="167"/>
      <c r="I800" s="164">
        <f t="shared" ca="1" si="13"/>
        <v>44939</v>
      </c>
      <c r="J800" s="163">
        <v>0.33333333333333331</v>
      </c>
      <c r="K800" s="162" t="s">
        <v>749</v>
      </c>
      <c r="L800" s="166"/>
      <c r="M800" s="166"/>
      <c r="N800" s="164"/>
      <c r="O800" s="166"/>
      <c r="P800" s="165"/>
    </row>
    <row r="801" spans="1:16" ht="15" hidden="1" customHeight="1" x14ac:dyDescent="0.25">
      <c r="A801" s="167"/>
      <c r="B801" s="167"/>
      <c r="C801" s="167"/>
      <c r="D801" s="167"/>
      <c r="E801" s="167"/>
      <c r="F801" s="167"/>
      <c r="G801" s="167"/>
      <c r="H801" s="167"/>
      <c r="I801" s="164">
        <f t="shared" ca="1" si="13"/>
        <v>44939</v>
      </c>
      <c r="J801" s="163">
        <v>0.33333333333333331</v>
      </c>
      <c r="K801" s="162" t="s">
        <v>749</v>
      </c>
      <c r="L801" s="166"/>
      <c r="M801" s="166"/>
      <c r="N801" s="164"/>
      <c r="O801" s="166"/>
      <c r="P801" s="165"/>
    </row>
    <row r="802" spans="1:16" ht="15" hidden="1" customHeight="1" x14ac:dyDescent="0.25">
      <c r="A802" s="167"/>
      <c r="B802" s="167"/>
      <c r="C802" s="167"/>
      <c r="D802" s="167"/>
      <c r="E802" s="167"/>
      <c r="F802" s="167"/>
      <c r="G802" s="167"/>
      <c r="H802" s="167"/>
      <c r="I802" s="164">
        <f t="shared" ca="1" si="13"/>
        <v>44939</v>
      </c>
      <c r="J802" s="163">
        <v>0.33333333333333331</v>
      </c>
      <c r="K802" s="162" t="s">
        <v>749</v>
      </c>
      <c r="L802" s="166"/>
      <c r="M802" s="166"/>
      <c r="N802" s="164"/>
      <c r="O802" s="166"/>
      <c r="P802" s="165"/>
    </row>
    <row r="803" spans="1:16" ht="15" hidden="1" customHeight="1" x14ac:dyDescent="0.25">
      <c r="A803" s="168"/>
      <c r="B803" s="167"/>
      <c r="C803" s="168"/>
      <c r="D803" s="167"/>
      <c r="E803" s="167"/>
      <c r="F803" s="167"/>
      <c r="G803" s="167"/>
      <c r="H803" s="167"/>
      <c r="I803" s="164">
        <f t="shared" ca="1" si="13"/>
        <v>44939</v>
      </c>
      <c r="J803" s="163">
        <v>0.33333333333333331</v>
      </c>
      <c r="K803" s="162" t="s">
        <v>749</v>
      </c>
      <c r="L803" s="166"/>
      <c r="M803" s="166"/>
      <c r="N803" s="164"/>
      <c r="O803" s="166"/>
      <c r="P803" s="165"/>
    </row>
    <row r="804" spans="1:16" ht="15" hidden="1" customHeight="1" x14ac:dyDescent="0.25">
      <c r="A804" s="167"/>
      <c r="B804" s="167"/>
      <c r="C804" s="167"/>
      <c r="D804" s="167"/>
      <c r="E804" s="167"/>
      <c r="F804" s="167"/>
      <c r="G804" s="167"/>
      <c r="H804" s="167"/>
      <c r="I804" s="164">
        <f t="shared" ca="1" si="13"/>
        <v>44939</v>
      </c>
      <c r="J804" s="163">
        <v>0.33333333333333331</v>
      </c>
      <c r="K804" s="162" t="s">
        <v>749</v>
      </c>
      <c r="L804" s="166"/>
      <c r="M804" s="166"/>
      <c r="N804" s="164"/>
      <c r="O804" s="166"/>
      <c r="P804" s="165"/>
    </row>
    <row r="805" spans="1:16" ht="15" hidden="1" customHeight="1" x14ac:dyDescent="0.25">
      <c r="A805" s="160"/>
      <c r="B805" s="167"/>
      <c r="C805" s="167"/>
      <c r="D805" s="167"/>
      <c r="E805" s="167"/>
      <c r="F805" s="167"/>
      <c r="G805" s="167"/>
      <c r="H805" s="167"/>
      <c r="I805" s="164">
        <f t="shared" ca="1" si="13"/>
        <v>44939</v>
      </c>
      <c r="J805" s="163">
        <v>0.33333333333333331</v>
      </c>
      <c r="K805" s="162" t="s">
        <v>749</v>
      </c>
      <c r="L805" s="166"/>
      <c r="M805" s="166"/>
      <c r="N805" s="164"/>
      <c r="O805" s="166"/>
      <c r="P805" s="165"/>
    </row>
    <row r="806" spans="1:16" ht="15" hidden="1" customHeight="1" x14ac:dyDescent="0.25">
      <c r="A806" s="167"/>
      <c r="B806" s="167"/>
      <c r="C806" s="167"/>
      <c r="D806" s="167"/>
      <c r="E806" s="167"/>
      <c r="F806" s="167"/>
      <c r="G806" s="167"/>
      <c r="H806" s="167"/>
      <c r="I806" s="164">
        <f t="shared" ca="1" si="13"/>
        <v>44939</v>
      </c>
      <c r="J806" s="163">
        <v>0.33333333333333331</v>
      </c>
      <c r="K806" s="162" t="s">
        <v>749</v>
      </c>
      <c r="L806" s="166"/>
      <c r="M806" s="166"/>
      <c r="N806" s="164"/>
      <c r="O806" s="166"/>
      <c r="P806" s="165"/>
    </row>
    <row r="807" spans="1:16" ht="15" hidden="1" customHeight="1" x14ac:dyDescent="0.25">
      <c r="A807" s="167"/>
      <c r="B807" s="167"/>
      <c r="C807" s="167"/>
      <c r="D807" s="167"/>
      <c r="E807" s="167"/>
      <c r="F807" s="167"/>
      <c r="G807" s="167"/>
      <c r="H807" s="167"/>
      <c r="I807" s="164">
        <f t="shared" ca="1" si="13"/>
        <v>44939</v>
      </c>
      <c r="J807" s="163">
        <v>0.33333333333333331</v>
      </c>
      <c r="K807" s="162" t="s">
        <v>749</v>
      </c>
      <c r="L807" s="166"/>
      <c r="M807" s="166"/>
      <c r="N807" s="164"/>
      <c r="O807" s="166"/>
      <c r="P807" s="165"/>
    </row>
    <row r="808" spans="1:16" ht="15" hidden="1" customHeight="1" x14ac:dyDescent="0.25">
      <c r="A808" s="167"/>
      <c r="B808" s="167"/>
      <c r="C808" s="167"/>
      <c r="D808" s="167"/>
      <c r="E808" s="167"/>
      <c r="F808" s="167"/>
      <c r="G808" s="167"/>
      <c r="H808" s="167"/>
      <c r="I808" s="164">
        <f t="shared" ca="1" si="13"/>
        <v>44939</v>
      </c>
      <c r="J808" s="163">
        <v>0.33333333333333331</v>
      </c>
      <c r="K808" s="162" t="s">
        <v>749</v>
      </c>
      <c r="L808" s="166"/>
      <c r="M808" s="166"/>
      <c r="N808" s="164"/>
      <c r="O808" s="166"/>
      <c r="P808" s="165"/>
    </row>
    <row r="809" spans="1:16" ht="15" hidden="1" customHeight="1" x14ac:dyDescent="0.25">
      <c r="A809" s="167"/>
      <c r="B809" s="167"/>
      <c r="C809" s="167"/>
      <c r="D809" s="167"/>
      <c r="E809" s="167"/>
      <c r="F809" s="167"/>
      <c r="G809" s="167"/>
      <c r="H809" s="167"/>
      <c r="I809" s="164">
        <f t="shared" ca="1" si="13"/>
        <v>44939</v>
      </c>
      <c r="J809" s="163">
        <v>0.33333333333333331</v>
      </c>
      <c r="K809" s="162" t="s">
        <v>749</v>
      </c>
      <c r="L809" s="166"/>
      <c r="M809" s="166"/>
      <c r="N809" s="164"/>
      <c r="O809" s="166"/>
      <c r="P809" s="165"/>
    </row>
    <row r="810" spans="1:16" ht="15" hidden="1" customHeight="1" x14ac:dyDescent="0.25">
      <c r="A810" s="170"/>
      <c r="B810" s="167"/>
      <c r="C810" s="167"/>
      <c r="D810" s="167"/>
      <c r="E810" s="167"/>
      <c r="F810" s="167"/>
      <c r="G810" s="167"/>
      <c r="H810" s="167"/>
      <c r="I810" s="164">
        <f t="shared" ca="1" si="13"/>
        <v>44939</v>
      </c>
      <c r="J810" s="163">
        <v>0.33333333333333331</v>
      </c>
      <c r="K810" s="162" t="s">
        <v>749</v>
      </c>
      <c r="L810" s="166"/>
      <c r="M810" s="166"/>
      <c r="N810" s="164"/>
      <c r="O810" s="166"/>
      <c r="P810" s="165"/>
    </row>
    <row r="811" spans="1:16" ht="15" hidden="1" customHeight="1" x14ac:dyDescent="0.25">
      <c r="A811" s="167"/>
      <c r="B811" s="167"/>
      <c r="C811" s="167"/>
      <c r="D811" s="167"/>
      <c r="E811" s="167"/>
      <c r="F811" s="167"/>
      <c r="G811" s="167"/>
      <c r="H811" s="167"/>
      <c r="I811" s="164">
        <f t="shared" ca="1" si="13"/>
        <v>44939</v>
      </c>
      <c r="J811" s="163">
        <v>0.33333333333333331</v>
      </c>
      <c r="K811" s="162" t="s">
        <v>749</v>
      </c>
      <c r="L811" s="166"/>
      <c r="M811" s="166"/>
      <c r="N811" s="164"/>
      <c r="O811" s="166"/>
      <c r="P811" s="165"/>
    </row>
    <row r="812" spans="1:16" ht="15" hidden="1" customHeight="1" x14ac:dyDescent="0.25">
      <c r="A812" s="167"/>
      <c r="B812" s="167"/>
      <c r="C812" s="167"/>
      <c r="D812" s="167"/>
      <c r="E812" s="167"/>
      <c r="F812" s="167"/>
      <c r="G812" s="167"/>
      <c r="H812" s="167"/>
      <c r="I812" s="164">
        <f t="shared" ca="1" si="13"/>
        <v>44939</v>
      </c>
      <c r="J812" s="163">
        <v>0.33333333333333331</v>
      </c>
      <c r="K812" s="162" t="s">
        <v>749</v>
      </c>
      <c r="L812" s="166"/>
      <c r="M812" s="166"/>
      <c r="N812" s="164"/>
      <c r="O812" s="166"/>
      <c r="P812" s="165"/>
    </row>
    <row r="813" spans="1:16" ht="15" hidden="1" customHeight="1" x14ac:dyDescent="0.25">
      <c r="A813" s="167"/>
      <c r="B813" s="167"/>
      <c r="C813" s="167"/>
      <c r="D813" s="167"/>
      <c r="E813" s="167"/>
      <c r="F813" s="167"/>
      <c r="G813" s="167"/>
      <c r="H813" s="167"/>
      <c r="I813" s="164">
        <f t="shared" ca="1" si="13"/>
        <v>44939</v>
      </c>
      <c r="J813" s="163">
        <v>0.33333333333333331</v>
      </c>
      <c r="K813" s="162" t="s">
        <v>749</v>
      </c>
      <c r="L813" s="166"/>
      <c r="M813" s="166"/>
      <c r="N813" s="164"/>
      <c r="O813" s="166"/>
      <c r="P813" s="165"/>
    </row>
    <row r="814" spans="1:16" ht="15" hidden="1" customHeight="1" x14ac:dyDescent="0.25">
      <c r="A814" s="167"/>
      <c r="B814" s="167"/>
      <c r="C814" s="167"/>
      <c r="D814" s="167"/>
      <c r="E814" s="167"/>
      <c r="F814" s="167"/>
      <c r="G814" s="167"/>
      <c r="H814" s="167"/>
      <c r="I814" s="164">
        <f t="shared" ca="1" si="13"/>
        <v>44939</v>
      </c>
      <c r="J814" s="163">
        <v>0.33333333333333331</v>
      </c>
      <c r="K814" s="162" t="s">
        <v>749</v>
      </c>
      <c r="L814" s="166"/>
      <c r="M814" s="166"/>
      <c r="N814" s="164"/>
      <c r="O814" s="166"/>
      <c r="P814" s="165"/>
    </row>
    <row r="815" spans="1:16" ht="15" hidden="1" customHeight="1" x14ac:dyDescent="0.25">
      <c r="A815" s="167"/>
      <c r="B815" s="167"/>
      <c r="C815" s="167"/>
      <c r="D815" s="167"/>
      <c r="E815" s="167"/>
      <c r="F815" s="167"/>
      <c r="G815" s="167"/>
      <c r="H815" s="167"/>
      <c r="I815" s="164">
        <f t="shared" ca="1" si="13"/>
        <v>44939</v>
      </c>
      <c r="J815" s="163">
        <v>0.33333333333333331</v>
      </c>
      <c r="K815" s="162" t="s">
        <v>749</v>
      </c>
      <c r="L815" s="166"/>
      <c r="M815" s="166"/>
      <c r="N815" s="164"/>
      <c r="O815" s="166"/>
      <c r="P815" s="165"/>
    </row>
    <row r="816" spans="1:16" ht="15" hidden="1" customHeight="1" x14ac:dyDescent="0.25">
      <c r="A816" s="168"/>
      <c r="B816" s="167"/>
      <c r="C816" s="168"/>
      <c r="D816" s="167"/>
      <c r="E816" s="167"/>
      <c r="F816" s="167"/>
      <c r="G816" s="167"/>
      <c r="H816" s="167"/>
      <c r="I816" s="164">
        <f t="shared" ca="1" si="13"/>
        <v>44939</v>
      </c>
      <c r="J816" s="163">
        <v>0.33333333333333331</v>
      </c>
      <c r="K816" s="162" t="s">
        <v>749</v>
      </c>
      <c r="L816" s="166"/>
      <c r="M816" s="166"/>
      <c r="N816" s="164"/>
      <c r="O816" s="166"/>
      <c r="P816" s="165"/>
    </row>
    <row r="817" spans="1:16" ht="15" hidden="1" customHeight="1" x14ac:dyDescent="0.25">
      <c r="A817" s="168"/>
      <c r="B817" s="167"/>
      <c r="C817" s="168"/>
      <c r="D817" s="167"/>
      <c r="E817" s="167"/>
      <c r="F817" s="167"/>
      <c r="G817" s="167"/>
      <c r="H817" s="167"/>
      <c r="I817" s="164">
        <f t="shared" ca="1" si="13"/>
        <v>44939</v>
      </c>
      <c r="J817" s="163">
        <v>0.33333333333333331</v>
      </c>
      <c r="K817" s="162" t="s">
        <v>749</v>
      </c>
      <c r="L817" s="166"/>
      <c r="M817" s="166"/>
      <c r="N817" s="164"/>
      <c r="O817" s="166"/>
      <c r="P817" s="165"/>
    </row>
    <row r="818" spans="1:16" ht="15" hidden="1" customHeight="1" x14ac:dyDescent="0.25">
      <c r="A818" s="168"/>
      <c r="B818" s="167"/>
      <c r="C818" s="168"/>
      <c r="D818" s="167"/>
      <c r="E818" s="167"/>
      <c r="F818" s="167"/>
      <c r="G818" s="167"/>
      <c r="H818" s="167"/>
      <c r="I818" s="164">
        <f t="shared" ca="1" si="13"/>
        <v>44939</v>
      </c>
      <c r="J818" s="163">
        <v>0.33333333333333331</v>
      </c>
      <c r="K818" s="162" t="s">
        <v>749</v>
      </c>
      <c r="L818" s="166"/>
      <c r="M818" s="166"/>
      <c r="N818" s="164"/>
      <c r="O818" s="166"/>
      <c r="P818" s="165"/>
    </row>
    <row r="819" spans="1:16" ht="15" hidden="1" customHeight="1" x14ac:dyDescent="0.25">
      <c r="A819" s="167"/>
      <c r="B819" s="167"/>
      <c r="C819" s="167"/>
      <c r="D819" s="167"/>
      <c r="E819" s="167"/>
      <c r="F819" s="167"/>
      <c r="G819" s="167"/>
      <c r="H819" s="167"/>
      <c r="I819" s="164">
        <f t="shared" ca="1" si="13"/>
        <v>44939</v>
      </c>
      <c r="J819" s="163">
        <v>0.33333333333333331</v>
      </c>
      <c r="K819" s="162" t="s">
        <v>749</v>
      </c>
      <c r="L819" s="166"/>
      <c r="M819" s="166"/>
      <c r="N819" s="164"/>
      <c r="O819" s="166"/>
      <c r="P819" s="165"/>
    </row>
    <row r="820" spans="1:16" ht="15" hidden="1" customHeight="1" x14ac:dyDescent="0.25">
      <c r="A820" s="167"/>
      <c r="B820" s="167"/>
      <c r="C820" s="167"/>
      <c r="D820" s="167"/>
      <c r="E820" s="167"/>
      <c r="F820" s="167"/>
      <c r="G820" s="167"/>
      <c r="H820" s="167"/>
      <c r="I820" s="164">
        <f t="shared" ca="1" si="13"/>
        <v>44939</v>
      </c>
      <c r="J820" s="163">
        <v>0.33333333333333331</v>
      </c>
      <c r="K820" s="162" t="s">
        <v>749</v>
      </c>
      <c r="L820" s="166"/>
      <c r="M820" s="166"/>
      <c r="N820" s="164"/>
      <c r="O820" s="166"/>
      <c r="P820" s="165"/>
    </row>
    <row r="821" spans="1:16" ht="15" hidden="1" customHeight="1" x14ac:dyDescent="0.25">
      <c r="A821" s="167"/>
      <c r="B821" s="167"/>
      <c r="C821" s="167"/>
      <c r="D821" s="167"/>
      <c r="E821" s="167"/>
      <c r="F821" s="167"/>
      <c r="G821" s="167"/>
      <c r="H821" s="167"/>
      <c r="I821" s="164">
        <f t="shared" ca="1" si="13"/>
        <v>44939</v>
      </c>
      <c r="J821" s="163">
        <v>0.33333333333333331</v>
      </c>
      <c r="K821" s="162" t="s">
        <v>749</v>
      </c>
      <c r="L821" s="166"/>
      <c r="M821" s="166"/>
      <c r="N821" s="164"/>
      <c r="O821" s="166"/>
      <c r="P821" s="165"/>
    </row>
    <row r="822" spans="1:16" ht="15" hidden="1" customHeight="1" x14ac:dyDescent="0.25">
      <c r="A822" s="167"/>
      <c r="B822" s="167"/>
      <c r="C822" s="167"/>
      <c r="D822" s="167"/>
      <c r="E822" s="167"/>
      <c r="F822" s="167"/>
      <c r="G822" s="167"/>
      <c r="H822" s="167"/>
      <c r="I822" s="164">
        <f t="shared" ca="1" si="13"/>
        <v>44939</v>
      </c>
      <c r="J822" s="163">
        <v>0.33333333333333331</v>
      </c>
      <c r="K822" s="162" t="s">
        <v>749</v>
      </c>
      <c r="L822" s="166"/>
      <c r="M822" s="166"/>
      <c r="N822" s="164"/>
      <c r="O822" s="166"/>
      <c r="P822" s="165"/>
    </row>
    <row r="823" spans="1:16" ht="15" hidden="1" customHeight="1" x14ac:dyDescent="0.25">
      <c r="A823" s="167"/>
      <c r="B823" s="167"/>
      <c r="C823" s="167"/>
      <c r="D823" s="167"/>
      <c r="E823" s="167"/>
      <c r="F823" s="167"/>
      <c r="G823" s="167"/>
      <c r="H823" s="167"/>
      <c r="I823" s="164">
        <f t="shared" ca="1" si="13"/>
        <v>44939</v>
      </c>
      <c r="J823" s="163">
        <v>0.33333333333333331</v>
      </c>
      <c r="K823" s="162" t="s">
        <v>749</v>
      </c>
      <c r="L823" s="166"/>
      <c r="M823" s="166"/>
      <c r="N823" s="164"/>
      <c r="O823" s="166"/>
      <c r="P823" s="165"/>
    </row>
    <row r="824" spans="1:16" ht="15" hidden="1" customHeight="1" x14ac:dyDescent="0.25">
      <c r="A824" s="168"/>
      <c r="B824" s="167"/>
      <c r="C824" s="168"/>
      <c r="D824" s="167"/>
      <c r="E824" s="167"/>
      <c r="F824" s="167"/>
      <c r="G824" s="167"/>
      <c r="H824" s="167"/>
      <c r="I824" s="164">
        <f t="shared" ca="1" si="13"/>
        <v>44939</v>
      </c>
      <c r="J824" s="163">
        <v>0.33333333333333331</v>
      </c>
      <c r="K824" s="162" t="s">
        <v>749</v>
      </c>
      <c r="L824" s="166"/>
      <c r="M824" s="166"/>
      <c r="N824" s="164"/>
      <c r="O824" s="166"/>
      <c r="P824" s="165"/>
    </row>
    <row r="825" spans="1:16" ht="15" hidden="1" customHeight="1" x14ac:dyDescent="0.25">
      <c r="A825" s="168"/>
      <c r="B825" s="167"/>
      <c r="C825" s="168"/>
      <c r="D825" s="167"/>
      <c r="E825" s="167"/>
      <c r="F825" s="167"/>
      <c r="G825" s="167"/>
      <c r="H825" s="167"/>
      <c r="I825" s="164">
        <f t="shared" ca="1" si="13"/>
        <v>44939</v>
      </c>
      <c r="J825" s="163">
        <v>0.33333333333333331</v>
      </c>
      <c r="K825" s="162" t="s">
        <v>749</v>
      </c>
      <c r="L825" s="166"/>
      <c r="M825" s="166"/>
      <c r="N825" s="164"/>
      <c r="O825" s="166"/>
      <c r="P825" s="165"/>
    </row>
    <row r="826" spans="1:16" ht="15" hidden="1" customHeight="1" x14ac:dyDescent="0.25">
      <c r="A826" s="167"/>
      <c r="B826" s="167"/>
      <c r="C826" s="167"/>
      <c r="D826" s="167"/>
      <c r="E826" s="167"/>
      <c r="F826" s="167"/>
      <c r="G826" s="167"/>
      <c r="H826" s="167"/>
      <c r="I826" s="164">
        <f t="shared" ca="1" si="13"/>
        <v>44939</v>
      </c>
      <c r="J826" s="163">
        <v>0.33333333333333331</v>
      </c>
      <c r="K826" s="162" t="s">
        <v>749</v>
      </c>
      <c r="L826" s="166"/>
      <c r="M826" s="166"/>
      <c r="N826" s="164"/>
      <c r="O826" s="166"/>
      <c r="P826" s="165"/>
    </row>
    <row r="827" spans="1:16" ht="15" hidden="1" customHeight="1" x14ac:dyDescent="0.25">
      <c r="A827" s="168"/>
      <c r="B827" s="167"/>
      <c r="C827" s="168"/>
      <c r="D827" s="167"/>
      <c r="E827" s="167"/>
      <c r="F827" s="167"/>
      <c r="G827" s="167"/>
      <c r="H827" s="167"/>
      <c r="I827" s="164">
        <f t="shared" ca="1" si="13"/>
        <v>44939</v>
      </c>
      <c r="J827" s="163">
        <v>0.33333333333333331</v>
      </c>
      <c r="K827" s="162" t="s">
        <v>749</v>
      </c>
      <c r="L827" s="166"/>
      <c r="M827" s="166"/>
      <c r="N827" s="164"/>
      <c r="O827" s="166"/>
      <c r="P827" s="165"/>
    </row>
    <row r="828" spans="1:16" ht="15" hidden="1" customHeight="1" x14ac:dyDescent="0.25">
      <c r="A828" s="168"/>
      <c r="B828" s="167"/>
      <c r="C828" s="168"/>
      <c r="D828" s="167"/>
      <c r="E828" s="167"/>
      <c r="F828" s="167"/>
      <c r="G828" s="167"/>
      <c r="H828" s="167"/>
      <c r="I828" s="164">
        <f t="shared" ca="1" si="13"/>
        <v>44939</v>
      </c>
      <c r="J828" s="163">
        <v>0.33333333333333331</v>
      </c>
      <c r="K828" s="162" t="s">
        <v>749</v>
      </c>
      <c r="L828" s="166"/>
      <c r="M828" s="166"/>
      <c r="N828" s="164"/>
      <c r="O828" s="166"/>
      <c r="P828" s="165"/>
    </row>
    <row r="829" spans="1:16" ht="15" hidden="1" customHeight="1" x14ac:dyDescent="0.25">
      <c r="A829" s="168"/>
      <c r="B829" s="167"/>
      <c r="C829" s="168"/>
      <c r="D829" s="167"/>
      <c r="E829" s="167"/>
      <c r="F829" s="167"/>
      <c r="G829" s="167"/>
      <c r="H829" s="167"/>
      <c r="I829" s="164">
        <f t="shared" ca="1" si="13"/>
        <v>44939</v>
      </c>
      <c r="J829" s="163">
        <v>0.33333333333333331</v>
      </c>
      <c r="K829" s="162" t="s">
        <v>749</v>
      </c>
      <c r="L829" s="166"/>
      <c r="M829" s="166"/>
      <c r="N829" s="164"/>
      <c r="O829" s="166"/>
      <c r="P829" s="165"/>
    </row>
    <row r="830" spans="1:16" ht="15" hidden="1" customHeight="1" x14ac:dyDescent="0.25">
      <c r="A830" s="168"/>
      <c r="B830" s="167"/>
      <c r="C830" s="168"/>
      <c r="D830" s="167"/>
      <c r="E830" s="167"/>
      <c r="F830" s="167"/>
      <c r="G830" s="167"/>
      <c r="H830" s="167"/>
      <c r="I830" s="164">
        <f t="shared" ca="1" si="13"/>
        <v>44939</v>
      </c>
      <c r="J830" s="163">
        <v>0.33333333333333331</v>
      </c>
      <c r="K830" s="162" t="s">
        <v>749</v>
      </c>
      <c r="L830" s="166"/>
      <c r="M830" s="166"/>
      <c r="N830" s="164"/>
      <c r="O830" s="166"/>
      <c r="P830" s="165"/>
    </row>
    <row r="831" spans="1:16" ht="15" hidden="1" customHeight="1" x14ac:dyDescent="0.25">
      <c r="A831" s="167"/>
      <c r="B831" s="167"/>
      <c r="C831" s="168"/>
      <c r="D831" s="167"/>
      <c r="E831" s="167"/>
      <c r="F831" s="167"/>
      <c r="G831" s="167"/>
      <c r="H831" s="167"/>
      <c r="I831" s="164">
        <f t="shared" ca="1" si="13"/>
        <v>44939</v>
      </c>
      <c r="J831" s="163">
        <v>0.33333333333333331</v>
      </c>
      <c r="K831" s="162" t="s">
        <v>749</v>
      </c>
      <c r="L831" s="166"/>
      <c r="M831" s="166"/>
      <c r="N831" s="164"/>
      <c r="O831" s="166"/>
      <c r="P831" s="165"/>
    </row>
    <row r="832" spans="1:16" ht="15" hidden="1" customHeight="1" x14ac:dyDescent="0.25">
      <c r="A832" s="167"/>
      <c r="B832" s="167"/>
      <c r="C832" s="167"/>
      <c r="D832" s="167"/>
      <c r="E832" s="167"/>
      <c r="F832" s="167"/>
      <c r="G832" s="167"/>
      <c r="H832" s="167"/>
      <c r="I832" s="164">
        <f t="shared" ca="1" si="13"/>
        <v>44939</v>
      </c>
      <c r="J832" s="163">
        <v>0.33333333333333331</v>
      </c>
      <c r="K832" s="162" t="s">
        <v>749</v>
      </c>
      <c r="L832" s="166"/>
      <c r="M832" s="166"/>
      <c r="N832" s="164"/>
      <c r="O832" s="166"/>
      <c r="P832" s="165"/>
    </row>
    <row r="833" spans="1:16" ht="15" hidden="1" customHeight="1" x14ac:dyDescent="0.25">
      <c r="A833" s="167"/>
      <c r="B833" s="167"/>
      <c r="C833" s="167"/>
      <c r="D833" s="167"/>
      <c r="E833" s="167"/>
      <c r="F833" s="167"/>
      <c r="G833" s="167"/>
      <c r="H833" s="167"/>
      <c r="I833" s="164">
        <f t="shared" ca="1" si="13"/>
        <v>44939</v>
      </c>
      <c r="J833" s="163">
        <v>0.33333333333333331</v>
      </c>
      <c r="K833" s="162" t="s">
        <v>749</v>
      </c>
      <c r="L833" s="166"/>
      <c r="M833" s="166"/>
      <c r="N833" s="164"/>
      <c r="O833" s="166"/>
      <c r="P833" s="165"/>
    </row>
    <row r="834" spans="1:16" ht="15" hidden="1" customHeight="1" x14ac:dyDescent="0.25">
      <c r="A834" s="167"/>
      <c r="B834" s="167"/>
      <c r="C834" s="167"/>
      <c r="D834" s="167"/>
      <c r="E834" s="167"/>
      <c r="F834" s="167"/>
      <c r="G834" s="167"/>
      <c r="H834" s="167"/>
      <c r="I834" s="164">
        <f t="shared" ca="1" si="13"/>
        <v>44939</v>
      </c>
      <c r="J834" s="163">
        <v>0.33333333333333331</v>
      </c>
      <c r="K834" s="162" t="s">
        <v>749</v>
      </c>
      <c r="L834" s="166"/>
      <c r="M834" s="166"/>
      <c r="N834" s="164"/>
      <c r="O834" s="166"/>
      <c r="P834" s="165"/>
    </row>
    <row r="835" spans="1:16" ht="15" hidden="1" customHeight="1" x14ac:dyDescent="0.25">
      <c r="A835" s="167"/>
      <c r="B835" s="167"/>
      <c r="C835" s="167"/>
      <c r="D835" s="167"/>
      <c r="E835" s="167"/>
      <c r="F835" s="167"/>
      <c r="G835" s="167"/>
      <c r="H835" s="167"/>
      <c r="I835" s="164">
        <f t="shared" ca="1" si="13"/>
        <v>44939</v>
      </c>
      <c r="J835" s="163">
        <v>0.33333333333333331</v>
      </c>
      <c r="K835" s="162" t="s">
        <v>749</v>
      </c>
      <c r="L835" s="166"/>
      <c r="M835" s="166"/>
      <c r="N835" s="164"/>
      <c r="O835" s="166"/>
      <c r="P835" s="165"/>
    </row>
    <row r="836" spans="1:16" ht="15" hidden="1" customHeight="1" x14ac:dyDescent="0.25">
      <c r="A836" s="167"/>
      <c r="B836" s="167"/>
      <c r="C836" s="167"/>
      <c r="D836" s="167"/>
      <c r="E836" s="167"/>
      <c r="F836" s="167"/>
      <c r="G836" s="167"/>
      <c r="H836" s="167"/>
      <c r="I836" s="164">
        <f t="shared" ca="1" si="13"/>
        <v>44939</v>
      </c>
      <c r="J836" s="163">
        <v>0.33333333333333331</v>
      </c>
      <c r="K836" s="162" t="s">
        <v>749</v>
      </c>
      <c r="L836" s="166"/>
      <c r="M836" s="166"/>
      <c r="N836" s="164"/>
      <c r="O836" s="166"/>
      <c r="P836" s="165"/>
    </row>
    <row r="837" spans="1:16" ht="15" hidden="1" customHeight="1" x14ac:dyDescent="0.25">
      <c r="A837" s="167"/>
      <c r="B837" s="167"/>
      <c r="C837" s="167"/>
      <c r="D837" s="167"/>
      <c r="E837" s="167"/>
      <c r="F837" s="167"/>
      <c r="G837" s="167"/>
      <c r="H837" s="167"/>
      <c r="I837" s="164">
        <f t="shared" ca="1" si="13"/>
        <v>44939</v>
      </c>
      <c r="J837" s="163">
        <v>0.33333333333333331</v>
      </c>
      <c r="K837" s="162" t="s">
        <v>749</v>
      </c>
      <c r="L837" s="166"/>
      <c r="M837" s="166"/>
      <c r="N837" s="164"/>
      <c r="O837" s="166"/>
      <c r="P837" s="165"/>
    </row>
    <row r="838" spans="1:16" ht="15" hidden="1" customHeight="1" x14ac:dyDescent="0.25">
      <c r="A838" s="167"/>
      <c r="B838" s="167"/>
      <c r="C838" s="167"/>
      <c r="D838" s="167"/>
      <c r="E838" s="167"/>
      <c r="F838" s="167"/>
      <c r="G838" s="167"/>
      <c r="H838" s="167"/>
      <c r="I838" s="164">
        <f t="shared" ca="1" si="13"/>
        <v>44939</v>
      </c>
      <c r="J838" s="163">
        <v>0.33333333333333331</v>
      </c>
      <c r="K838" s="162" t="s">
        <v>749</v>
      </c>
      <c r="L838" s="166"/>
      <c r="M838" s="166"/>
      <c r="N838" s="164"/>
      <c r="O838" s="166"/>
      <c r="P838" s="165"/>
    </row>
    <row r="839" spans="1:16" ht="15" hidden="1" customHeight="1" x14ac:dyDescent="0.25">
      <c r="A839" s="167"/>
      <c r="B839" s="167"/>
      <c r="C839" s="167"/>
      <c r="D839" s="167"/>
      <c r="E839" s="167"/>
      <c r="F839" s="167"/>
      <c r="G839" s="167"/>
      <c r="H839" s="167"/>
      <c r="I839" s="164">
        <f t="shared" ca="1" si="13"/>
        <v>44939</v>
      </c>
      <c r="J839" s="163">
        <v>0.33333333333333331</v>
      </c>
      <c r="K839" s="162" t="s">
        <v>749</v>
      </c>
      <c r="L839" s="166"/>
      <c r="M839" s="166"/>
      <c r="N839" s="164"/>
      <c r="O839" s="166"/>
      <c r="P839" s="165"/>
    </row>
    <row r="840" spans="1:16" ht="15" hidden="1" customHeight="1" x14ac:dyDescent="0.25">
      <c r="A840" s="167"/>
      <c r="B840" s="167"/>
      <c r="C840" s="167"/>
      <c r="D840" s="167"/>
      <c r="E840" s="167"/>
      <c r="F840" s="167"/>
      <c r="G840" s="167"/>
      <c r="H840" s="167"/>
      <c r="I840" s="164">
        <f t="shared" ca="1" si="13"/>
        <v>44939</v>
      </c>
      <c r="J840" s="163">
        <v>0.33333333333333331</v>
      </c>
      <c r="K840" s="162" t="s">
        <v>749</v>
      </c>
      <c r="L840" s="166"/>
      <c r="M840" s="166"/>
      <c r="N840" s="164"/>
      <c r="O840" s="166"/>
      <c r="P840" s="165"/>
    </row>
    <row r="841" spans="1:16" ht="15" hidden="1" customHeight="1" x14ac:dyDescent="0.25">
      <c r="A841" s="168"/>
      <c r="B841" s="167"/>
      <c r="C841" s="168"/>
      <c r="D841" s="167"/>
      <c r="E841" s="167"/>
      <c r="F841" s="167"/>
      <c r="G841" s="167"/>
      <c r="H841" s="167"/>
      <c r="I841" s="164">
        <f t="shared" ca="1" si="13"/>
        <v>44939</v>
      </c>
      <c r="J841" s="163">
        <v>0.33333333333333331</v>
      </c>
      <c r="K841" s="162" t="s">
        <v>749</v>
      </c>
      <c r="L841" s="166"/>
      <c r="M841" s="166"/>
      <c r="N841" s="164"/>
      <c r="O841" s="166"/>
      <c r="P841" s="165"/>
    </row>
    <row r="842" spans="1:16" ht="15" hidden="1" customHeight="1" x14ac:dyDescent="0.25">
      <c r="A842" s="168"/>
      <c r="B842" s="160"/>
      <c r="C842" s="167"/>
      <c r="D842" s="167"/>
      <c r="E842" s="167"/>
      <c r="F842" s="167"/>
      <c r="G842" s="167"/>
      <c r="H842" s="167"/>
      <c r="I842" s="164">
        <f t="shared" ca="1" si="13"/>
        <v>44939</v>
      </c>
      <c r="J842" s="163">
        <v>0.33333333333333331</v>
      </c>
      <c r="K842" s="162" t="s">
        <v>749</v>
      </c>
      <c r="L842" s="166"/>
      <c r="M842" s="166"/>
      <c r="N842" s="164"/>
      <c r="O842" s="166"/>
      <c r="P842" s="165"/>
    </row>
    <row r="843" spans="1:16" ht="15" hidden="1" customHeight="1" x14ac:dyDescent="0.25">
      <c r="A843" s="167"/>
      <c r="B843" s="167"/>
      <c r="C843" s="167"/>
      <c r="D843" s="167"/>
      <c r="E843" s="167"/>
      <c r="F843" s="167"/>
      <c r="G843" s="167"/>
      <c r="H843" s="167"/>
      <c r="I843" s="164">
        <f t="shared" ca="1" si="13"/>
        <v>44939</v>
      </c>
      <c r="J843" s="163">
        <v>0.33333333333333331</v>
      </c>
      <c r="K843" s="162" t="s">
        <v>749</v>
      </c>
      <c r="L843" s="166"/>
      <c r="M843" s="166"/>
      <c r="N843" s="164"/>
      <c r="O843" s="166"/>
      <c r="P843" s="165"/>
    </row>
    <row r="844" spans="1:16" ht="15" hidden="1" customHeight="1" x14ac:dyDescent="0.25">
      <c r="A844" s="167"/>
      <c r="B844" s="167"/>
      <c r="C844" s="167"/>
      <c r="D844" s="167"/>
      <c r="E844" s="167"/>
      <c r="F844" s="167"/>
      <c r="G844" s="167"/>
      <c r="H844" s="167"/>
      <c r="I844" s="164">
        <f t="shared" ca="1" si="13"/>
        <v>44939</v>
      </c>
      <c r="J844" s="163">
        <v>0.33333333333333331</v>
      </c>
      <c r="K844" s="162" t="s">
        <v>749</v>
      </c>
      <c r="L844" s="166"/>
      <c r="M844" s="166"/>
      <c r="N844" s="164"/>
      <c r="O844" s="166"/>
      <c r="P844" s="165"/>
    </row>
    <row r="845" spans="1:16" ht="15" hidden="1" customHeight="1" x14ac:dyDescent="0.25">
      <c r="A845" s="167"/>
      <c r="B845" s="167"/>
      <c r="C845" s="167"/>
      <c r="D845" s="167"/>
      <c r="E845" s="167"/>
      <c r="F845" s="167"/>
      <c r="G845" s="167"/>
      <c r="H845" s="167"/>
      <c r="I845" s="164">
        <f t="shared" ca="1" si="13"/>
        <v>44939</v>
      </c>
      <c r="J845" s="163">
        <v>0.33333333333333331</v>
      </c>
      <c r="K845" s="162" t="s">
        <v>749</v>
      </c>
      <c r="L845" s="166"/>
      <c r="M845" s="166"/>
      <c r="N845" s="164"/>
      <c r="O845" s="166"/>
      <c r="P845" s="165"/>
    </row>
    <row r="846" spans="1:16" ht="15" hidden="1" customHeight="1" x14ac:dyDescent="0.25">
      <c r="A846" s="168"/>
      <c r="B846" s="167"/>
      <c r="C846" s="168"/>
      <c r="D846" s="167"/>
      <c r="E846" s="167"/>
      <c r="F846" s="167"/>
      <c r="G846" s="167"/>
      <c r="H846" s="167"/>
      <c r="I846" s="164">
        <f t="shared" ca="1" si="13"/>
        <v>44939</v>
      </c>
      <c r="J846" s="163">
        <v>0.33333333333333331</v>
      </c>
      <c r="K846" s="162" t="s">
        <v>749</v>
      </c>
      <c r="L846" s="166"/>
      <c r="M846" s="166"/>
      <c r="N846" s="164"/>
      <c r="O846" s="166"/>
      <c r="P846" s="165"/>
    </row>
    <row r="847" spans="1:16" ht="15" hidden="1" customHeight="1" x14ac:dyDescent="0.25">
      <c r="A847" s="167"/>
      <c r="B847" s="167"/>
      <c r="C847" s="167"/>
      <c r="D847" s="167"/>
      <c r="E847" s="167"/>
      <c r="F847" s="167"/>
      <c r="G847" s="167"/>
      <c r="H847" s="167"/>
      <c r="I847" s="164">
        <f t="shared" ca="1" si="13"/>
        <v>44939</v>
      </c>
      <c r="J847" s="163">
        <v>0.33333333333333331</v>
      </c>
      <c r="K847" s="162" t="s">
        <v>749</v>
      </c>
      <c r="L847" s="166"/>
      <c r="M847" s="166"/>
      <c r="N847" s="164"/>
      <c r="O847" s="166"/>
      <c r="P847" s="165"/>
    </row>
    <row r="848" spans="1:16" ht="15" hidden="1" customHeight="1" x14ac:dyDescent="0.25">
      <c r="A848" s="167"/>
      <c r="B848" s="167"/>
      <c r="C848" s="167"/>
      <c r="D848" s="167"/>
      <c r="E848" s="167"/>
      <c r="F848" s="167"/>
      <c r="G848" s="167"/>
      <c r="H848" s="167"/>
      <c r="I848" s="164">
        <f t="shared" ca="1" si="13"/>
        <v>44939</v>
      </c>
      <c r="J848" s="163">
        <v>0.33333333333333331</v>
      </c>
      <c r="K848" s="162" t="s">
        <v>749</v>
      </c>
      <c r="L848" s="166"/>
      <c r="M848" s="166"/>
      <c r="N848" s="164"/>
      <c r="O848" s="166"/>
      <c r="P848" s="165"/>
    </row>
    <row r="849" spans="1:16" ht="15" hidden="1" customHeight="1" x14ac:dyDescent="0.25">
      <c r="A849" s="167"/>
      <c r="B849" s="167"/>
      <c r="C849" s="167"/>
      <c r="D849" s="167"/>
      <c r="E849" s="167"/>
      <c r="F849" s="167"/>
      <c r="G849" s="167"/>
      <c r="H849" s="167"/>
      <c r="I849" s="164">
        <f t="shared" ca="1" si="13"/>
        <v>44939</v>
      </c>
      <c r="J849" s="163">
        <v>0.33333333333333331</v>
      </c>
      <c r="K849" s="162" t="s">
        <v>749</v>
      </c>
      <c r="L849" s="166"/>
      <c r="M849" s="166"/>
      <c r="N849" s="164"/>
      <c r="O849" s="166"/>
      <c r="P849" s="165"/>
    </row>
    <row r="850" spans="1:16" ht="15" hidden="1" customHeight="1" x14ac:dyDescent="0.25">
      <c r="A850" s="167"/>
      <c r="B850" s="167"/>
      <c r="C850" s="167"/>
      <c r="D850" s="167"/>
      <c r="E850" s="167"/>
      <c r="F850" s="167"/>
      <c r="G850" s="167"/>
      <c r="H850" s="167"/>
      <c r="I850" s="164">
        <f t="shared" ca="1" si="13"/>
        <v>44939</v>
      </c>
      <c r="J850" s="163">
        <v>0.33333333333333331</v>
      </c>
      <c r="K850" s="162" t="s">
        <v>749</v>
      </c>
      <c r="L850" s="166"/>
      <c r="M850" s="166"/>
      <c r="N850" s="164"/>
      <c r="O850" s="166"/>
      <c r="P850" s="165"/>
    </row>
    <row r="851" spans="1:16" ht="15" hidden="1" customHeight="1" x14ac:dyDescent="0.25">
      <c r="A851" s="167"/>
      <c r="B851" s="167"/>
      <c r="C851" s="167"/>
      <c r="D851" s="167"/>
      <c r="E851" s="167"/>
      <c r="F851" s="167"/>
      <c r="G851" s="167"/>
      <c r="H851" s="167"/>
      <c r="I851" s="164">
        <f t="shared" ca="1" si="13"/>
        <v>44939</v>
      </c>
      <c r="J851" s="163">
        <v>0.33333333333333331</v>
      </c>
      <c r="K851" s="162" t="s">
        <v>749</v>
      </c>
      <c r="L851" s="166"/>
      <c r="M851" s="166"/>
      <c r="N851" s="164"/>
      <c r="O851" s="166"/>
      <c r="P851" s="165"/>
    </row>
    <row r="852" spans="1:16" ht="15" hidden="1" customHeight="1" x14ac:dyDescent="0.25">
      <c r="A852" s="167"/>
      <c r="B852" s="167"/>
      <c r="C852" s="167"/>
      <c r="D852" s="167"/>
      <c r="E852" s="167"/>
      <c r="F852" s="167"/>
      <c r="G852" s="167"/>
      <c r="H852" s="167"/>
      <c r="I852" s="164">
        <f t="shared" ca="1" si="13"/>
        <v>44939</v>
      </c>
      <c r="J852" s="163">
        <v>0.33333333333333331</v>
      </c>
      <c r="K852" s="162" t="s">
        <v>749</v>
      </c>
      <c r="L852" s="166"/>
      <c r="M852" s="166"/>
      <c r="N852" s="164"/>
      <c r="O852" s="166"/>
      <c r="P852" s="165"/>
    </row>
    <row r="853" spans="1:16" ht="15" hidden="1" customHeight="1" x14ac:dyDescent="0.25">
      <c r="A853" s="167"/>
      <c r="B853" s="167"/>
      <c r="C853" s="167"/>
      <c r="D853" s="167"/>
      <c r="E853" s="167"/>
      <c r="F853" s="167"/>
      <c r="G853" s="167"/>
      <c r="H853" s="167"/>
      <c r="I853" s="164">
        <f t="shared" ca="1" si="13"/>
        <v>44939</v>
      </c>
      <c r="J853" s="163">
        <v>0.33333333333333331</v>
      </c>
      <c r="K853" s="162" t="s">
        <v>749</v>
      </c>
      <c r="L853" s="166"/>
      <c r="M853" s="166"/>
      <c r="N853" s="164"/>
      <c r="O853" s="166"/>
      <c r="P853" s="165"/>
    </row>
    <row r="854" spans="1:16" ht="15" hidden="1" customHeight="1" x14ac:dyDescent="0.25">
      <c r="A854" s="168"/>
      <c r="B854" s="167"/>
      <c r="C854" s="168"/>
      <c r="D854" s="167"/>
      <c r="E854" s="167"/>
      <c r="F854" s="167"/>
      <c r="G854" s="167"/>
      <c r="H854" s="167"/>
      <c r="I854" s="164">
        <f t="shared" ca="1" si="13"/>
        <v>44939</v>
      </c>
      <c r="J854" s="163">
        <v>0.33333333333333331</v>
      </c>
      <c r="K854" s="162" t="s">
        <v>749</v>
      </c>
      <c r="L854" s="166"/>
      <c r="M854" s="166"/>
      <c r="N854" s="164"/>
      <c r="O854" s="166"/>
      <c r="P854" s="165"/>
    </row>
    <row r="855" spans="1:16" ht="15" hidden="1" customHeight="1" x14ac:dyDescent="0.25">
      <c r="A855" s="168"/>
      <c r="B855" s="167"/>
      <c r="C855" s="168"/>
      <c r="D855" s="167"/>
      <c r="E855" s="167"/>
      <c r="F855" s="167"/>
      <c r="G855" s="167"/>
      <c r="H855" s="167"/>
      <c r="I855" s="164">
        <f t="shared" ca="1" si="13"/>
        <v>44939</v>
      </c>
      <c r="J855" s="163">
        <v>0.33333333333333331</v>
      </c>
      <c r="K855" s="162" t="s">
        <v>749</v>
      </c>
      <c r="L855" s="166"/>
      <c r="M855" s="166"/>
      <c r="N855" s="164"/>
      <c r="O855" s="166"/>
      <c r="P855" s="165"/>
    </row>
    <row r="856" spans="1:16" ht="15" hidden="1" customHeight="1" x14ac:dyDescent="0.25">
      <c r="A856" s="168"/>
      <c r="B856" s="167"/>
      <c r="C856" s="168"/>
      <c r="D856" s="167"/>
      <c r="E856" s="167"/>
      <c r="F856" s="167"/>
      <c r="G856" s="167"/>
      <c r="H856" s="167"/>
      <c r="I856" s="164">
        <f t="shared" ref="I856:I919" ca="1" si="14">TODAY()</f>
        <v>44939</v>
      </c>
      <c r="J856" s="163">
        <v>0.33333333333333331</v>
      </c>
      <c r="K856" s="162" t="s">
        <v>749</v>
      </c>
      <c r="L856" s="166"/>
      <c r="M856" s="166"/>
      <c r="N856" s="164"/>
      <c r="O856" s="166"/>
      <c r="P856" s="165"/>
    </row>
    <row r="857" spans="1:16" ht="15" hidden="1" customHeight="1" x14ac:dyDescent="0.25">
      <c r="A857" s="168"/>
      <c r="B857" s="167"/>
      <c r="C857" s="168"/>
      <c r="D857" s="167"/>
      <c r="E857" s="167"/>
      <c r="F857" s="167"/>
      <c r="G857" s="167"/>
      <c r="H857" s="167"/>
      <c r="I857" s="164">
        <f t="shared" ca="1" si="14"/>
        <v>44939</v>
      </c>
      <c r="J857" s="163">
        <v>0.33333333333333331</v>
      </c>
      <c r="K857" s="162" t="s">
        <v>749</v>
      </c>
      <c r="L857" s="166"/>
      <c r="M857" s="166"/>
      <c r="N857" s="164"/>
      <c r="O857" s="166"/>
      <c r="P857" s="165"/>
    </row>
    <row r="858" spans="1:16" ht="15" hidden="1" customHeight="1" x14ac:dyDescent="0.25">
      <c r="A858" s="167"/>
      <c r="B858" s="167"/>
      <c r="C858" s="167"/>
      <c r="D858" s="167"/>
      <c r="E858" s="167"/>
      <c r="F858" s="167"/>
      <c r="G858" s="167"/>
      <c r="H858" s="167"/>
      <c r="I858" s="164">
        <f t="shared" ca="1" si="14"/>
        <v>44939</v>
      </c>
      <c r="J858" s="163">
        <v>0.33333333333333331</v>
      </c>
      <c r="K858" s="162" t="s">
        <v>749</v>
      </c>
      <c r="L858" s="166"/>
      <c r="M858" s="166"/>
      <c r="N858" s="164"/>
      <c r="O858" s="166"/>
      <c r="P858" s="165"/>
    </row>
    <row r="859" spans="1:16" ht="15" hidden="1" customHeight="1" x14ac:dyDescent="0.25">
      <c r="A859" s="167"/>
      <c r="B859" s="167"/>
      <c r="C859" s="167"/>
      <c r="D859" s="167"/>
      <c r="E859" s="167"/>
      <c r="F859" s="167"/>
      <c r="G859" s="167"/>
      <c r="H859" s="167"/>
      <c r="I859" s="164">
        <f t="shared" ca="1" si="14"/>
        <v>44939</v>
      </c>
      <c r="J859" s="163">
        <v>0.33333333333333331</v>
      </c>
      <c r="K859" s="162" t="s">
        <v>749</v>
      </c>
      <c r="L859" s="166"/>
      <c r="M859" s="166"/>
      <c r="N859" s="164"/>
      <c r="O859" s="166"/>
      <c r="P859" s="165"/>
    </row>
    <row r="860" spans="1:16" ht="15" hidden="1" customHeight="1" x14ac:dyDescent="0.25">
      <c r="A860" s="167"/>
      <c r="B860" s="167"/>
      <c r="C860" s="167"/>
      <c r="D860" s="167"/>
      <c r="E860" s="167"/>
      <c r="F860" s="167"/>
      <c r="G860" s="167"/>
      <c r="H860" s="167"/>
      <c r="I860" s="164">
        <f t="shared" ca="1" si="14"/>
        <v>44939</v>
      </c>
      <c r="J860" s="163">
        <v>0.33333333333333331</v>
      </c>
      <c r="K860" s="162" t="s">
        <v>749</v>
      </c>
      <c r="L860" s="166"/>
      <c r="M860" s="166"/>
      <c r="N860" s="164"/>
      <c r="O860" s="166"/>
      <c r="P860" s="165"/>
    </row>
    <row r="861" spans="1:16" ht="15" hidden="1" customHeight="1" x14ac:dyDescent="0.25">
      <c r="A861" s="167"/>
      <c r="B861" s="167"/>
      <c r="C861" s="167"/>
      <c r="D861" s="167"/>
      <c r="E861" s="167"/>
      <c r="F861" s="167"/>
      <c r="G861" s="167"/>
      <c r="H861" s="167"/>
      <c r="I861" s="164">
        <f t="shared" ca="1" si="14"/>
        <v>44939</v>
      </c>
      <c r="J861" s="163">
        <v>0.33333333333333331</v>
      </c>
      <c r="K861" s="162" t="s">
        <v>749</v>
      </c>
      <c r="L861" s="166"/>
      <c r="M861" s="166"/>
      <c r="N861" s="164"/>
      <c r="O861" s="166"/>
      <c r="P861" s="165"/>
    </row>
    <row r="862" spans="1:16" ht="15" hidden="1" customHeight="1" x14ac:dyDescent="0.25">
      <c r="A862" s="167"/>
      <c r="B862" s="167"/>
      <c r="C862" s="167"/>
      <c r="D862" s="167"/>
      <c r="E862" s="167"/>
      <c r="F862" s="167"/>
      <c r="G862" s="167"/>
      <c r="H862" s="167"/>
      <c r="I862" s="164">
        <f t="shared" ca="1" si="14"/>
        <v>44939</v>
      </c>
      <c r="J862" s="163">
        <v>0.33333333333333331</v>
      </c>
      <c r="K862" s="162" t="s">
        <v>749</v>
      </c>
      <c r="L862" s="166"/>
      <c r="M862" s="166"/>
      <c r="N862" s="164"/>
      <c r="O862" s="166"/>
      <c r="P862" s="165"/>
    </row>
    <row r="863" spans="1:16" ht="15" hidden="1" customHeight="1" x14ac:dyDescent="0.25">
      <c r="A863" s="167"/>
      <c r="B863" s="167"/>
      <c r="C863" s="167"/>
      <c r="D863" s="167"/>
      <c r="E863" s="167"/>
      <c r="F863" s="167"/>
      <c r="G863" s="167"/>
      <c r="H863" s="167"/>
      <c r="I863" s="164">
        <f t="shared" ca="1" si="14"/>
        <v>44939</v>
      </c>
      <c r="J863" s="163">
        <v>0.33333333333333331</v>
      </c>
      <c r="K863" s="162" t="s">
        <v>749</v>
      </c>
      <c r="L863" s="166"/>
      <c r="M863" s="166"/>
      <c r="N863" s="164"/>
      <c r="O863" s="166"/>
      <c r="P863" s="165"/>
    </row>
    <row r="864" spans="1:16" ht="15" hidden="1" customHeight="1" x14ac:dyDescent="0.25">
      <c r="A864" s="167"/>
      <c r="B864" s="167"/>
      <c r="C864" s="160"/>
      <c r="D864" s="167"/>
      <c r="E864" s="167"/>
      <c r="F864" s="167"/>
      <c r="G864" s="167"/>
      <c r="H864" s="167"/>
      <c r="I864" s="164">
        <f t="shared" ca="1" si="14"/>
        <v>44939</v>
      </c>
      <c r="J864" s="163">
        <v>0.33333333333333331</v>
      </c>
      <c r="K864" s="162" t="s">
        <v>749</v>
      </c>
      <c r="L864" s="166"/>
      <c r="M864" s="166"/>
      <c r="N864" s="164"/>
      <c r="O864" s="166"/>
      <c r="P864" s="165"/>
    </row>
    <row r="865" spans="1:16" ht="15" hidden="1" customHeight="1" x14ac:dyDescent="0.25">
      <c r="A865" s="167"/>
      <c r="B865" s="167"/>
      <c r="C865" s="167"/>
      <c r="D865" s="167"/>
      <c r="E865" s="167"/>
      <c r="F865" s="167"/>
      <c r="G865" s="167"/>
      <c r="H865" s="167"/>
      <c r="I865" s="164">
        <f t="shared" ca="1" si="14"/>
        <v>44939</v>
      </c>
      <c r="J865" s="163">
        <v>0.33333333333333331</v>
      </c>
      <c r="K865" s="162" t="s">
        <v>749</v>
      </c>
      <c r="L865" s="166"/>
      <c r="M865" s="166"/>
      <c r="N865" s="164"/>
      <c r="O865" s="166"/>
      <c r="P865" s="165"/>
    </row>
    <row r="866" spans="1:16" ht="15" hidden="1" customHeight="1" x14ac:dyDescent="0.25">
      <c r="A866" s="167"/>
      <c r="B866" s="167"/>
      <c r="C866" s="167"/>
      <c r="D866" s="167"/>
      <c r="E866" s="167"/>
      <c r="F866" s="167"/>
      <c r="G866" s="167"/>
      <c r="H866" s="167"/>
      <c r="I866" s="164">
        <f t="shared" ca="1" si="14"/>
        <v>44939</v>
      </c>
      <c r="J866" s="163">
        <v>0.33333333333333331</v>
      </c>
      <c r="K866" s="162" t="s">
        <v>749</v>
      </c>
      <c r="L866" s="166"/>
      <c r="M866" s="166"/>
      <c r="N866" s="164"/>
      <c r="O866" s="166"/>
      <c r="P866" s="165"/>
    </row>
    <row r="867" spans="1:16" ht="15" hidden="1" customHeight="1" x14ac:dyDescent="0.25">
      <c r="A867" s="167"/>
      <c r="B867" s="167"/>
      <c r="C867" s="167"/>
      <c r="D867" s="167"/>
      <c r="E867" s="167"/>
      <c r="F867" s="167"/>
      <c r="G867" s="167"/>
      <c r="H867" s="167"/>
      <c r="I867" s="164">
        <f t="shared" ca="1" si="14"/>
        <v>44939</v>
      </c>
      <c r="J867" s="163">
        <v>0.33333333333333331</v>
      </c>
      <c r="K867" s="162" t="s">
        <v>749</v>
      </c>
      <c r="L867" s="166"/>
      <c r="M867" s="166"/>
      <c r="N867" s="164"/>
      <c r="O867" s="166"/>
      <c r="P867" s="165"/>
    </row>
    <row r="868" spans="1:16" ht="15" hidden="1" customHeight="1" x14ac:dyDescent="0.25">
      <c r="A868" s="167"/>
      <c r="B868" s="167"/>
      <c r="C868" s="167"/>
      <c r="D868" s="167"/>
      <c r="E868" s="167"/>
      <c r="F868" s="167"/>
      <c r="G868" s="167"/>
      <c r="H868" s="167"/>
      <c r="I868" s="164">
        <f t="shared" ca="1" si="14"/>
        <v>44939</v>
      </c>
      <c r="J868" s="163">
        <v>0.33333333333333331</v>
      </c>
      <c r="K868" s="162" t="s">
        <v>749</v>
      </c>
      <c r="L868" s="166"/>
      <c r="M868" s="166"/>
      <c r="N868" s="164"/>
      <c r="O868" s="166"/>
      <c r="P868" s="165"/>
    </row>
    <row r="869" spans="1:16" ht="15" hidden="1" customHeight="1" x14ac:dyDescent="0.25">
      <c r="A869" s="167"/>
      <c r="B869" s="167"/>
      <c r="C869" s="167"/>
      <c r="D869" s="167"/>
      <c r="E869" s="167"/>
      <c r="F869" s="167"/>
      <c r="G869" s="167"/>
      <c r="H869" s="167"/>
      <c r="I869" s="164">
        <f t="shared" ca="1" si="14"/>
        <v>44939</v>
      </c>
      <c r="J869" s="163">
        <v>0.33333333333333331</v>
      </c>
      <c r="K869" s="162" t="s">
        <v>749</v>
      </c>
      <c r="L869" s="166"/>
      <c r="M869" s="166"/>
      <c r="N869" s="164"/>
      <c r="O869" s="166"/>
      <c r="P869" s="165"/>
    </row>
    <row r="870" spans="1:16" ht="15" hidden="1" customHeight="1" x14ac:dyDescent="0.25">
      <c r="A870" s="167"/>
      <c r="B870" s="167"/>
      <c r="C870" s="167"/>
      <c r="D870" s="167"/>
      <c r="E870" s="167"/>
      <c r="F870" s="167"/>
      <c r="G870" s="167"/>
      <c r="H870" s="167"/>
      <c r="I870" s="164">
        <f t="shared" ca="1" si="14"/>
        <v>44939</v>
      </c>
      <c r="J870" s="163">
        <v>0.33333333333333331</v>
      </c>
      <c r="K870" s="162" t="s">
        <v>749</v>
      </c>
      <c r="L870" s="166"/>
      <c r="M870" s="166"/>
      <c r="N870" s="164"/>
      <c r="O870" s="166"/>
      <c r="P870" s="165"/>
    </row>
    <row r="871" spans="1:16" ht="15" hidden="1" customHeight="1" x14ac:dyDescent="0.25">
      <c r="A871" s="168"/>
      <c r="B871" s="167"/>
      <c r="C871" s="168"/>
      <c r="D871" s="167"/>
      <c r="E871" s="167"/>
      <c r="F871" s="167"/>
      <c r="G871" s="167"/>
      <c r="H871" s="167"/>
      <c r="I871" s="164">
        <f t="shared" ca="1" si="14"/>
        <v>44939</v>
      </c>
      <c r="J871" s="163">
        <v>0.33333333333333331</v>
      </c>
      <c r="K871" s="162" t="s">
        <v>749</v>
      </c>
      <c r="L871" s="166"/>
      <c r="M871" s="166"/>
      <c r="N871" s="164"/>
      <c r="O871" s="166"/>
      <c r="P871" s="165"/>
    </row>
    <row r="872" spans="1:16" ht="15" hidden="1" customHeight="1" x14ac:dyDescent="0.25">
      <c r="A872" s="167"/>
      <c r="B872" s="167"/>
      <c r="C872" s="168"/>
      <c r="D872" s="167"/>
      <c r="E872" s="167"/>
      <c r="F872" s="167"/>
      <c r="G872" s="167"/>
      <c r="H872" s="167"/>
      <c r="I872" s="164">
        <f t="shared" ca="1" si="14"/>
        <v>44939</v>
      </c>
      <c r="J872" s="163">
        <v>0.33333333333333331</v>
      </c>
      <c r="K872" s="162" t="s">
        <v>749</v>
      </c>
      <c r="L872" s="166"/>
      <c r="M872" s="166"/>
      <c r="N872" s="164"/>
      <c r="O872" s="166"/>
      <c r="P872" s="165"/>
    </row>
    <row r="873" spans="1:16" ht="15" hidden="1" customHeight="1" x14ac:dyDescent="0.25">
      <c r="A873" s="160"/>
      <c r="B873" s="167"/>
      <c r="C873" s="167"/>
      <c r="D873" s="167"/>
      <c r="E873" s="167"/>
      <c r="F873" s="167"/>
      <c r="G873" s="167"/>
      <c r="H873" s="167"/>
      <c r="I873" s="164">
        <f t="shared" ca="1" si="14"/>
        <v>44939</v>
      </c>
      <c r="J873" s="163">
        <v>0.33333333333333331</v>
      </c>
      <c r="K873" s="162" t="s">
        <v>749</v>
      </c>
      <c r="L873" s="166"/>
      <c r="M873" s="166"/>
      <c r="N873" s="164"/>
      <c r="O873" s="166"/>
      <c r="P873" s="165"/>
    </row>
    <row r="874" spans="1:16" ht="15" hidden="1" customHeight="1" x14ac:dyDescent="0.25">
      <c r="A874" s="168"/>
      <c r="B874" s="167"/>
      <c r="C874" s="168"/>
      <c r="D874" s="167"/>
      <c r="E874" s="167"/>
      <c r="F874" s="167"/>
      <c r="G874" s="167"/>
      <c r="H874" s="167"/>
      <c r="I874" s="164">
        <f t="shared" ca="1" si="14"/>
        <v>44939</v>
      </c>
      <c r="J874" s="163">
        <v>0.33333333333333331</v>
      </c>
      <c r="K874" s="162" t="s">
        <v>749</v>
      </c>
      <c r="L874" s="166"/>
      <c r="M874" s="166"/>
      <c r="N874" s="164"/>
      <c r="O874" s="166"/>
      <c r="P874" s="165"/>
    </row>
    <row r="875" spans="1:16" ht="15" hidden="1" customHeight="1" x14ac:dyDescent="0.25">
      <c r="A875" s="167"/>
      <c r="B875" s="167"/>
      <c r="C875" s="167"/>
      <c r="D875" s="167"/>
      <c r="E875" s="167"/>
      <c r="F875" s="167"/>
      <c r="G875" s="167"/>
      <c r="H875" s="167"/>
      <c r="I875" s="164">
        <f t="shared" ca="1" si="14"/>
        <v>44939</v>
      </c>
      <c r="J875" s="163">
        <v>0.33333333333333331</v>
      </c>
      <c r="K875" s="162" t="s">
        <v>749</v>
      </c>
      <c r="L875" s="166"/>
      <c r="M875" s="166"/>
      <c r="N875" s="164"/>
      <c r="O875" s="166"/>
      <c r="P875" s="165"/>
    </row>
    <row r="876" spans="1:16" ht="15" hidden="1" customHeight="1" x14ac:dyDescent="0.25">
      <c r="A876" s="167"/>
      <c r="B876" s="167"/>
      <c r="C876" s="167"/>
      <c r="D876" s="167"/>
      <c r="E876" s="167"/>
      <c r="F876" s="167"/>
      <c r="G876" s="167"/>
      <c r="H876" s="167"/>
      <c r="I876" s="164">
        <f t="shared" ca="1" si="14"/>
        <v>44939</v>
      </c>
      <c r="J876" s="163">
        <v>0.33333333333333331</v>
      </c>
      <c r="K876" s="162" t="s">
        <v>749</v>
      </c>
      <c r="L876" s="166"/>
      <c r="M876" s="166"/>
      <c r="N876" s="164"/>
      <c r="O876" s="166"/>
      <c r="P876" s="165"/>
    </row>
    <row r="877" spans="1:16" ht="15" hidden="1" customHeight="1" x14ac:dyDescent="0.25">
      <c r="A877" s="167"/>
      <c r="B877" s="167"/>
      <c r="C877" s="167"/>
      <c r="D877" s="167"/>
      <c r="E877" s="167"/>
      <c r="F877" s="167"/>
      <c r="G877" s="167"/>
      <c r="H877" s="167"/>
      <c r="I877" s="164">
        <f t="shared" ca="1" si="14"/>
        <v>44939</v>
      </c>
      <c r="J877" s="163">
        <v>0.33333333333333331</v>
      </c>
      <c r="K877" s="162" t="s">
        <v>749</v>
      </c>
      <c r="L877" s="166"/>
      <c r="M877" s="166"/>
      <c r="N877" s="164"/>
      <c r="O877" s="166"/>
      <c r="P877" s="165"/>
    </row>
    <row r="878" spans="1:16" ht="15" hidden="1" customHeight="1" x14ac:dyDescent="0.25">
      <c r="A878" s="160"/>
      <c r="B878" s="167"/>
      <c r="C878" s="167"/>
      <c r="D878" s="167"/>
      <c r="E878" s="167"/>
      <c r="F878" s="167"/>
      <c r="G878" s="167"/>
      <c r="H878" s="167"/>
      <c r="I878" s="164">
        <f t="shared" ca="1" si="14"/>
        <v>44939</v>
      </c>
      <c r="J878" s="163">
        <v>0.33333333333333331</v>
      </c>
      <c r="K878" s="162" t="s">
        <v>749</v>
      </c>
      <c r="L878" s="166"/>
      <c r="M878" s="166"/>
      <c r="N878" s="164"/>
      <c r="O878" s="166"/>
      <c r="P878" s="165"/>
    </row>
    <row r="879" spans="1:16" ht="15" hidden="1" customHeight="1" x14ac:dyDescent="0.25">
      <c r="A879" s="167"/>
      <c r="B879" s="167"/>
      <c r="C879" s="167"/>
      <c r="D879" s="167"/>
      <c r="E879" s="167"/>
      <c r="F879" s="167"/>
      <c r="G879" s="167"/>
      <c r="H879" s="167"/>
      <c r="I879" s="164">
        <f t="shared" ca="1" si="14"/>
        <v>44939</v>
      </c>
      <c r="J879" s="163">
        <v>0.33333333333333331</v>
      </c>
      <c r="K879" s="162" t="s">
        <v>749</v>
      </c>
      <c r="L879" s="166"/>
      <c r="M879" s="166"/>
      <c r="N879" s="164"/>
      <c r="O879" s="166"/>
      <c r="P879" s="165"/>
    </row>
    <row r="880" spans="1:16" ht="15" hidden="1" customHeight="1" x14ac:dyDescent="0.25">
      <c r="A880" s="168"/>
      <c r="B880" s="167"/>
      <c r="C880" s="168"/>
      <c r="D880" s="167"/>
      <c r="E880" s="167"/>
      <c r="F880" s="167"/>
      <c r="G880" s="167"/>
      <c r="H880" s="167"/>
      <c r="I880" s="164">
        <f t="shared" ca="1" si="14"/>
        <v>44939</v>
      </c>
      <c r="J880" s="163">
        <v>0.33333333333333331</v>
      </c>
      <c r="K880" s="162" t="s">
        <v>749</v>
      </c>
      <c r="L880" s="166"/>
      <c r="M880" s="166"/>
      <c r="N880" s="164"/>
      <c r="O880" s="166"/>
      <c r="P880" s="165"/>
    </row>
    <row r="881" spans="1:16" ht="15" hidden="1" customHeight="1" x14ac:dyDescent="0.25">
      <c r="A881" s="167"/>
      <c r="B881" s="167"/>
      <c r="C881" s="167"/>
      <c r="D881" s="167"/>
      <c r="E881" s="167"/>
      <c r="F881" s="167"/>
      <c r="G881" s="167"/>
      <c r="H881" s="167"/>
      <c r="I881" s="164">
        <f t="shared" ca="1" si="14"/>
        <v>44939</v>
      </c>
      <c r="J881" s="163">
        <v>0.33333333333333331</v>
      </c>
      <c r="K881" s="162" t="s">
        <v>749</v>
      </c>
      <c r="L881" s="166"/>
      <c r="M881" s="166"/>
      <c r="N881" s="164"/>
      <c r="O881" s="166"/>
      <c r="P881" s="165"/>
    </row>
    <row r="882" spans="1:16" ht="15" hidden="1" customHeight="1" x14ac:dyDescent="0.25">
      <c r="A882" s="167"/>
      <c r="B882" s="167"/>
      <c r="C882" s="167"/>
      <c r="D882" s="167"/>
      <c r="E882" s="167"/>
      <c r="F882" s="167"/>
      <c r="G882" s="167"/>
      <c r="H882" s="167"/>
      <c r="I882" s="164">
        <f t="shared" ca="1" si="14"/>
        <v>44939</v>
      </c>
      <c r="J882" s="163">
        <v>0.33333333333333331</v>
      </c>
      <c r="K882" s="162" t="s">
        <v>749</v>
      </c>
      <c r="L882" s="166"/>
      <c r="M882" s="166"/>
      <c r="N882" s="164"/>
      <c r="O882" s="166"/>
      <c r="P882" s="165"/>
    </row>
    <row r="883" spans="1:16" ht="15" hidden="1" customHeight="1" x14ac:dyDescent="0.25">
      <c r="A883" s="167"/>
      <c r="B883" s="167"/>
      <c r="C883" s="167"/>
      <c r="D883" s="167"/>
      <c r="E883" s="167"/>
      <c r="F883" s="167"/>
      <c r="G883" s="167"/>
      <c r="H883" s="167"/>
      <c r="I883" s="164">
        <f t="shared" ca="1" si="14"/>
        <v>44939</v>
      </c>
      <c r="J883" s="163">
        <v>0.33333333333333331</v>
      </c>
      <c r="K883" s="162" t="s">
        <v>749</v>
      </c>
      <c r="L883" s="166"/>
      <c r="M883" s="166"/>
      <c r="N883" s="164"/>
      <c r="O883" s="166"/>
      <c r="P883" s="165"/>
    </row>
    <row r="884" spans="1:16" ht="15" hidden="1" customHeight="1" x14ac:dyDescent="0.25">
      <c r="A884" s="167"/>
      <c r="B884" s="167"/>
      <c r="C884" s="167"/>
      <c r="D884" s="167"/>
      <c r="E884" s="167"/>
      <c r="F884" s="167"/>
      <c r="G884" s="167"/>
      <c r="H884" s="167"/>
      <c r="I884" s="164">
        <f t="shared" ca="1" si="14"/>
        <v>44939</v>
      </c>
      <c r="J884" s="163">
        <v>0.33333333333333331</v>
      </c>
      <c r="K884" s="162" t="s">
        <v>749</v>
      </c>
      <c r="L884" s="166"/>
      <c r="M884" s="166"/>
      <c r="N884" s="164"/>
      <c r="O884" s="166"/>
      <c r="P884" s="165"/>
    </row>
    <row r="885" spans="1:16" ht="15" hidden="1" customHeight="1" x14ac:dyDescent="0.25">
      <c r="A885" s="167"/>
      <c r="B885" s="167"/>
      <c r="C885" s="167"/>
      <c r="D885" s="167"/>
      <c r="E885" s="167"/>
      <c r="F885" s="167"/>
      <c r="G885" s="167"/>
      <c r="H885" s="167"/>
      <c r="I885" s="164">
        <f t="shared" ca="1" si="14"/>
        <v>44939</v>
      </c>
      <c r="J885" s="163">
        <v>0.33333333333333331</v>
      </c>
      <c r="K885" s="162" t="s">
        <v>749</v>
      </c>
      <c r="L885" s="166"/>
      <c r="M885" s="166"/>
      <c r="N885" s="164"/>
      <c r="O885" s="166"/>
      <c r="P885" s="165"/>
    </row>
    <row r="886" spans="1:16" ht="15" hidden="1" customHeight="1" x14ac:dyDescent="0.25">
      <c r="A886" s="167"/>
      <c r="B886" s="167"/>
      <c r="C886" s="167"/>
      <c r="D886" s="167"/>
      <c r="E886" s="167"/>
      <c r="F886" s="167"/>
      <c r="G886" s="167"/>
      <c r="H886" s="167"/>
      <c r="I886" s="164">
        <f t="shared" ca="1" si="14"/>
        <v>44939</v>
      </c>
      <c r="J886" s="163">
        <v>0.33333333333333331</v>
      </c>
      <c r="K886" s="162" t="s">
        <v>749</v>
      </c>
      <c r="L886" s="166"/>
      <c r="M886" s="166"/>
      <c r="N886" s="164"/>
      <c r="O886" s="166"/>
      <c r="P886" s="165"/>
    </row>
    <row r="887" spans="1:16" ht="15" hidden="1" customHeight="1" x14ac:dyDescent="0.25">
      <c r="A887" s="167"/>
      <c r="B887" s="167"/>
      <c r="C887" s="167"/>
      <c r="D887" s="167"/>
      <c r="E887" s="167"/>
      <c r="F887" s="167"/>
      <c r="G887" s="167"/>
      <c r="H887" s="167"/>
      <c r="I887" s="164">
        <f t="shared" ca="1" si="14"/>
        <v>44939</v>
      </c>
      <c r="J887" s="163">
        <v>0.33333333333333331</v>
      </c>
      <c r="K887" s="162" t="s">
        <v>749</v>
      </c>
      <c r="L887" s="166"/>
      <c r="M887" s="166"/>
      <c r="N887" s="164"/>
      <c r="O887" s="166"/>
      <c r="P887" s="165"/>
    </row>
    <row r="888" spans="1:16" ht="15" hidden="1" customHeight="1" x14ac:dyDescent="0.25">
      <c r="A888" s="167"/>
      <c r="B888" s="167"/>
      <c r="C888" s="167"/>
      <c r="D888" s="167"/>
      <c r="E888" s="167"/>
      <c r="F888" s="167"/>
      <c r="G888" s="167"/>
      <c r="H888" s="167"/>
      <c r="I888" s="164">
        <f t="shared" ca="1" si="14"/>
        <v>44939</v>
      </c>
      <c r="J888" s="163">
        <v>0.33333333333333331</v>
      </c>
      <c r="K888" s="162" t="s">
        <v>749</v>
      </c>
      <c r="L888" s="166"/>
      <c r="M888" s="166"/>
      <c r="N888" s="164"/>
      <c r="O888" s="166"/>
      <c r="P888" s="165"/>
    </row>
    <row r="889" spans="1:16" ht="15" hidden="1" customHeight="1" x14ac:dyDescent="0.25">
      <c r="A889" s="168"/>
      <c r="B889" s="167"/>
      <c r="C889" s="168"/>
      <c r="D889" s="167"/>
      <c r="E889" s="167"/>
      <c r="F889" s="167"/>
      <c r="G889" s="167"/>
      <c r="H889" s="167"/>
      <c r="I889" s="164">
        <f t="shared" ca="1" si="14"/>
        <v>44939</v>
      </c>
      <c r="J889" s="163">
        <v>0.33333333333333331</v>
      </c>
      <c r="K889" s="162" t="s">
        <v>749</v>
      </c>
      <c r="L889" s="166"/>
      <c r="M889" s="166"/>
      <c r="N889" s="164"/>
      <c r="O889" s="166"/>
      <c r="P889" s="165"/>
    </row>
    <row r="890" spans="1:16" ht="15" hidden="1" customHeight="1" x14ac:dyDescent="0.25">
      <c r="A890" s="168"/>
      <c r="B890" s="167"/>
      <c r="C890" s="168"/>
      <c r="D890" s="167"/>
      <c r="E890" s="167"/>
      <c r="F890" s="167"/>
      <c r="G890" s="167"/>
      <c r="H890" s="167"/>
      <c r="I890" s="164">
        <f t="shared" ca="1" si="14"/>
        <v>44939</v>
      </c>
      <c r="J890" s="163">
        <v>0.33333333333333331</v>
      </c>
      <c r="K890" s="162" t="s">
        <v>749</v>
      </c>
      <c r="L890" s="166"/>
      <c r="M890" s="166"/>
      <c r="N890" s="164"/>
      <c r="O890" s="166"/>
      <c r="P890" s="165"/>
    </row>
    <row r="891" spans="1:16" ht="15" hidden="1" customHeight="1" x14ac:dyDescent="0.25">
      <c r="A891" s="167"/>
      <c r="B891" s="167"/>
      <c r="C891" s="167"/>
      <c r="D891" s="167"/>
      <c r="E891" s="167"/>
      <c r="F891" s="167"/>
      <c r="G891" s="167"/>
      <c r="H891" s="167"/>
      <c r="I891" s="164">
        <f t="shared" ca="1" si="14"/>
        <v>44939</v>
      </c>
      <c r="J891" s="163">
        <v>0.33333333333333331</v>
      </c>
      <c r="K891" s="162" t="s">
        <v>749</v>
      </c>
      <c r="L891" s="166"/>
      <c r="M891" s="166"/>
      <c r="N891" s="164"/>
      <c r="O891" s="166"/>
      <c r="P891" s="165"/>
    </row>
    <row r="892" spans="1:16" ht="15" hidden="1" customHeight="1" x14ac:dyDescent="0.25">
      <c r="A892" s="167"/>
      <c r="B892" s="167"/>
      <c r="C892" s="167"/>
      <c r="D892" s="167"/>
      <c r="E892" s="167"/>
      <c r="F892" s="167"/>
      <c r="G892" s="167"/>
      <c r="H892" s="167"/>
      <c r="I892" s="164">
        <f t="shared" ca="1" si="14"/>
        <v>44939</v>
      </c>
      <c r="J892" s="163">
        <v>0.33333333333333331</v>
      </c>
      <c r="K892" s="162" t="s">
        <v>749</v>
      </c>
      <c r="L892" s="166"/>
      <c r="M892" s="166"/>
      <c r="N892" s="164"/>
      <c r="O892" s="166"/>
      <c r="P892" s="165"/>
    </row>
    <row r="893" spans="1:16" ht="15" hidden="1" customHeight="1" x14ac:dyDescent="0.25">
      <c r="A893" s="167"/>
      <c r="B893" s="167"/>
      <c r="C893" s="167"/>
      <c r="D893" s="167"/>
      <c r="E893" s="167"/>
      <c r="F893" s="167"/>
      <c r="G893" s="167"/>
      <c r="H893" s="167"/>
      <c r="I893" s="164">
        <f t="shared" ca="1" si="14"/>
        <v>44939</v>
      </c>
      <c r="J893" s="163">
        <v>0.33333333333333331</v>
      </c>
      <c r="K893" s="162" t="s">
        <v>749</v>
      </c>
      <c r="L893" s="166"/>
      <c r="M893" s="166"/>
      <c r="N893" s="164"/>
      <c r="O893" s="166"/>
      <c r="P893" s="165"/>
    </row>
    <row r="894" spans="1:16" ht="15" hidden="1" customHeight="1" x14ac:dyDescent="0.25">
      <c r="A894" s="167"/>
      <c r="B894" s="167"/>
      <c r="C894" s="167"/>
      <c r="D894" s="167"/>
      <c r="E894" s="167"/>
      <c r="F894" s="167"/>
      <c r="G894" s="167"/>
      <c r="H894" s="167"/>
      <c r="I894" s="164">
        <f t="shared" ca="1" si="14"/>
        <v>44939</v>
      </c>
      <c r="J894" s="163">
        <v>0.33333333333333331</v>
      </c>
      <c r="K894" s="162" t="s">
        <v>749</v>
      </c>
      <c r="L894" s="166"/>
      <c r="M894" s="166"/>
      <c r="N894" s="164"/>
      <c r="O894" s="166"/>
      <c r="P894" s="165"/>
    </row>
    <row r="895" spans="1:16" ht="15" hidden="1" customHeight="1" x14ac:dyDescent="0.25">
      <c r="A895" s="167"/>
      <c r="B895" s="167"/>
      <c r="C895" s="167"/>
      <c r="D895" s="167"/>
      <c r="E895" s="167"/>
      <c r="F895" s="167"/>
      <c r="G895" s="167"/>
      <c r="H895" s="167"/>
      <c r="I895" s="164">
        <f t="shared" ca="1" si="14"/>
        <v>44939</v>
      </c>
      <c r="J895" s="163">
        <v>0.33333333333333331</v>
      </c>
      <c r="K895" s="162" t="s">
        <v>749</v>
      </c>
      <c r="L895" s="166"/>
      <c r="M895" s="166"/>
      <c r="N895" s="164"/>
      <c r="O895" s="166"/>
      <c r="P895" s="165"/>
    </row>
    <row r="896" spans="1:16" ht="15" hidden="1" customHeight="1" x14ac:dyDescent="0.25">
      <c r="A896" s="167"/>
      <c r="B896" s="167"/>
      <c r="C896" s="167"/>
      <c r="D896" s="167"/>
      <c r="E896" s="167"/>
      <c r="F896" s="167"/>
      <c r="G896" s="167"/>
      <c r="H896" s="167"/>
      <c r="I896" s="164">
        <f t="shared" ca="1" si="14"/>
        <v>44939</v>
      </c>
      <c r="J896" s="163">
        <v>0.33333333333333331</v>
      </c>
      <c r="K896" s="162" t="s">
        <v>749</v>
      </c>
      <c r="L896" s="166"/>
      <c r="M896" s="166"/>
      <c r="N896" s="164"/>
      <c r="O896" s="166"/>
      <c r="P896" s="165"/>
    </row>
    <row r="897" spans="1:16" ht="15" hidden="1" customHeight="1" x14ac:dyDescent="0.25">
      <c r="A897" s="168"/>
      <c r="B897" s="167"/>
      <c r="C897" s="168"/>
      <c r="D897" s="167"/>
      <c r="E897" s="167"/>
      <c r="F897" s="167"/>
      <c r="G897" s="167"/>
      <c r="H897" s="167"/>
      <c r="I897" s="164">
        <f t="shared" ca="1" si="14"/>
        <v>44939</v>
      </c>
      <c r="J897" s="163">
        <v>0.33333333333333331</v>
      </c>
      <c r="K897" s="162" t="s">
        <v>749</v>
      </c>
      <c r="L897" s="166"/>
      <c r="M897" s="166"/>
      <c r="N897" s="164"/>
      <c r="O897" s="166"/>
      <c r="P897" s="165"/>
    </row>
    <row r="898" spans="1:16" ht="15" hidden="1" customHeight="1" x14ac:dyDescent="0.25">
      <c r="A898" s="168"/>
      <c r="B898" s="167"/>
      <c r="C898" s="168"/>
      <c r="D898" s="167"/>
      <c r="E898" s="167"/>
      <c r="F898" s="167"/>
      <c r="G898" s="167"/>
      <c r="H898" s="167"/>
      <c r="I898" s="164">
        <f t="shared" ca="1" si="14"/>
        <v>44939</v>
      </c>
      <c r="J898" s="163">
        <v>0.33333333333333331</v>
      </c>
      <c r="K898" s="162" t="s">
        <v>749</v>
      </c>
      <c r="L898" s="166"/>
      <c r="M898" s="166"/>
      <c r="N898" s="164"/>
      <c r="O898" s="166"/>
      <c r="P898" s="165"/>
    </row>
    <row r="899" spans="1:16" ht="15" hidden="1" customHeight="1" x14ac:dyDescent="0.25">
      <c r="A899" s="168"/>
      <c r="B899" s="167"/>
      <c r="C899" s="168"/>
      <c r="D899" s="167"/>
      <c r="E899" s="167"/>
      <c r="F899" s="167"/>
      <c r="G899" s="167"/>
      <c r="H899" s="167"/>
      <c r="I899" s="164">
        <f t="shared" ca="1" si="14"/>
        <v>44939</v>
      </c>
      <c r="J899" s="163">
        <v>0.33333333333333331</v>
      </c>
      <c r="K899" s="162" t="s">
        <v>749</v>
      </c>
      <c r="L899" s="166"/>
      <c r="M899" s="166"/>
      <c r="N899" s="164"/>
      <c r="O899" s="166"/>
      <c r="P899" s="165"/>
    </row>
    <row r="900" spans="1:16" ht="15" hidden="1" customHeight="1" x14ac:dyDescent="0.25">
      <c r="A900" s="160"/>
      <c r="B900" s="167"/>
      <c r="C900" s="168"/>
      <c r="D900" s="167"/>
      <c r="E900" s="167"/>
      <c r="F900" s="167"/>
      <c r="G900" s="167"/>
      <c r="H900" s="167"/>
      <c r="I900" s="164">
        <f t="shared" ca="1" si="14"/>
        <v>44939</v>
      </c>
      <c r="J900" s="163">
        <v>0.33333333333333331</v>
      </c>
      <c r="K900" s="162" t="s">
        <v>749</v>
      </c>
      <c r="L900" s="166"/>
      <c r="M900" s="166"/>
      <c r="N900" s="164"/>
      <c r="O900" s="166"/>
      <c r="P900" s="165"/>
    </row>
    <row r="901" spans="1:16" ht="15" hidden="1" customHeight="1" x14ac:dyDescent="0.25">
      <c r="A901" s="168"/>
      <c r="B901" s="167"/>
      <c r="C901" s="168"/>
      <c r="D901" s="167"/>
      <c r="E901" s="167"/>
      <c r="F901" s="167"/>
      <c r="G901" s="167"/>
      <c r="H901" s="167"/>
      <c r="I901" s="164">
        <f t="shared" ca="1" si="14"/>
        <v>44939</v>
      </c>
      <c r="J901" s="163">
        <v>0.33333333333333331</v>
      </c>
      <c r="K901" s="162" t="s">
        <v>749</v>
      </c>
      <c r="L901" s="166"/>
      <c r="M901" s="166"/>
      <c r="N901" s="164"/>
      <c r="O901" s="166"/>
      <c r="P901" s="165"/>
    </row>
    <row r="902" spans="1:16" ht="15" hidden="1" customHeight="1" x14ac:dyDescent="0.25">
      <c r="A902" s="167"/>
      <c r="B902" s="167"/>
      <c r="C902" s="167"/>
      <c r="D902" s="167"/>
      <c r="E902" s="167"/>
      <c r="F902" s="167"/>
      <c r="G902" s="167"/>
      <c r="H902" s="167"/>
      <c r="I902" s="164">
        <f t="shared" ca="1" si="14"/>
        <v>44939</v>
      </c>
      <c r="J902" s="163">
        <v>0.33333333333333331</v>
      </c>
      <c r="K902" s="162" t="s">
        <v>749</v>
      </c>
      <c r="L902" s="166"/>
      <c r="M902" s="166"/>
      <c r="N902" s="164"/>
      <c r="O902" s="166"/>
      <c r="P902" s="165"/>
    </row>
    <row r="903" spans="1:16" ht="15" hidden="1" customHeight="1" x14ac:dyDescent="0.25">
      <c r="A903" s="168"/>
      <c r="B903" s="167"/>
      <c r="C903" s="168"/>
      <c r="D903" s="167"/>
      <c r="E903" s="167"/>
      <c r="F903" s="167"/>
      <c r="G903" s="167"/>
      <c r="H903" s="167"/>
      <c r="I903" s="164">
        <f t="shared" ca="1" si="14"/>
        <v>44939</v>
      </c>
      <c r="J903" s="163">
        <v>0.33333333333333331</v>
      </c>
      <c r="K903" s="162" t="s">
        <v>749</v>
      </c>
      <c r="L903" s="166"/>
      <c r="M903" s="166"/>
      <c r="N903" s="164"/>
      <c r="O903" s="166"/>
      <c r="P903" s="165"/>
    </row>
    <row r="904" spans="1:16" ht="15" hidden="1" customHeight="1" x14ac:dyDescent="0.25">
      <c r="A904" s="168"/>
      <c r="B904" s="167"/>
      <c r="C904" s="168"/>
      <c r="D904" s="167"/>
      <c r="E904" s="167"/>
      <c r="F904" s="167"/>
      <c r="G904" s="167"/>
      <c r="H904" s="167"/>
      <c r="I904" s="164">
        <f t="shared" ca="1" si="14"/>
        <v>44939</v>
      </c>
      <c r="J904" s="163">
        <v>0.33333333333333331</v>
      </c>
      <c r="K904" s="162" t="s">
        <v>749</v>
      </c>
      <c r="L904" s="166"/>
      <c r="M904" s="166"/>
      <c r="N904" s="164"/>
      <c r="O904" s="166"/>
      <c r="P904" s="165"/>
    </row>
    <row r="905" spans="1:16" ht="15" hidden="1" customHeight="1" x14ac:dyDescent="0.25">
      <c r="A905" s="168"/>
      <c r="B905" s="167"/>
      <c r="C905" s="168"/>
      <c r="D905" s="167"/>
      <c r="E905" s="167"/>
      <c r="F905" s="167"/>
      <c r="G905" s="167"/>
      <c r="H905" s="167"/>
      <c r="I905" s="164">
        <f t="shared" ca="1" si="14"/>
        <v>44939</v>
      </c>
      <c r="J905" s="163">
        <v>0.33333333333333331</v>
      </c>
      <c r="K905" s="162" t="s">
        <v>749</v>
      </c>
      <c r="L905" s="166"/>
      <c r="M905" s="166"/>
      <c r="N905" s="164"/>
      <c r="O905" s="166"/>
      <c r="P905" s="165"/>
    </row>
    <row r="906" spans="1:16" ht="15" hidden="1" customHeight="1" x14ac:dyDescent="0.25">
      <c r="A906" s="168"/>
      <c r="B906" s="167"/>
      <c r="C906" s="168"/>
      <c r="D906" s="167"/>
      <c r="E906" s="167"/>
      <c r="F906" s="167"/>
      <c r="G906" s="167"/>
      <c r="H906" s="167"/>
      <c r="I906" s="164">
        <f t="shared" ca="1" si="14"/>
        <v>44939</v>
      </c>
      <c r="J906" s="163">
        <v>0.33333333333333331</v>
      </c>
      <c r="K906" s="162" t="s">
        <v>749</v>
      </c>
      <c r="L906" s="166"/>
      <c r="M906" s="166"/>
      <c r="N906" s="164"/>
      <c r="O906" s="166"/>
      <c r="P906" s="165"/>
    </row>
    <row r="907" spans="1:16" ht="15" hidden="1" customHeight="1" x14ac:dyDescent="0.25">
      <c r="A907" s="168"/>
      <c r="B907" s="167"/>
      <c r="C907" s="168"/>
      <c r="D907" s="167"/>
      <c r="E907" s="167"/>
      <c r="F907" s="167"/>
      <c r="G907" s="167"/>
      <c r="H907" s="167"/>
      <c r="I907" s="164">
        <f t="shared" ca="1" si="14"/>
        <v>44939</v>
      </c>
      <c r="J907" s="163">
        <v>0.33333333333333331</v>
      </c>
      <c r="K907" s="162" t="s">
        <v>749</v>
      </c>
      <c r="L907" s="166"/>
      <c r="M907" s="166"/>
      <c r="N907" s="164"/>
      <c r="O907" s="166"/>
      <c r="P907" s="165"/>
    </row>
    <row r="908" spans="1:16" ht="15" hidden="1" customHeight="1" x14ac:dyDescent="0.25">
      <c r="A908" s="168"/>
      <c r="B908" s="167"/>
      <c r="C908" s="168"/>
      <c r="D908" s="167"/>
      <c r="E908" s="167"/>
      <c r="F908" s="167"/>
      <c r="G908" s="167"/>
      <c r="H908" s="167"/>
      <c r="I908" s="164">
        <f t="shared" ca="1" si="14"/>
        <v>44939</v>
      </c>
      <c r="J908" s="163">
        <v>0.33333333333333331</v>
      </c>
      <c r="K908" s="162" t="s">
        <v>749</v>
      </c>
      <c r="L908" s="166"/>
      <c r="M908" s="166"/>
      <c r="N908" s="164"/>
      <c r="O908" s="166"/>
      <c r="P908" s="165"/>
    </row>
    <row r="909" spans="1:16" ht="15" hidden="1" customHeight="1" x14ac:dyDescent="0.25">
      <c r="A909" s="168"/>
      <c r="B909" s="167"/>
      <c r="C909" s="168"/>
      <c r="D909" s="167"/>
      <c r="E909" s="167"/>
      <c r="F909" s="167"/>
      <c r="G909" s="167"/>
      <c r="H909" s="167"/>
      <c r="I909" s="164">
        <f t="shared" ca="1" si="14"/>
        <v>44939</v>
      </c>
      <c r="J909" s="163">
        <v>0.33333333333333331</v>
      </c>
      <c r="K909" s="162" t="s">
        <v>749</v>
      </c>
      <c r="L909" s="166"/>
      <c r="M909" s="166"/>
      <c r="N909" s="164"/>
      <c r="O909" s="166"/>
      <c r="P909" s="165"/>
    </row>
    <row r="910" spans="1:16" ht="15" hidden="1" customHeight="1" x14ac:dyDescent="0.25">
      <c r="A910" s="167"/>
      <c r="B910" s="167"/>
      <c r="C910" s="167"/>
      <c r="D910" s="167"/>
      <c r="E910" s="167"/>
      <c r="F910" s="167"/>
      <c r="G910" s="167"/>
      <c r="H910" s="167"/>
      <c r="I910" s="164">
        <f t="shared" ca="1" si="14"/>
        <v>44939</v>
      </c>
      <c r="J910" s="163">
        <v>0.33333333333333331</v>
      </c>
      <c r="K910" s="162" t="s">
        <v>749</v>
      </c>
      <c r="L910" s="166"/>
      <c r="M910" s="166"/>
      <c r="N910" s="164"/>
      <c r="O910" s="166"/>
      <c r="P910" s="165"/>
    </row>
    <row r="911" spans="1:16" ht="15" hidden="1" customHeight="1" x14ac:dyDescent="0.25">
      <c r="A911" s="167"/>
      <c r="B911" s="167"/>
      <c r="C911" s="167"/>
      <c r="D911" s="167"/>
      <c r="E911" s="167"/>
      <c r="F911" s="167"/>
      <c r="G911" s="167"/>
      <c r="H911" s="167"/>
      <c r="I911" s="164">
        <f t="shared" ca="1" si="14"/>
        <v>44939</v>
      </c>
      <c r="J911" s="163">
        <v>0.33333333333333331</v>
      </c>
      <c r="K911" s="162" t="s">
        <v>749</v>
      </c>
      <c r="L911" s="166"/>
      <c r="M911" s="166"/>
      <c r="N911" s="164"/>
      <c r="O911" s="166"/>
      <c r="P911" s="165"/>
    </row>
    <row r="912" spans="1:16" ht="15" hidden="1" customHeight="1" x14ac:dyDescent="0.25">
      <c r="A912" s="167"/>
      <c r="B912" s="167"/>
      <c r="C912" s="167"/>
      <c r="D912" s="167"/>
      <c r="E912" s="167"/>
      <c r="F912" s="167"/>
      <c r="G912" s="167"/>
      <c r="H912" s="167"/>
      <c r="I912" s="164">
        <f t="shared" ca="1" si="14"/>
        <v>44939</v>
      </c>
      <c r="J912" s="163">
        <v>0.33333333333333331</v>
      </c>
      <c r="K912" s="162" t="s">
        <v>749</v>
      </c>
      <c r="L912" s="166"/>
      <c r="M912" s="166"/>
      <c r="N912" s="164"/>
      <c r="O912" s="166"/>
      <c r="P912" s="165"/>
    </row>
    <row r="913" spans="1:16" ht="15" hidden="1" customHeight="1" x14ac:dyDescent="0.25">
      <c r="A913" s="167"/>
      <c r="B913" s="167"/>
      <c r="C913" s="167"/>
      <c r="D913" s="167"/>
      <c r="E913" s="167"/>
      <c r="F913" s="167"/>
      <c r="G913" s="167"/>
      <c r="H913" s="167"/>
      <c r="I913" s="164">
        <f t="shared" ca="1" si="14"/>
        <v>44939</v>
      </c>
      <c r="J913" s="163">
        <v>0.33333333333333331</v>
      </c>
      <c r="K913" s="162" t="s">
        <v>749</v>
      </c>
      <c r="L913" s="166"/>
      <c r="M913" s="166"/>
      <c r="N913" s="164"/>
      <c r="O913" s="166"/>
      <c r="P913" s="165"/>
    </row>
    <row r="914" spans="1:16" ht="15" hidden="1" customHeight="1" x14ac:dyDescent="0.25">
      <c r="A914" s="167"/>
      <c r="B914" s="167"/>
      <c r="C914" s="167"/>
      <c r="D914" s="167"/>
      <c r="E914" s="167"/>
      <c r="F914" s="167"/>
      <c r="G914" s="167"/>
      <c r="H914" s="167"/>
      <c r="I914" s="164">
        <f t="shared" ca="1" si="14"/>
        <v>44939</v>
      </c>
      <c r="J914" s="163">
        <v>0.33333333333333331</v>
      </c>
      <c r="K914" s="162" t="s">
        <v>749</v>
      </c>
      <c r="L914" s="166"/>
      <c r="M914" s="166"/>
      <c r="N914" s="164"/>
      <c r="O914" s="166"/>
      <c r="P914" s="165"/>
    </row>
    <row r="915" spans="1:16" ht="15" hidden="1" customHeight="1" x14ac:dyDescent="0.25">
      <c r="A915" s="167"/>
      <c r="B915" s="167"/>
      <c r="C915" s="167"/>
      <c r="D915" s="167"/>
      <c r="E915" s="167"/>
      <c r="F915" s="167"/>
      <c r="G915" s="167"/>
      <c r="H915" s="167"/>
      <c r="I915" s="164">
        <f t="shared" ca="1" si="14"/>
        <v>44939</v>
      </c>
      <c r="J915" s="163">
        <v>0.33333333333333331</v>
      </c>
      <c r="K915" s="162" t="s">
        <v>749</v>
      </c>
      <c r="L915" s="166"/>
      <c r="M915" s="166"/>
      <c r="N915" s="164"/>
      <c r="O915" s="166"/>
      <c r="P915" s="165"/>
    </row>
    <row r="916" spans="1:16" ht="15" hidden="1" customHeight="1" x14ac:dyDescent="0.25">
      <c r="A916" s="167"/>
      <c r="B916" s="167"/>
      <c r="C916" s="167"/>
      <c r="D916" s="167"/>
      <c r="E916" s="167"/>
      <c r="F916" s="167"/>
      <c r="G916" s="167"/>
      <c r="H916" s="167"/>
      <c r="I916" s="164">
        <f t="shared" ca="1" si="14"/>
        <v>44939</v>
      </c>
      <c r="J916" s="163">
        <v>0.33333333333333331</v>
      </c>
      <c r="K916" s="162" t="s">
        <v>749</v>
      </c>
      <c r="L916" s="166"/>
      <c r="M916" s="166"/>
      <c r="N916" s="164"/>
      <c r="O916" s="166"/>
      <c r="P916" s="165"/>
    </row>
    <row r="917" spans="1:16" ht="15" hidden="1" customHeight="1" x14ac:dyDescent="0.25">
      <c r="A917" s="167"/>
      <c r="B917" s="167"/>
      <c r="C917" s="167"/>
      <c r="D917" s="167"/>
      <c r="E917" s="167"/>
      <c r="F917" s="167"/>
      <c r="G917" s="167"/>
      <c r="H917" s="167"/>
      <c r="I917" s="164">
        <f t="shared" ca="1" si="14"/>
        <v>44939</v>
      </c>
      <c r="J917" s="163">
        <v>0.33333333333333331</v>
      </c>
      <c r="K917" s="162" t="s">
        <v>749</v>
      </c>
      <c r="L917" s="166"/>
      <c r="M917" s="166"/>
      <c r="N917" s="164"/>
      <c r="O917" s="166"/>
      <c r="P917" s="165"/>
    </row>
    <row r="918" spans="1:16" ht="15" hidden="1" customHeight="1" x14ac:dyDescent="0.25">
      <c r="A918" s="167"/>
      <c r="B918" s="167"/>
      <c r="C918" s="167"/>
      <c r="D918" s="167"/>
      <c r="E918" s="167"/>
      <c r="F918" s="167"/>
      <c r="G918" s="167"/>
      <c r="H918" s="167"/>
      <c r="I918" s="164">
        <f t="shared" ca="1" si="14"/>
        <v>44939</v>
      </c>
      <c r="J918" s="163">
        <v>0.33333333333333331</v>
      </c>
      <c r="K918" s="162" t="s">
        <v>749</v>
      </c>
      <c r="L918" s="166"/>
      <c r="M918" s="166"/>
      <c r="N918" s="164"/>
      <c r="O918" s="166"/>
      <c r="P918" s="165"/>
    </row>
    <row r="919" spans="1:16" ht="15" hidden="1" customHeight="1" x14ac:dyDescent="0.25">
      <c r="A919" s="167"/>
      <c r="B919" s="167"/>
      <c r="C919" s="167"/>
      <c r="D919" s="167"/>
      <c r="E919" s="167"/>
      <c r="F919" s="167"/>
      <c r="G919" s="167"/>
      <c r="H919" s="167"/>
      <c r="I919" s="164">
        <f t="shared" ca="1" si="14"/>
        <v>44939</v>
      </c>
      <c r="J919" s="163">
        <v>0.33333333333333331</v>
      </c>
      <c r="K919" s="162" t="s">
        <v>749</v>
      </c>
      <c r="L919" s="166"/>
      <c r="M919" s="166"/>
      <c r="N919" s="164"/>
      <c r="O919" s="166"/>
      <c r="P919" s="165"/>
    </row>
    <row r="920" spans="1:16" ht="15" hidden="1" customHeight="1" x14ac:dyDescent="0.25">
      <c r="A920" s="167"/>
      <c r="B920" s="167"/>
      <c r="C920" s="167"/>
      <c r="D920" s="167"/>
      <c r="E920" s="167"/>
      <c r="F920" s="167"/>
      <c r="G920" s="167"/>
      <c r="H920" s="167"/>
      <c r="I920" s="164">
        <f t="shared" ref="I920:I983" ca="1" si="15">TODAY()</f>
        <v>44939</v>
      </c>
      <c r="J920" s="163">
        <v>0.33333333333333331</v>
      </c>
      <c r="K920" s="162" t="s">
        <v>749</v>
      </c>
      <c r="L920" s="166"/>
      <c r="M920" s="166"/>
      <c r="N920" s="164"/>
      <c r="O920" s="166"/>
      <c r="P920" s="165"/>
    </row>
    <row r="921" spans="1:16" ht="15" hidden="1" customHeight="1" x14ac:dyDescent="0.25">
      <c r="A921" s="167"/>
      <c r="B921" s="167"/>
      <c r="C921" s="167"/>
      <c r="D921" s="167"/>
      <c r="E921" s="167"/>
      <c r="F921" s="167"/>
      <c r="G921" s="167"/>
      <c r="H921" s="167"/>
      <c r="I921" s="164">
        <f t="shared" ca="1" si="15"/>
        <v>44939</v>
      </c>
      <c r="J921" s="163">
        <v>0.33333333333333331</v>
      </c>
      <c r="K921" s="162" t="s">
        <v>749</v>
      </c>
      <c r="L921" s="166"/>
      <c r="M921" s="166"/>
      <c r="N921" s="164"/>
      <c r="O921" s="166"/>
      <c r="P921" s="165"/>
    </row>
    <row r="922" spans="1:16" ht="15" hidden="1" customHeight="1" x14ac:dyDescent="0.25">
      <c r="A922" s="167"/>
      <c r="B922" s="167"/>
      <c r="C922" s="167"/>
      <c r="D922" s="167"/>
      <c r="E922" s="167"/>
      <c r="F922" s="167"/>
      <c r="G922" s="167"/>
      <c r="H922" s="167"/>
      <c r="I922" s="164">
        <f t="shared" ca="1" si="15"/>
        <v>44939</v>
      </c>
      <c r="J922" s="163">
        <v>0.33333333333333331</v>
      </c>
      <c r="K922" s="162" t="s">
        <v>749</v>
      </c>
      <c r="L922" s="166"/>
      <c r="M922" s="166"/>
      <c r="N922" s="164"/>
      <c r="O922" s="166"/>
      <c r="P922" s="165"/>
    </row>
    <row r="923" spans="1:16" ht="15" hidden="1" customHeight="1" x14ac:dyDescent="0.25">
      <c r="A923" s="167"/>
      <c r="B923" s="167"/>
      <c r="C923" s="167"/>
      <c r="D923" s="167"/>
      <c r="E923" s="167"/>
      <c r="F923" s="167"/>
      <c r="G923" s="167"/>
      <c r="H923" s="167"/>
      <c r="I923" s="164">
        <f t="shared" ca="1" si="15"/>
        <v>44939</v>
      </c>
      <c r="J923" s="163">
        <v>0.33333333333333331</v>
      </c>
      <c r="K923" s="162" t="s">
        <v>749</v>
      </c>
      <c r="L923" s="166"/>
      <c r="M923" s="166"/>
      <c r="N923" s="164"/>
      <c r="O923" s="166"/>
      <c r="P923" s="165"/>
    </row>
    <row r="924" spans="1:16" ht="15" hidden="1" customHeight="1" x14ac:dyDescent="0.25">
      <c r="A924" s="167"/>
      <c r="B924" s="167"/>
      <c r="C924" s="167"/>
      <c r="D924" s="167"/>
      <c r="E924" s="167"/>
      <c r="F924" s="167"/>
      <c r="G924" s="167"/>
      <c r="H924" s="167"/>
      <c r="I924" s="164">
        <f t="shared" ca="1" si="15"/>
        <v>44939</v>
      </c>
      <c r="J924" s="163">
        <v>0.33333333333333331</v>
      </c>
      <c r="K924" s="162" t="s">
        <v>749</v>
      </c>
      <c r="L924" s="166"/>
      <c r="M924" s="166"/>
      <c r="N924" s="164"/>
      <c r="O924" s="166"/>
      <c r="P924" s="165"/>
    </row>
    <row r="925" spans="1:16" ht="15" hidden="1" customHeight="1" x14ac:dyDescent="0.25">
      <c r="A925" s="167"/>
      <c r="B925" s="167"/>
      <c r="C925" s="167"/>
      <c r="D925" s="167"/>
      <c r="E925" s="167"/>
      <c r="F925" s="167"/>
      <c r="G925" s="167"/>
      <c r="H925" s="167"/>
      <c r="I925" s="164">
        <f t="shared" ca="1" si="15"/>
        <v>44939</v>
      </c>
      <c r="J925" s="163">
        <v>0.33333333333333331</v>
      </c>
      <c r="K925" s="162" t="s">
        <v>749</v>
      </c>
      <c r="L925" s="166"/>
      <c r="M925" s="166"/>
      <c r="N925" s="164"/>
      <c r="O925" s="166"/>
      <c r="P925" s="165"/>
    </row>
    <row r="926" spans="1:16" ht="15" hidden="1" customHeight="1" x14ac:dyDescent="0.25">
      <c r="A926" s="167"/>
      <c r="B926" s="167"/>
      <c r="C926" s="167"/>
      <c r="D926" s="167"/>
      <c r="E926" s="167"/>
      <c r="F926" s="167"/>
      <c r="G926" s="167"/>
      <c r="H926" s="167"/>
      <c r="I926" s="164">
        <f t="shared" ca="1" si="15"/>
        <v>44939</v>
      </c>
      <c r="J926" s="163">
        <v>0.33333333333333331</v>
      </c>
      <c r="K926" s="162" t="s">
        <v>749</v>
      </c>
      <c r="L926" s="166"/>
      <c r="M926" s="166"/>
      <c r="N926" s="164"/>
      <c r="O926" s="166"/>
      <c r="P926" s="165"/>
    </row>
    <row r="927" spans="1:16" ht="15" hidden="1" customHeight="1" x14ac:dyDescent="0.25">
      <c r="A927" s="167"/>
      <c r="B927" s="167"/>
      <c r="C927" s="167"/>
      <c r="D927" s="167"/>
      <c r="E927" s="167"/>
      <c r="F927" s="167"/>
      <c r="G927" s="167"/>
      <c r="H927" s="167"/>
      <c r="I927" s="164">
        <f t="shared" ca="1" si="15"/>
        <v>44939</v>
      </c>
      <c r="J927" s="163">
        <v>0.33333333333333331</v>
      </c>
      <c r="K927" s="162" t="s">
        <v>749</v>
      </c>
      <c r="L927" s="166"/>
      <c r="M927" s="166"/>
      <c r="N927" s="164"/>
      <c r="O927" s="166"/>
      <c r="P927" s="165"/>
    </row>
    <row r="928" spans="1:16" ht="15" hidden="1" customHeight="1" x14ac:dyDescent="0.25">
      <c r="A928" s="167"/>
      <c r="B928" s="167"/>
      <c r="C928" s="167"/>
      <c r="D928" s="167"/>
      <c r="E928" s="167"/>
      <c r="F928" s="167"/>
      <c r="G928" s="167"/>
      <c r="H928" s="167"/>
      <c r="I928" s="164">
        <f t="shared" ca="1" si="15"/>
        <v>44939</v>
      </c>
      <c r="J928" s="163">
        <v>0.33333333333333331</v>
      </c>
      <c r="K928" s="162" t="s">
        <v>749</v>
      </c>
      <c r="L928" s="166"/>
      <c r="M928" s="166"/>
      <c r="N928" s="164"/>
      <c r="O928" s="166"/>
      <c r="P928" s="165"/>
    </row>
    <row r="929" spans="1:16" ht="15" hidden="1" customHeight="1" x14ac:dyDescent="0.25">
      <c r="A929" s="167"/>
      <c r="B929" s="167"/>
      <c r="C929" s="167"/>
      <c r="D929" s="167"/>
      <c r="E929" s="167"/>
      <c r="F929" s="167"/>
      <c r="G929" s="167"/>
      <c r="H929" s="167"/>
      <c r="I929" s="164">
        <f t="shared" ca="1" si="15"/>
        <v>44939</v>
      </c>
      <c r="J929" s="163">
        <v>0.33333333333333331</v>
      </c>
      <c r="K929" s="162" t="s">
        <v>749</v>
      </c>
      <c r="L929" s="166"/>
      <c r="M929" s="166"/>
      <c r="N929" s="164"/>
      <c r="O929" s="166"/>
      <c r="P929" s="165"/>
    </row>
    <row r="930" spans="1:16" ht="15" hidden="1" customHeight="1" x14ac:dyDescent="0.25">
      <c r="A930" s="167"/>
      <c r="B930" s="167"/>
      <c r="C930" s="167"/>
      <c r="D930" s="167"/>
      <c r="E930" s="167"/>
      <c r="F930" s="167"/>
      <c r="G930" s="167"/>
      <c r="H930" s="167"/>
      <c r="I930" s="164">
        <f t="shared" ca="1" si="15"/>
        <v>44939</v>
      </c>
      <c r="J930" s="163">
        <v>0.33333333333333331</v>
      </c>
      <c r="K930" s="162" t="s">
        <v>749</v>
      </c>
      <c r="L930" s="166"/>
      <c r="M930" s="166"/>
      <c r="N930" s="164"/>
      <c r="O930" s="166"/>
      <c r="P930" s="165"/>
    </row>
    <row r="931" spans="1:16" ht="15" hidden="1" customHeight="1" x14ac:dyDescent="0.25">
      <c r="A931" s="167"/>
      <c r="B931" s="167"/>
      <c r="C931" s="167"/>
      <c r="D931" s="167"/>
      <c r="E931" s="167"/>
      <c r="F931" s="167"/>
      <c r="G931" s="167"/>
      <c r="H931" s="167"/>
      <c r="I931" s="164">
        <f t="shared" ca="1" si="15"/>
        <v>44939</v>
      </c>
      <c r="J931" s="163">
        <v>0.33333333333333331</v>
      </c>
      <c r="K931" s="162" t="s">
        <v>749</v>
      </c>
      <c r="L931" s="166"/>
      <c r="M931" s="166"/>
      <c r="N931" s="164"/>
      <c r="O931" s="166"/>
      <c r="P931" s="165"/>
    </row>
    <row r="932" spans="1:16" ht="15" hidden="1" customHeight="1" x14ac:dyDescent="0.25">
      <c r="A932" s="167"/>
      <c r="B932" s="167"/>
      <c r="C932" s="167"/>
      <c r="D932" s="167"/>
      <c r="E932" s="167"/>
      <c r="F932" s="167"/>
      <c r="G932" s="167"/>
      <c r="H932" s="167"/>
      <c r="I932" s="164">
        <f t="shared" ca="1" si="15"/>
        <v>44939</v>
      </c>
      <c r="J932" s="163">
        <v>0.33333333333333331</v>
      </c>
      <c r="K932" s="162" t="s">
        <v>749</v>
      </c>
      <c r="L932" s="166"/>
      <c r="M932" s="166"/>
      <c r="N932" s="164"/>
      <c r="O932" s="166"/>
      <c r="P932" s="165"/>
    </row>
    <row r="933" spans="1:16" ht="15" hidden="1" customHeight="1" x14ac:dyDescent="0.25">
      <c r="A933" s="168"/>
      <c r="B933" s="167"/>
      <c r="C933" s="168"/>
      <c r="D933" s="167"/>
      <c r="E933" s="167"/>
      <c r="F933" s="167"/>
      <c r="G933" s="167"/>
      <c r="H933" s="167"/>
      <c r="I933" s="164">
        <f t="shared" ca="1" si="15"/>
        <v>44939</v>
      </c>
      <c r="J933" s="163">
        <v>0.33333333333333331</v>
      </c>
      <c r="K933" s="162" t="s">
        <v>749</v>
      </c>
      <c r="L933" s="166"/>
      <c r="M933" s="166"/>
      <c r="N933" s="164"/>
      <c r="O933" s="166"/>
      <c r="P933" s="165"/>
    </row>
    <row r="934" spans="1:16" ht="15" hidden="1" customHeight="1" x14ac:dyDescent="0.25">
      <c r="A934" s="168"/>
      <c r="B934" s="167"/>
      <c r="C934" s="168"/>
      <c r="D934" s="167"/>
      <c r="E934" s="167"/>
      <c r="F934" s="167"/>
      <c r="G934" s="167"/>
      <c r="H934" s="167"/>
      <c r="I934" s="164">
        <f t="shared" ca="1" si="15"/>
        <v>44939</v>
      </c>
      <c r="J934" s="163">
        <v>0.33333333333333331</v>
      </c>
      <c r="K934" s="162" t="s">
        <v>749</v>
      </c>
      <c r="L934" s="166"/>
      <c r="M934" s="166"/>
      <c r="N934" s="164"/>
      <c r="O934" s="166"/>
      <c r="P934" s="165"/>
    </row>
    <row r="935" spans="1:16" ht="15" hidden="1" customHeight="1" x14ac:dyDescent="0.25">
      <c r="A935" s="168"/>
      <c r="B935" s="167"/>
      <c r="C935" s="168"/>
      <c r="D935" s="167"/>
      <c r="E935" s="167"/>
      <c r="F935" s="167"/>
      <c r="G935" s="167"/>
      <c r="H935" s="167"/>
      <c r="I935" s="164">
        <f t="shared" ca="1" si="15"/>
        <v>44939</v>
      </c>
      <c r="J935" s="163">
        <v>0.33333333333333331</v>
      </c>
      <c r="K935" s="162" t="s">
        <v>749</v>
      </c>
      <c r="L935" s="166"/>
      <c r="M935" s="166"/>
      <c r="N935" s="164"/>
      <c r="O935" s="166"/>
      <c r="P935" s="165"/>
    </row>
    <row r="936" spans="1:16" ht="15" hidden="1" customHeight="1" x14ac:dyDescent="0.25">
      <c r="A936" s="168"/>
      <c r="B936" s="167"/>
      <c r="C936" s="168"/>
      <c r="D936" s="167"/>
      <c r="E936" s="167"/>
      <c r="F936" s="167"/>
      <c r="G936" s="167"/>
      <c r="H936" s="167"/>
      <c r="I936" s="164">
        <f t="shared" ca="1" si="15"/>
        <v>44939</v>
      </c>
      <c r="J936" s="163">
        <v>0.33333333333333331</v>
      </c>
      <c r="K936" s="162" t="s">
        <v>749</v>
      </c>
      <c r="L936" s="166"/>
      <c r="M936" s="166"/>
      <c r="N936" s="164"/>
      <c r="O936" s="166"/>
      <c r="P936" s="165"/>
    </row>
    <row r="937" spans="1:16" ht="15" hidden="1" customHeight="1" x14ac:dyDescent="0.25">
      <c r="A937" s="167"/>
      <c r="B937" s="167"/>
      <c r="C937" s="167"/>
      <c r="D937" s="167"/>
      <c r="E937" s="167"/>
      <c r="F937" s="167"/>
      <c r="G937" s="167"/>
      <c r="H937" s="167"/>
      <c r="I937" s="164">
        <f t="shared" ca="1" si="15"/>
        <v>44939</v>
      </c>
      <c r="J937" s="163">
        <v>0.33333333333333331</v>
      </c>
      <c r="K937" s="162" t="s">
        <v>749</v>
      </c>
      <c r="L937" s="166"/>
      <c r="M937" s="166"/>
      <c r="N937" s="164"/>
      <c r="O937" s="166"/>
      <c r="P937" s="165"/>
    </row>
    <row r="938" spans="1:16" ht="15" hidden="1" customHeight="1" x14ac:dyDescent="0.25">
      <c r="A938" s="167"/>
      <c r="B938" s="167"/>
      <c r="C938" s="167"/>
      <c r="D938" s="167"/>
      <c r="E938" s="167"/>
      <c r="F938" s="167"/>
      <c r="G938" s="167"/>
      <c r="H938" s="167"/>
      <c r="I938" s="164">
        <f t="shared" ca="1" si="15"/>
        <v>44939</v>
      </c>
      <c r="J938" s="163">
        <v>0.33333333333333331</v>
      </c>
      <c r="K938" s="162" t="s">
        <v>749</v>
      </c>
      <c r="L938" s="166"/>
      <c r="M938" s="166"/>
      <c r="N938" s="164"/>
      <c r="O938" s="166"/>
      <c r="P938" s="165"/>
    </row>
    <row r="939" spans="1:16" ht="15" hidden="1" customHeight="1" x14ac:dyDescent="0.25">
      <c r="A939" s="167"/>
      <c r="B939" s="167"/>
      <c r="C939" s="167"/>
      <c r="D939" s="167"/>
      <c r="E939" s="167"/>
      <c r="F939" s="167"/>
      <c r="G939" s="167"/>
      <c r="H939" s="167"/>
      <c r="I939" s="164">
        <f t="shared" ca="1" si="15"/>
        <v>44939</v>
      </c>
      <c r="J939" s="163">
        <v>0.33333333333333331</v>
      </c>
      <c r="K939" s="162" t="s">
        <v>749</v>
      </c>
      <c r="L939" s="166"/>
      <c r="M939" s="166"/>
      <c r="N939" s="164"/>
      <c r="O939" s="166"/>
      <c r="P939" s="165"/>
    </row>
    <row r="940" spans="1:16" ht="15" hidden="1" customHeight="1" x14ac:dyDescent="0.25">
      <c r="A940" s="168"/>
      <c r="B940" s="167"/>
      <c r="C940" s="168"/>
      <c r="D940" s="167"/>
      <c r="E940" s="167"/>
      <c r="F940" s="167"/>
      <c r="G940" s="167"/>
      <c r="H940" s="167"/>
      <c r="I940" s="164">
        <f t="shared" ca="1" si="15"/>
        <v>44939</v>
      </c>
      <c r="J940" s="163">
        <v>0.33333333333333331</v>
      </c>
      <c r="K940" s="162" t="s">
        <v>749</v>
      </c>
      <c r="L940" s="166"/>
      <c r="M940" s="166"/>
      <c r="N940" s="164"/>
      <c r="O940" s="166"/>
      <c r="P940" s="165"/>
    </row>
    <row r="941" spans="1:16" ht="15" hidden="1" customHeight="1" x14ac:dyDescent="0.25">
      <c r="A941" s="168"/>
      <c r="B941" s="167"/>
      <c r="C941" s="168"/>
      <c r="D941" s="167"/>
      <c r="E941" s="167"/>
      <c r="F941" s="167"/>
      <c r="G941" s="167"/>
      <c r="H941" s="167"/>
      <c r="I941" s="164">
        <f t="shared" ca="1" si="15"/>
        <v>44939</v>
      </c>
      <c r="J941" s="163">
        <v>0.33333333333333331</v>
      </c>
      <c r="K941" s="162" t="s">
        <v>749</v>
      </c>
      <c r="L941" s="166"/>
      <c r="M941" s="166"/>
      <c r="N941" s="164"/>
      <c r="O941" s="166"/>
      <c r="P941" s="165"/>
    </row>
    <row r="942" spans="1:16" ht="15" hidden="1" customHeight="1" x14ac:dyDescent="0.25">
      <c r="A942" s="168"/>
      <c r="B942" s="167"/>
      <c r="C942" s="168"/>
      <c r="D942" s="167"/>
      <c r="E942" s="167"/>
      <c r="F942" s="167"/>
      <c r="G942" s="167"/>
      <c r="H942" s="167"/>
      <c r="I942" s="164">
        <f t="shared" ca="1" si="15"/>
        <v>44939</v>
      </c>
      <c r="J942" s="163">
        <v>0.33333333333333331</v>
      </c>
      <c r="K942" s="162" t="s">
        <v>749</v>
      </c>
      <c r="L942" s="166"/>
      <c r="M942" s="166"/>
      <c r="N942" s="164"/>
      <c r="O942" s="166"/>
      <c r="P942" s="165"/>
    </row>
    <row r="943" spans="1:16" ht="15" hidden="1" customHeight="1" x14ac:dyDescent="0.25">
      <c r="A943" s="167"/>
      <c r="B943" s="167"/>
      <c r="C943" s="167"/>
      <c r="D943" s="167"/>
      <c r="E943" s="167"/>
      <c r="F943" s="167"/>
      <c r="G943" s="167"/>
      <c r="H943" s="167"/>
      <c r="I943" s="164">
        <f t="shared" ca="1" si="15"/>
        <v>44939</v>
      </c>
      <c r="J943" s="163">
        <v>0.33333333333333331</v>
      </c>
      <c r="K943" s="162" t="s">
        <v>749</v>
      </c>
      <c r="L943" s="166"/>
      <c r="M943" s="166"/>
      <c r="N943" s="164"/>
      <c r="O943" s="166"/>
      <c r="P943" s="165"/>
    </row>
    <row r="944" spans="1:16" ht="15" hidden="1" customHeight="1" x14ac:dyDescent="0.25">
      <c r="A944" s="167"/>
      <c r="B944" s="167"/>
      <c r="C944" s="167"/>
      <c r="D944" s="167"/>
      <c r="E944" s="167"/>
      <c r="F944" s="167"/>
      <c r="G944" s="167"/>
      <c r="H944" s="167"/>
      <c r="I944" s="164">
        <f t="shared" ca="1" si="15"/>
        <v>44939</v>
      </c>
      <c r="J944" s="163">
        <v>0.33333333333333331</v>
      </c>
      <c r="K944" s="162" t="s">
        <v>749</v>
      </c>
      <c r="L944" s="166"/>
      <c r="M944" s="166"/>
      <c r="N944" s="164"/>
      <c r="O944" s="166"/>
      <c r="P944" s="165"/>
    </row>
    <row r="945" spans="1:16" ht="15" hidden="1" customHeight="1" x14ac:dyDescent="0.25">
      <c r="A945" s="167"/>
      <c r="B945" s="167"/>
      <c r="C945" s="167"/>
      <c r="D945" s="167"/>
      <c r="E945" s="167"/>
      <c r="F945" s="167"/>
      <c r="G945" s="167"/>
      <c r="H945" s="167"/>
      <c r="I945" s="164">
        <f t="shared" ca="1" si="15"/>
        <v>44939</v>
      </c>
      <c r="J945" s="163">
        <v>0.33333333333333331</v>
      </c>
      <c r="K945" s="162" t="s">
        <v>749</v>
      </c>
      <c r="L945" s="166"/>
      <c r="M945" s="166"/>
      <c r="N945" s="164"/>
      <c r="O945" s="166"/>
      <c r="P945" s="165"/>
    </row>
    <row r="946" spans="1:16" ht="15" hidden="1" customHeight="1" x14ac:dyDescent="0.25">
      <c r="A946" s="167"/>
      <c r="B946" s="167"/>
      <c r="C946" s="167"/>
      <c r="D946" s="167"/>
      <c r="E946" s="167"/>
      <c r="F946" s="167"/>
      <c r="G946" s="167"/>
      <c r="H946" s="167"/>
      <c r="I946" s="164">
        <f t="shared" ca="1" si="15"/>
        <v>44939</v>
      </c>
      <c r="J946" s="163">
        <v>0.33333333333333331</v>
      </c>
      <c r="K946" s="162" t="s">
        <v>749</v>
      </c>
      <c r="L946" s="166"/>
      <c r="M946" s="166"/>
      <c r="N946" s="164"/>
      <c r="O946" s="166"/>
      <c r="P946" s="165"/>
    </row>
    <row r="947" spans="1:16" ht="15" hidden="1" customHeight="1" x14ac:dyDescent="0.25">
      <c r="A947" s="167"/>
      <c r="B947" s="167"/>
      <c r="C947" s="167"/>
      <c r="D947" s="167"/>
      <c r="E947" s="167"/>
      <c r="F947" s="167"/>
      <c r="G947" s="167"/>
      <c r="H947" s="167"/>
      <c r="I947" s="164">
        <f t="shared" ca="1" si="15"/>
        <v>44939</v>
      </c>
      <c r="J947" s="163">
        <v>0.33333333333333331</v>
      </c>
      <c r="K947" s="162" t="s">
        <v>749</v>
      </c>
      <c r="L947" s="166"/>
      <c r="M947" s="166"/>
      <c r="N947" s="164"/>
      <c r="O947" s="166"/>
      <c r="P947" s="165"/>
    </row>
    <row r="948" spans="1:16" ht="15" hidden="1" customHeight="1" x14ac:dyDescent="0.25">
      <c r="A948" s="167"/>
      <c r="B948" s="167"/>
      <c r="C948" s="167"/>
      <c r="D948" s="167"/>
      <c r="E948" s="167"/>
      <c r="F948" s="167"/>
      <c r="G948" s="167"/>
      <c r="H948" s="167"/>
      <c r="I948" s="164">
        <f t="shared" ca="1" si="15"/>
        <v>44939</v>
      </c>
      <c r="J948" s="163">
        <v>0.33333333333333331</v>
      </c>
      <c r="K948" s="162" t="s">
        <v>749</v>
      </c>
      <c r="L948" s="166"/>
      <c r="M948" s="166"/>
      <c r="N948" s="164"/>
      <c r="O948" s="166"/>
      <c r="P948" s="165"/>
    </row>
    <row r="949" spans="1:16" ht="15" hidden="1" customHeight="1" x14ac:dyDescent="0.25">
      <c r="A949" s="167"/>
      <c r="B949" s="167"/>
      <c r="C949" s="167"/>
      <c r="D949" s="167"/>
      <c r="E949" s="167"/>
      <c r="F949" s="167"/>
      <c r="G949" s="167"/>
      <c r="H949" s="167"/>
      <c r="I949" s="164">
        <f t="shared" ca="1" si="15"/>
        <v>44939</v>
      </c>
      <c r="J949" s="163">
        <v>0.33333333333333331</v>
      </c>
      <c r="K949" s="162" t="s">
        <v>749</v>
      </c>
      <c r="L949" s="166"/>
      <c r="M949" s="166"/>
      <c r="N949" s="164"/>
      <c r="O949" s="166"/>
      <c r="P949" s="165"/>
    </row>
    <row r="950" spans="1:16" ht="15" hidden="1" customHeight="1" x14ac:dyDescent="0.25">
      <c r="A950" s="168"/>
      <c r="B950" s="167"/>
      <c r="C950" s="168"/>
      <c r="D950" s="167"/>
      <c r="E950" s="167"/>
      <c r="F950" s="167"/>
      <c r="G950" s="167"/>
      <c r="H950" s="167"/>
      <c r="I950" s="164">
        <f t="shared" ca="1" si="15"/>
        <v>44939</v>
      </c>
      <c r="J950" s="163">
        <v>0.33333333333333331</v>
      </c>
      <c r="K950" s="162" t="s">
        <v>749</v>
      </c>
      <c r="L950" s="166"/>
      <c r="M950" s="166"/>
      <c r="N950" s="164"/>
      <c r="O950" s="166"/>
      <c r="P950" s="165"/>
    </row>
    <row r="951" spans="1:16" ht="15" hidden="1" customHeight="1" x14ac:dyDescent="0.25">
      <c r="A951" s="168"/>
      <c r="B951" s="167"/>
      <c r="C951" s="168"/>
      <c r="D951" s="167"/>
      <c r="E951" s="167"/>
      <c r="F951" s="167"/>
      <c r="G951" s="167"/>
      <c r="H951" s="167"/>
      <c r="I951" s="164">
        <f t="shared" ca="1" si="15"/>
        <v>44939</v>
      </c>
      <c r="J951" s="163">
        <v>0.33333333333333331</v>
      </c>
      <c r="K951" s="162" t="s">
        <v>749</v>
      </c>
      <c r="L951" s="166"/>
      <c r="M951" s="166"/>
      <c r="N951" s="164"/>
      <c r="O951" s="166"/>
      <c r="P951" s="165"/>
    </row>
    <row r="952" spans="1:16" ht="15" hidden="1" customHeight="1" x14ac:dyDescent="0.25">
      <c r="A952" s="168"/>
      <c r="B952" s="167"/>
      <c r="C952" s="168"/>
      <c r="D952" s="167"/>
      <c r="E952" s="167"/>
      <c r="F952" s="167"/>
      <c r="G952" s="167"/>
      <c r="H952" s="167"/>
      <c r="I952" s="164">
        <f t="shared" ca="1" si="15"/>
        <v>44939</v>
      </c>
      <c r="J952" s="163">
        <v>0.33333333333333331</v>
      </c>
      <c r="K952" s="162" t="s">
        <v>749</v>
      </c>
      <c r="L952" s="166"/>
      <c r="M952" s="166"/>
      <c r="N952" s="164"/>
      <c r="O952" s="166"/>
      <c r="P952" s="165"/>
    </row>
    <row r="953" spans="1:16" ht="15" hidden="1" customHeight="1" x14ac:dyDescent="0.25">
      <c r="A953" s="168"/>
      <c r="B953" s="167"/>
      <c r="C953" s="168"/>
      <c r="D953" s="167"/>
      <c r="E953" s="167"/>
      <c r="F953" s="167"/>
      <c r="G953" s="167"/>
      <c r="H953" s="167"/>
      <c r="I953" s="164">
        <f t="shared" ca="1" si="15"/>
        <v>44939</v>
      </c>
      <c r="J953" s="163">
        <v>0.33333333333333331</v>
      </c>
      <c r="K953" s="162" t="s">
        <v>749</v>
      </c>
      <c r="L953" s="166"/>
      <c r="M953" s="166"/>
      <c r="N953" s="164"/>
      <c r="O953" s="166"/>
      <c r="P953" s="165"/>
    </row>
    <row r="954" spans="1:16" ht="15" hidden="1" customHeight="1" x14ac:dyDescent="0.25">
      <c r="A954" s="167"/>
      <c r="B954" s="167"/>
      <c r="C954" s="167"/>
      <c r="D954" s="167"/>
      <c r="E954" s="167"/>
      <c r="F954" s="167"/>
      <c r="G954" s="167"/>
      <c r="H954" s="167"/>
      <c r="I954" s="164">
        <f t="shared" ca="1" si="15"/>
        <v>44939</v>
      </c>
      <c r="J954" s="163">
        <v>0.33333333333333331</v>
      </c>
      <c r="K954" s="162" t="s">
        <v>749</v>
      </c>
      <c r="L954" s="166"/>
      <c r="M954" s="166"/>
      <c r="N954" s="164"/>
      <c r="O954" s="166"/>
      <c r="P954" s="165"/>
    </row>
    <row r="955" spans="1:16" ht="15" hidden="1" customHeight="1" x14ac:dyDescent="0.25">
      <c r="A955" s="167"/>
      <c r="B955" s="167"/>
      <c r="C955" s="167"/>
      <c r="D955" s="167"/>
      <c r="E955" s="167"/>
      <c r="F955" s="167"/>
      <c r="G955" s="167"/>
      <c r="H955" s="167"/>
      <c r="I955" s="164">
        <f t="shared" ca="1" si="15"/>
        <v>44939</v>
      </c>
      <c r="J955" s="163">
        <v>0.33333333333333331</v>
      </c>
      <c r="K955" s="162" t="s">
        <v>749</v>
      </c>
      <c r="L955" s="166"/>
      <c r="M955" s="166"/>
      <c r="N955" s="164"/>
      <c r="O955" s="166"/>
      <c r="P955" s="165"/>
    </row>
    <row r="956" spans="1:16" ht="15" hidden="1" customHeight="1" x14ac:dyDescent="0.25">
      <c r="A956" s="168"/>
      <c r="B956" s="167"/>
      <c r="C956" s="168"/>
      <c r="D956" s="167"/>
      <c r="E956" s="167"/>
      <c r="F956" s="167"/>
      <c r="G956" s="167"/>
      <c r="H956" s="167"/>
      <c r="I956" s="164">
        <f t="shared" ca="1" si="15"/>
        <v>44939</v>
      </c>
      <c r="J956" s="163">
        <v>0.33333333333333331</v>
      </c>
      <c r="K956" s="162" t="s">
        <v>749</v>
      </c>
      <c r="L956" s="166"/>
      <c r="M956" s="166"/>
      <c r="N956" s="164"/>
      <c r="O956" s="166"/>
      <c r="P956" s="165"/>
    </row>
    <row r="957" spans="1:16" ht="15" hidden="1" customHeight="1" x14ac:dyDescent="0.25">
      <c r="A957" s="168"/>
      <c r="B957" s="167"/>
      <c r="C957" s="168"/>
      <c r="D957" s="167"/>
      <c r="E957" s="167"/>
      <c r="F957" s="167"/>
      <c r="G957" s="167"/>
      <c r="H957" s="167"/>
      <c r="I957" s="164">
        <f t="shared" ca="1" si="15"/>
        <v>44939</v>
      </c>
      <c r="J957" s="163">
        <v>0.33333333333333331</v>
      </c>
      <c r="K957" s="162" t="s">
        <v>749</v>
      </c>
      <c r="L957" s="166"/>
      <c r="M957" s="166"/>
      <c r="N957" s="164"/>
      <c r="O957" s="166"/>
      <c r="P957" s="165"/>
    </row>
    <row r="958" spans="1:16" ht="15" hidden="1" customHeight="1" x14ac:dyDescent="0.25">
      <c r="A958" s="168"/>
      <c r="B958" s="167"/>
      <c r="C958" s="168"/>
      <c r="D958" s="167"/>
      <c r="E958" s="167"/>
      <c r="F958" s="167"/>
      <c r="G958" s="167"/>
      <c r="H958" s="167"/>
      <c r="I958" s="164">
        <f t="shared" ca="1" si="15"/>
        <v>44939</v>
      </c>
      <c r="J958" s="163">
        <v>0.33333333333333331</v>
      </c>
      <c r="K958" s="162" t="s">
        <v>749</v>
      </c>
      <c r="L958" s="166"/>
      <c r="M958" s="166"/>
      <c r="N958" s="164"/>
      <c r="O958" s="166"/>
      <c r="P958" s="165"/>
    </row>
    <row r="959" spans="1:16" ht="15" hidden="1" customHeight="1" x14ac:dyDescent="0.25">
      <c r="A959" s="168"/>
      <c r="B959" s="167"/>
      <c r="C959" s="168"/>
      <c r="D959" s="167"/>
      <c r="E959" s="167"/>
      <c r="F959" s="167"/>
      <c r="G959" s="167"/>
      <c r="H959" s="167"/>
      <c r="I959" s="164">
        <f t="shared" ca="1" si="15"/>
        <v>44939</v>
      </c>
      <c r="J959" s="163">
        <v>0.33333333333333331</v>
      </c>
      <c r="K959" s="162" t="s">
        <v>749</v>
      </c>
      <c r="L959" s="166"/>
      <c r="M959" s="166"/>
      <c r="N959" s="164"/>
      <c r="O959" s="166"/>
      <c r="P959" s="165"/>
    </row>
    <row r="960" spans="1:16" ht="15" hidden="1" customHeight="1" x14ac:dyDescent="0.25">
      <c r="A960" s="168"/>
      <c r="B960" s="167"/>
      <c r="C960" s="168"/>
      <c r="D960" s="167"/>
      <c r="E960" s="167"/>
      <c r="F960" s="167"/>
      <c r="G960" s="167"/>
      <c r="H960" s="167"/>
      <c r="I960" s="164">
        <f t="shared" ca="1" si="15"/>
        <v>44939</v>
      </c>
      <c r="J960" s="163">
        <v>0.33333333333333331</v>
      </c>
      <c r="K960" s="162" t="s">
        <v>749</v>
      </c>
      <c r="L960" s="166"/>
      <c r="M960" s="166"/>
      <c r="N960" s="164"/>
      <c r="O960" s="166"/>
      <c r="P960" s="165"/>
    </row>
    <row r="961" spans="1:16" ht="15" hidden="1" customHeight="1" x14ac:dyDescent="0.25">
      <c r="A961" s="167"/>
      <c r="B961" s="167"/>
      <c r="C961" s="167"/>
      <c r="D961" s="167"/>
      <c r="E961" s="167"/>
      <c r="F961" s="167"/>
      <c r="G961" s="167"/>
      <c r="H961" s="167"/>
      <c r="I961" s="164">
        <f t="shared" ca="1" si="15"/>
        <v>44939</v>
      </c>
      <c r="J961" s="163">
        <v>0.33333333333333331</v>
      </c>
      <c r="K961" s="162" t="s">
        <v>749</v>
      </c>
      <c r="L961" s="166"/>
      <c r="M961" s="166"/>
      <c r="N961" s="164"/>
      <c r="O961" s="166"/>
      <c r="P961" s="165"/>
    </row>
    <row r="962" spans="1:16" ht="15" hidden="1" customHeight="1" x14ac:dyDescent="0.25">
      <c r="A962" s="167"/>
      <c r="B962" s="167"/>
      <c r="C962" s="167"/>
      <c r="D962" s="167"/>
      <c r="E962" s="167"/>
      <c r="F962" s="167"/>
      <c r="G962" s="167"/>
      <c r="H962" s="167"/>
      <c r="I962" s="164">
        <f t="shared" ca="1" si="15"/>
        <v>44939</v>
      </c>
      <c r="J962" s="163">
        <v>0.33333333333333331</v>
      </c>
      <c r="K962" s="162" t="s">
        <v>749</v>
      </c>
      <c r="L962" s="166"/>
      <c r="M962" s="166"/>
      <c r="N962" s="164"/>
      <c r="O962" s="166"/>
      <c r="P962" s="165"/>
    </row>
    <row r="963" spans="1:16" ht="15" hidden="1" customHeight="1" x14ac:dyDescent="0.25">
      <c r="A963" s="167"/>
      <c r="B963" s="167"/>
      <c r="C963" s="167"/>
      <c r="D963" s="167"/>
      <c r="E963" s="167"/>
      <c r="F963" s="167"/>
      <c r="G963" s="167"/>
      <c r="H963" s="167"/>
      <c r="I963" s="164">
        <f t="shared" ca="1" si="15"/>
        <v>44939</v>
      </c>
      <c r="J963" s="163">
        <v>0.33333333333333331</v>
      </c>
      <c r="K963" s="162" t="s">
        <v>749</v>
      </c>
      <c r="L963" s="166"/>
      <c r="M963" s="166"/>
      <c r="N963" s="164"/>
      <c r="O963" s="166"/>
      <c r="P963" s="165"/>
    </row>
    <row r="964" spans="1:16" ht="15" hidden="1" customHeight="1" x14ac:dyDescent="0.25">
      <c r="A964" s="167"/>
      <c r="B964" s="167"/>
      <c r="C964" s="167"/>
      <c r="D964" s="167"/>
      <c r="E964" s="167"/>
      <c r="F964" s="167"/>
      <c r="G964" s="167"/>
      <c r="H964" s="167"/>
      <c r="I964" s="164">
        <f t="shared" ca="1" si="15"/>
        <v>44939</v>
      </c>
      <c r="J964" s="163">
        <v>0.33333333333333331</v>
      </c>
      <c r="K964" s="162" t="s">
        <v>749</v>
      </c>
      <c r="L964" s="166"/>
      <c r="M964" s="166"/>
      <c r="N964" s="164"/>
      <c r="O964" s="166"/>
      <c r="P964" s="165"/>
    </row>
    <row r="965" spans="1:16" ht="15" hidden="1" customHeight="1" x14ac:dyDescent="0.25">
      <c r="A965" s="167"/>
      <c r="B965" s="167"/>
      <c r="C965" s="167"/>
      <c r="D965" s="167"/>
      <c r="E965" s="167"/>
      <c r="F965" s="167"/>
      <c r="G965" s="167"/>
      <c r="H965" s="167"/>
      <c r="I965" s="164">
        <f t="shared" ca="1" si="15"/>
        <v>44939</v>
      </c>
      <c r="J965" s="163">
        <v>0.33333333333333331</v>
      </c>
      <c r="K965" s="162" t="s">
        <v>749</v>
      </c>
      <c r="L965" s="166"/>
      <c r="M965" s="166"/>
      <c r="N965" s="164"/>
      <c r="O965" s="166"/>
      <c r="P965" s="165"/>
    </row>
    <row r="966" spans="1:16" ht="15" hidden="1" customHeight="1" x14ac:dyDescent="0.25">
      <c r="A966" s="167"/>
      <c r="B966" s="167"/>
      <c r="C966" s="167"/>
      <c r="D966" s="167"/>
      <c r="E966" s="167"/>
      <c r="F966" s="167"/>
      <c r="G966" s="167"/>
      <c r="H966" s="167"/>
      <c r="I966" s="164">
        <f t="shared" ca="1" si="15"/>
        <v>44939</v>
      </c>
      <c r="J966" s="163">
        <v>0.33333333333333331</v>
      </c>
      <c r="K966" s="162" t="s">
        <v>749</v>
      </c>
      <c r="L966" s="166"/>
      <c r="M966" s="166"/>
      <c r="N966" s="164"/>
      <c r="O966" s="166"/>
      <c r="P966" s="165"/>
    </row>
    <row r="967" spans="1:16" ht="15" hidden="1" customHeight="1" x14ac:dyDescent="0.25">
      <c r="A967" s="167"/>
      <c r="B967" s="167"/>
      <c r="C967" s="167"/>
      <c r="D967" s="167"/>
      <c r="E967" s="167"/>
      <c r="F967" s="167"/>
      <c r="G967" s="167"/>
      <c r="H967" s="167"/>
      <c r="I967" s="164">
        <f t="shared" ca="1" si="15"/>
        <v>44939</v>
      </c>
      <c r="J967" s="163">
        <v>0.33333333333333331</v>
      </c>
      <c r="K967" s="162" t="s">
        <v>749</v>
      </c>
      <c r="L967" s="166"/>
      <c r="M967" s="166"/>
      <c r="N967" s="164"/>
      <c r="O967" s="166"/>
      <c r="P967" s="165"/>
    </row>
    <row r="968" spans="1:16" ht="15" hidden="1" customHeight="1" x14ac:dyDescent="0.25">
      <c r="A968" s="167"/>
      <c r="B968" s="167"/>
      <c r="C968" s="167"/>
      <c r="D968" s="167"/>
      <c r="E968" s="167"/>
      <c r="F968" s="167"/>
      <c r="G968" s="167"/>
      <c r="H968" s="167"/>
      <c r="I968" s="164">
        <f t="shared" ca="1" si="15"/>
        <v>44939</v>
      </c>
      <c r="J968" s="163">
        <v>0.33333333333333331</v>
      </c>
      <c r="K968" s="162" t="s">
        <v>749</v>
      </c>
      <c r="L968" s="166"/>
      <c r="M968" s="166"/>
      <c r="N968" s="164"/>
      <c r="O968" s="166"/>
      <c r="P968" s="165"/>
    </row>
    <row r="969" spans="1:16" ht="15" hidden="1" customHeight="1" x14ac:dyDescent="0.25">
      <c r="A969" s="167"/>
      <c r="B969" s="167"/>
      <c r="C969" s="167"/>
      <c r="D969" s="167"/>
      <c r="E969" s="167"/>
      <c r="F969" s="167"/>
      <c r="G969" s="167"/>
      <c r="H969" s="167"/>
      <c r="I969" s="164">
        <f t="shared" ca="1" si="15"/>
        <v>44939</v>
      </c>
      <c r="J969" s="163">
        <v>0.33333333333333331</v>
      </c>
      <c r="K969" s="162" t="s">
        <v>749</v>
      </c>
      <c r="L969" s="166"/>
      <c r="M969" s="166"/>
      <c r="N969" s="164"/>
      <c r="O969" s="166"/>
      <c r="P969" s="165"/>
    </row>
    <row r="970" spans="1:16" ht="15" hidden="1" customHeight="1" x14ac:dyDescent="0.25">
      <c r="A970" s="167"/>
      <c r="B970" s="167"/>
      <c r="C970" s="167"/>
      <c r="D970" s="167"/>
      <c r="E970" s="167"/>
      <c r="F970" s="167"/>
      <c r="G970" s="167"/>
      <c r="H970" s="167"/>
      <c r="I970" s="164">
        <f t="shared" ca="1" si="15"/>
        <v>44939</v>
      </c>
      <c r="J970" s="163">
        <v>0.33333333333333331</v>
      </c>
      <c r="K970" s="162" t="s">
        <v>749</v>
      </c>
      <c r="L970" s="166"/>
      <c r="M970" s="166"/>
      <c r="N970" s="164"/>
      <c r="O970" s="166"/>
      <c r="P970" s="165"/>
    </row>
    <row r="971" spans="1:16" ht="15" hidden="1" customHeight="1" x14ac:dyDescent="0.25">
      <c r="A971" s="167"/>
      <c r="B971" s="167"/>
      <c r="C971" s="167"/>
      <c r="D971" s="167"/>
      <c r="E971" s="167"/>
      <c r="F971" s="167"/>
      <c r="G971" s="167"/>
      <c r="H971" s="167"/>
      <c r="I971" s="164">
        <f t="shared" ca="1" si="15"/>
        <v>44939</v>
      </c>
      <c r="J971" s="163">
        <v>0.33333333333333331</v>
      </c>
      <c r="K971" s="162" t="s">
        <v>749</v>
      </c>
      <c r="L971" s="166"/>
      <c r="M971" s="166"/>
      <c r="N971" s="164"/>
      <c r="O971" s="166"/>
      <c r="P971" s="165"/>
    </row>
    <row r="972" spans="1:16" ht="15" hidden="1" customHeight="1" x14ac:dyDescent="0.25">
      <c r="A972" s="167"/>
      <c r="B972" s="167"/>
      <c r="C972" s="167"/>
      <c r="D972" s="167"/>
      <c r="E972" s="167"/>
      <c r="F972" s="167"/>
      <c r="G972" s="167"/>
      <c r="H972" s="167"/>
      <c r="I972" s="164">
        <f t="shared" ca="1" si="15"/>
        <v>44939</v>
      </c>
      <c r="J972" s="163">
        <v>0.33333333333333331</v>
      </c>
      <c r="K972" s="162" t="s">
        <v>749</v>
      </c>
      <c r="L972" s="166"/>
      <c r="M972" s="166"/>
      <c r="N972" s="164"/>
      <c r="O972" s="166"/>
      <c r="P972" s="165"/>
    </row>
    <row r="973" spans="1:16" ht="15" hidden="1" customHeight="1" x14ac:dyDescent="0.25">
      <c r="A973" s="167"/>
      <c r="B973" s="167"/>
      <c r="C973" s="167"/>
      <c r="D973" s="167"/>
      <c r="E973" s="167"/>
      <c r="F973" s="167"/>
      <c r="G973" s="167"/>
      <c r="H973" s="167"/>
      <c r="I973" s="164">
        <f t="shared" ca="1" si="15"/>
        <v>44939</v>
      </c>
      <c r="J973" s="163">
        <v>0.33333333333333331</v>
      </c>
      <c r="K973" s="162" t="s">
        <v>749</v>
      </c>
      <c r="L973" s="166"/>
      <c r="M973" s="166"/>
      <c r="N973" s="164"/>
      <c r="O973" s="166"/>
      <c r="P973" s="165"/>
    </row>
    <row r="974" spans="1:16" ht="15" hidden="1" customHeight="1" x14ac:dyDescent="0.25">
      <c r="A974" s="167"/>
      <c r="B974" s="167"/>
      <c r="C974" s="167"/>
      <c r="D974" s="167"/>
      <c r="E974" s="167"/>
      <c r="F974" s="167"/>
      <c r="G974" s="167"/>
      <c r="H974" s="167"/>
      <c r="I974" s="164">
        <f t="shared" ca="1" si="15"/>
        <v>44939</v>
      </c>
      <c r="J974" s="163">
        <v>0.33333333333333331</v>
      </c>
      <c r="K974" s="162" t="s">
        <v>749</v>
      </c>
      <c r="L974" s="166"/>
      <c r="M974" s="166"/>
      <c r="N974" s="164"/>
      <c r="O974" s="166"/>
      <c r="P974" s="165"/>
    </row>
    <row r="975" spans="1:16" ht="15" hidden="1" customHeight="1" x14ac:dyDescent="0.25">
      <c r="A975" s="167"/>
      <c r="B975" s="167"/>
      <c r="C975" s="167"/>
      <c r="D975" s="167"/>
      <c r="E975" s="167"/>
      <c r="F975" s="167"/>
      <c r="G975" s="167"/>
      <c r="H975" s="167"/>
      <c r="I975" s="164">
        <f t="shared" ca="1" si="15"/>
        <v>44939</v>
      </c>
      <c r="J975" s="163">
        <v>0.33333333333333331</v>
      </c>
      <c r="K975" s="162" t="s">
        <v>749</v>
      </c>
      <c r="L975" s="166"/>
      <c r="M975" s="166"/>
      <c r="N975" s="164"/>
      <c r="O975" s="166"/>
      <c r="P975" s="165"/>
    </row>
    <row r="976" spans="1:16" ht="15" hidden="1" customHeight="1" x14ac:dyDescent="0.25">
      <c r="A976" s="168"/>
      <c r="B976" s="167"/>
      <c r="C976" s="168"/>
      <c r="D976" s="167"/>
      <c r="E976" s="167"/>
      <c r="F976" s="167"/>
      <c r="G976" s="167"/>
      <c r="H976" s="167"/>
      <c r="I976" s="164">
        <f t="shared" ca="1" si="15"/>
        <v>44939</v>
      </c>
      <c r="J976" s="163">
        <v>0.33333333333333331</v>
      </c>
      <c r="K976" s="162" t="s">
        <v>749</v>
      </c>
      <c r="L976" s="166"/>
      <c r="M976" s="166"/>
      <c r="N976" s="164"/>
      <c r="O976" s="166"/>
      <c r="P976" s="165"/>
    </row>
    <row r="977" spans="1:16" ht="15" hidden="1" customHeight="1" x14ac:dyDescent="0.25">
      <c r="A977" s="167"/>
      <c r="B977" s="167"/>
      <c r="C977" s="167"/>
      <c r="D977" s="167"/>
      <c r="E977" s="167"/>
      <c r="F977" s="167"/>
      <c r="G977" s="167"/>
      <c r="H977" s="167"/>
      <c r="I977" s="164">
        <f t="shared" ca="1" si="15"/>
        <v>44939</v>
      </c>
      <c r="J977" s="163">
        <v>0.33333333333333331</v>
      </c>
      <c r="K977" s="162" t="s">
        <v>749</v>
      </c>
      <c r="L977" s="166"/>
      <c r="M977" s="166"/>
      <c r="N977" s="164"/>
      <c r="O977" s="166"/>
      <c r="P977" s="165"/>
    </row>
    <row r="978" spans="1:16" ht="15" hidden="1" customHeight="1" x14ac:dyDescent="0.25">
      <c r="A978" s="168"/>
      <c r="B978" s="167"/>
      <c r="C978" s="168"/>
      <c r="D978" s="167"/>
      <c r="E978" s="167"/>
      <c r="F978" s="167"/>
      <c r="G978" s="167"/>
      <c r="H978" s="167"/>
      <c r="I978" s="164">
        <f t="shared" ca="1" si="15"/>
        <v>44939</v>
      </c>
      <c r="J978" s="163">
        <v>0.33333333333333331</v>
      </c>
      <c r="K978" s="162" t="s">
        <v>749</v>
      </c>
      <c r="L978" s="166"/>
      <c r="M978" s="166"/>
      <c r="N978" s="164"/>
      <c r="O978" s="166"/>
      <c r="P978" s="165"/>
    </row>
    <row r="979" spans="1:16" ht="15" hidden="1" customHeight="1" x14ac:dyDescent="0.25">
      <c r="A979" s="168"/>
      <c r="B979" s="167"/>
      <c r="C979" s="168"/>
      <c r="D979" s="167"/>
      <c r="E979" s="167"/>
      <c r="F979" s="167"/>
      <c r="G979" s="167"/>
      <c r="H979" s="167"/>
      <c r="I979" s="164">
        <f t="shared" ca="1" si="15"/>
        <v>44939</v>
      </c>
      <c r="J979" s="163">
        <v>0.33333333333333331</v>
      </c>
      <c r="K979" s="162" t="s">
        <v>749</v>
      </c>
      <c r="L979" s="166"/>
      <c r="M979" s="166"/>
      <c r="N979" s="164"/>
      <c r="O979" s="166"/>
      <c r="P979" s="165"/>
    </row>
    <row r="980" spans="1:16" ht="15" hidden="1" customHeight="1" x14ac:dyDescent="0.25">
      <c r="A980" s="168"/>
      <c r="B980" s="167"/>
      <c r="C980" s="168"/>
      <c r="D980" s="167"/>
      <c r="E980" s="167"/>
      <c r="F980" s="167"/>
      <c r="G980" s="167"/>
      <c r="H980" s="167"/>
      <c r="I980" s="164">
        <f t="shared" ca="1" si="15"/>
        <v>44939</v>
      </c>
      <c r="J980" s="163">
        <v>0.33333333333333331</v>
      </c>
      <c r="K980" s="162" t="s">
        <v>749</v>
      </c>
      <c r="L980" s="166"/>
      <c r="M980" s="166"/>
      <c r="N980" s="164"/>
      <c r="O980" s="166"/>
      <c r="P980" s="165"/>
    </row>
    <row r="981" spans="1:16" ht="15" hidden="1" customHeight="1" x14ac:dyDescent="0.25">
      <c r="A981" s="168"/>
      <c r="B981" s="167"/>
      <c r="C981" s="168"/>
      <c r="D981" s="167"/>
      <c r="E981" s="167"/>
      <c r="F981" s="167"/>
      <c r="G981" s="167"/>
      <c r="H981" s="167"/>
      <c r="I981" s="164">
        <f t="shared" ca="1" si="15"/>
        <v>44939</v>
      </c>
      <c r="J981" s="163">
        <v>0.33333333333333331</v>
      </c>
      <c r="K981" s="162" t="s">
        <v>749</v>
      </c>
      <c r="L981" s="166"/>
      <c r="M981" s="166"/>
      <c r="N981" s="164"/>
      <c r="O981" s="166"/>
      <c r="P981" s="165"/>
    </row>
    <row r="982" spans="1:16" ht="15" hidden="1" customHeight="1" x14ac:dyDescent="0.25">
      <c r="A982" s="168"/>
      <c r="B982" s="167"/>
      <c r="C982" s="168"/>
      <c r="D982" s="167"/>
      <c r="E982" s="167"/>
      <c r="F982" s="167"/>
      <c r="G982" s="167"/>
      <c r="H982" s="167"/>
      <c r="I982" s="164">
        <f t="shared" ca="1" si="15"/>
        <v>44939</v>
      </c>
      <c r="J982" s="163">
        <v>0.33333333333333331</v>
      </c>
      <c r="K982" s="162" t="s">
        <v>749</v>
      </c>
      <c r="L982" s="166"/>
      <c r="M982" s="166"/>
      <c r="N982" s="164"/>
      <c r="O982" s="166"/>
      <c r="P982" s="165"/>
    </row>
    <row r="983" spans="1:16" ht="15" hidden="1" customHeight="1" x14ac:dyDescent="0.25">
      <c r="A983" s="168"/>
      <c r="B983" s="167"/>
      <c r="C983" s="168"/>
      <c r="D983" s="167"/>
      <c r="E983" s="167"/>
      <c r="F983" s="167"/>
      <c r="G983" s="167"/>
      <c r="H983" s="167"/>
      <c r="I983" s="164">
        <f t="shared" ca="1" si="15"/>
        <v>44939</v>
      </c>
      <c r="J983" s="163">
        <v>0.33333333333333331</v>
      </c>
      <c r="K983" s="162" t="s">
        <v>749</v>
      </c>
      <c r="L983" s="166"/>
      <c r="M983" s="166"/>
      <c r="N983" s="164"/>
      <c r="O983" s="166"/>
      <c r="P983" s="165"/>
    </row>
    <row r="984" spans="1:16" ht="15" hidden="1" customHeight="1" x14ac:dyDescent="0.25">
      <c r="A984" s="167"/>
      <c r="B984" s="167"/>
      <c r="C984" s="167"/>
      <c r="D984" s="167"/>
      <c r="E984" s="167"/>
      <c r="F984" s="167"/>
      <c r="G984" s="167"/>
      <c r="H984" s="167"/>
      <c r="I984" s="164">
        <f t="shared" ref="I984:I1047" ca="1" si="16">TODAY()</f>
        <v>44939</v>
      </c>
      <c r="J984" s="163">
        <v>0.33333333333333331</v>
      </c>
      <c r="K984" s="162" t="s">
        <v>749</v>
      </c>
      <c r="L984" s="166"/>
      <c r="M984" s="166"/>
      <c r="N984" s="164"/>
      <c r="O984" s="166"/>
      <c r="P984" s="165"/>
    </row>
    <row r="985" spans="1:16" ht="15" hidden="1" customHeight="1" x14ac:dyDescent="0.25">
      <c r="A985" s="167"/>
      <c r="B985" s="167"/>
      <c r="C985" s="167"/>
      <c r="D985" s="167"/>
      <c r="E985" s="167"/>
      <c r="F985" s="167"/>
      <c r="G985" s="167"/>
      <c r="H985" s="167"/>
      <c r="I985" s="164">
        <f t="shared" ca="1" si="16"/>
        <v>44939</v>
      </c>
      <c r="J985" s="163">
        <v>0.33333333333333331</v>
      </c>
      <c r="K985" s="162" t="s">
        <v>749</v>
      </c>
      <c r="L985" s="166"/>
      <c r="M985" s="166"/>
      <c r="N985" s="164"/>
      <c r="O985" s="166"/>
      <c r="P985" s="165"/>
    </row>
    <row r="986" spans="1:16" ht="15" hidden="1" customHeight="1" x14ac:dyDescent="0.25">
      <c r="A986" s="167"/>
      <c r="B986" s="167"/>
      <c r="C986" s="167"/>
      <c r="D986" s="167"/>
      <c r="E986" s="167"/>
      <c r="F986" s="167"/>
      <c r="G986" s="167"/>
      <c r="H986" s="167"/>
      <c r="I986" s="164">
        <f t="shared" ca="1" si="16"/>
        <v>44939</v>
      </c>
      <c r="J986" s="163">
        <v>0.33333333333333331</v>
      </c>
      <c r="K986" s="162" t="s">
        <v>749</v>
      </c>
      <c r="L986" s="166"/>
      <c r="M986" s="166"/>
      <c r="N986" s="164"/>
      <c r="O986" s="166"/>
      <c r="P986" s="165"/>
    </row>
    <row r="987" spans="1:16" ht="15" hidden="1" customHeight="1" x14ac:dyDescent="0.25">
      <c r="A987" s="167"/>
      <c r="B987" s="167"/>
      <c r="C987" s="167"/>
      <c r="D987" s="167"/>
      <c r="E987" s="167"/>
      <c r="F987" s="167"/>
      <c r="G987" s="167"/>
      <c r="H987" s="167"/>
      <c r="I987" s="164">
        <f t="shared" ca="1" si="16"/>
        <v>44939</v>
      </c>
      <c r="J987" s="163">
        <v>0.33333333333333331</v>
      </c>
      <c r="K987" s="162" t="s">
        <v>749</v>
      </c>
      <c r="L987" s="166"/>
      <c r="M987" s="166"/>
      <c r="N987" s="164"/>
      <c r="O987" s="166"/>
      <c r="P987" s="165"/>
    </row>
    <row r="988" spans="1:16" ht="15" hidden="1" customHeight="1" x14ac:dyDescent="0.25">
      <c r="A988" s="167"/>
      <c r="B988" s="167"/>
      <c r="C988" s="167"/>
      <c r="D988" s="167"/>
      <c r="E988" s="167"/>
      <c r="F988" s="167"/>
      <c r="G988" s="167"/>
      <c r="H988" s="167"/>
      <c r="I988" s="164">
        <f t="shared" ca="1" si="16"/>
        <v>44939</v>
      </c>
      <c r="J988" s="163">
        <v>0.33333333333333331</v>
      </c>
      <c r="K988" s="162" t="s">
        <v>749</v>
      </c>
      <c r="L988" s="166"/>
      <c r="M988" s="166"/>
      <c r="N988" s="164"/>
      <c r="O988" s="166"/>
      <c r="P988" s="165"/>
    </row>
    <row r="989" spans="1:16" ht="15" hidden="1" customHeight="1" x14ac:dyDescent="0.25">
      <c r="A989" s="167"/>
      <c r="B989" s="167"/>
      <c r="C989" s="167"/>
      <c r="D989" s="167"/>
      <c r="E989" s="167"/>
      <c r="F989" s="167"/>
      <c r="G989" s="167"/>
      <c r="H989" s="167"/>
      <c r="I989" s="164">
        <f t="shared" ca="1" si="16"/>
        <v>44939</v>
      </c>
      <c r="J989" s="163">
        <v>0.33333333333333331</v>
      </c>
      <c r="K989" s="162" t="s">
        <v>749</v>
      </c>
      <c r="L989" s="166"/>
      <c r="M989" s="166"/>
      <c r="N989" s="164"/>
      <c r="O989" s="166"/>
      <c r="P989" s="165"/>
    </row>
    <row r="990" spans="1:16" ht="15" hidden="1" customHeight="1" x14ac:dyDescent="0.25">
      <c r="A990" s="167"/>
      <c r="B990" s="167"/>
      <c r="C990" s="167"/>
      <c r="D990" s="167"/>
      <c r="E990" s="167"/>
      <c r="F990" s="167"/>
      <c r="G990" s="167"/>
      <c r="H990" s="167"/>
      <c r="I990" s="164">
        <f t="shared" ca="1" si="16"/>
        <v>44939</v>
      </c>
      <c r="J990" s="163">
        <v>0.33333333333333331</v>
      </c>
      <c r="K990" s="162" t="s">
        <v>749</v>
      </c>
      <c r="L990" s="166"/>
      <c r="M990" s="166"/>
      <c r="N990" s="164"/>
      <c r="O990" s="166"/>
      <c r="P990" s="165"/>
    </row>
    <row r="991" spans="1:16" ht="15" hidden="1" customHeight="1" x14ac:dyDescent="0.25">
      <c r="A991" s="167"/>
      <c r="B991" s="167"/>
      <c r="C991" s="167"/>
      <c r="D991" s="167"/>
      <c r="E991" s="167"/>
      <c r="F991" s="167"/>
      <c r="G991" s="167"/>
      <c r="H991" s="167"/>
      <c r="I991" s="164">
        <f t="shared" ca="1" si="16"/>
        <v>44939</v>
      </c>
      <c r="J991" s="163">
        <v>0.33333333333333331</v>
      </c>
      <c r="K991" s="162" t="s">
        <v>749</v>
      </c>
      <c r="L991" s="166"/>
      <c r="M991" s="166"/>
      <c r="N991" s="164"/>
      <c r="O991" s="166"/>
      <c r="P991" s="165"/>
    </row>
    <row r="992" spans="1:16" ht="15" hidden="1" customHeight="1" x14ac:dyDescent="0.25">
      <c r="A992" s="167"/>
      <c r="B992" s="167"/>
      <c r="C992" s="167"/>
      <c r="D992" s="167"/>
      <c r="E992" s="167"/>
      <c r="F992" s="167"/>
      <c r="G992" s="167"/>
      <c r="H992" s="167"/>
      <c r="I992" s="164">
        <f t="shared" ca="1" si="16"/>
        <v>44939</v>
      </c>
      <c r="J992" s="163">
        <v>0.33333333333333331</v>
      </c>
      <c r="K992" s="162" t="s">
        <v>749</v>
      </c>
      <c r="L992" s="166"/>
      <c r="M992" s="166"/>
      <c r="N992" s="164"/>
      <c r="O992" s="166"/>
      <c r="P992" s="165"/>
    </row>
    <row r="993" spans="1:16" ht="15" hidden="1" customHeight="1" x14ac:dyDescent="0.25">
      <c r="A993" s="167"/>
      <c r="B993" s="167"/>
      <c r="C993" s="167"/>
      <c r="D993" s="167"/>
      <c r="E993" s="167"/>
      <c r="F993" s="167"/>
      <c r="G993" s="167"/>
      <c r="H993" s="167"/>
      <c r="I993" s="164">
        <f t="shared" ca="1" si="16"/>
        <v>44939</v>
      </c>
      <c r="J993" s="163">
        <v>0.33333333333333331</v>
      </c>
      <c r="K993" s="162" t="s">
        <v>749</v>
      </c>
      <c r="L993" s="166"/>
      <c r="M993" s="166"/>
      <c r="N993" s="164"/>
      <c r="O993" s="166"/>
      <c r="P993" s="165"/>
    </row>
    <row r="994" spans="1:16" ht="15" hidden="1" customHeight="1" x14ac:dyDescent="0.25">
      <c r="A994" s="167"/>
      <c r="B994" s="167"/>
      <c r="C994" s="167"/>
      <c r="D994" s="167"/>
      <c r="E994" s="167"/>
      <c r="F994" s="167"/>
      <c r="G994" s="167"/>
      <c r="H994" s="167"/>
      <c r="I994" s="164">
        <f t="shared" ca="1" si="16"/>
        <v>44939</v>
      </c>
      <c r="J994" s="163">
        <v>0.33333333333333331</v>
      </c>
      <c r="K994" s="162" t="s">
        <v>749</v>
      </c>
      <c r="L994" s="166"/>
      <c r="M994" s="166"/>
      <c r="N994" s="164"/>
      <c r="O994" s="166"/>
      <c r="P994" s="165"/>
    </row>
    <row r="995" spans="1:16" ht="15" hidden="1" customHeight="1" x14ac:dyDescent="0.25">
      <c r="A995" s="167"/>
      <c r="B995" s="167"/>
      <c r="C995" s="167"/>
      <c r="D995" s="167"/>
      <c r="E995" s="167"/>
      <c r="F995" s="167"/>
      <c r="G995" s="167"/>
      <c r="H995" s="167"/>
      <c r="I995" s="164">
        <f t="shared" ca="1" si="16"/>
        <v>44939</v>
      </c>
      <c r="J995" s="163">
        <v>0.33333333333333331</v>
      </c>
      <c r="K995" s="162" t="s">
        <v>749</v>
      </c>
      <c r="L995" s="166"/>
      <c r="M995" s="166"/>
      <c r="N995" s="164"/>
      <c r="O995" s="166"/>
      <c r="P995" s="165"/>
    </row>
    <row r="996" spans="1:16" ht="15" hidden="1" customHeight="1" x14ac:dyDescent="0.25">
      <c r="A996" s="167"/>
      <c r="B996" s="167"/>
      <c r="C996" s="167"/>
      <c r="D996" s="167"/>
      <c r="E996" s="167"/>
      <c r="F996" s="167"/>
      <c r="G996" s="167"/>
      <c r="H996" s="167"/>
      <c r="I996" s="164">
        <f t="shared" ca="1" si="16"/>
        <v>44939</v>
      </c>
      <c r="J996" s="163">
        <v>0.33333333333333331</v>
      </c>
      <c r="K996" s="162" t="s">
        <v>749</v>
      </c>
      <c r="L996" s="166"/>
      <c r="M996" s="166"/>
      <c r="N996" s="164"/>
      <c r="O996" s="166"/>
      <c r="P996" s="165"/>
    </row>
    <row r="997" spans="1:16" ht="15" hidden="1" customHeight="1" x14ac:dyDescent="0.25">
      <c r="A997" s="160"/>
      <c r="B997" s="167"/>
      <c r="C997" s="167"/>
      <c r="D997" s="167"/>
      <c r="E997" s="167"/>
      <c r="F997" s="167"/>
      <c r="G997" s="167"/>
      <c r="H997" s="167"/>
      <c r="I997" s="164">
        <f t="shared" ca="1" si="16"/>
        <v>44939</v>
      </c>
      <c r="J997" s="163">
        <v>0.33333333333333331</v>
      </c>
      <c r="K997" s="162" t="s">
        <v>749</v>
      </c>
      <c r="L997" s="166"/>
      <c r="M997" s="166"/>
      <c r="N997" s="164"/>
      <c r="O997" s="166"/>
      <c r="P997" s="165"/>
    </row>
    <row r="998" spans="1:16" ht="15" hidden="1" customHeight="1" x14ac:dyDescent="0.25">
      <c r="A998" s="168"/>
      <c r="B998" s="167"/>
      <c r="C998" s="168"/>
      <c r="D998" s="167"/>
      <c r="E998" s="167"/>
      <c r="F998" s="167"/>
      <c r="G998" s="167"/>
      <c r="H998" s="167"/>
      <c r="I998" s="164">
        <f t="shared" ca="1" si="16"/>
        <v>44939</v>
      </c>
      <c r="J998" s="163">
        <v>0.33333333333333331</v>
      </c>
      <c r="K998" s="162" t="s">
        <v>749</v>
      </c>
      <c r="L998" s="166"/>
      <c r="M998" s="166"/>
      <c r="N998" s="164"/>
      <c r="O998" s="166"/>
      <c r="P998" s="165"/>
    </row>
    <row r="999" spans="1:16" ht="15" hidden="1" customHeight="1" x14ac:dyDescent="0.25">
      <c r="A999" s="168"/>
      <c r="B999" s="167"/>
      <c r="C999" s="168"/>
      <c r="D999" s="167"/>
      <c r="E999" s="167"/>
      <c r="F999" s="167"/>
      <c r="G999" s="167"/>
      <c r="H999" s="167"/>
      <c r="I999" s="164">
        <f t="shared" ca="1" si="16"/>
        <v>44939</v>
      </c>
      <c r="J999" s="163">
        <v>0.33333333333333331</v>
      </c>
      <c r="K999" s="162" t="s">
        <v>749</v>
      </c>
      <c r="L999" s="166"/>
      <c r="M999" s="166"/>
      <c r="N999" s="164"/>
      <c r="O999" s="166"/>
      <c r="P999" s="165"/>
    </row>
    <row r="1000" spans="1:16" ht="15" hidden="1" customHeight="1" x14ac:dyDescent="0.25">
      <c r="A1000" s="167"/>
      <c r="B1000" s="167"/>
      <c r="C1000" s="167"/>
      <c r="D1000" s="167"/>
      <c r="E1000" s="167"/>
      <c r="F1000" s="167"/>
      <c r="G1000" s="167"/>
      <c r="H1000" s="167"/>
      <c r="I1000" s="164">
        <f t="shared" ca="1" si="16"/>
        <v>44939</v>
      </c>
      <c r="J1000" s="163">
        <v>0.33333333333333331</v>
      </c>
      <c r="K1000" s="162" t="s">
        <v>749</v>
      </c>
      <c r="L1000" s="166"/>
      <c r="M1000" s="166"/>
      <c r="N1000" s="164"/>
      <c r="O1000" s="166"/>
      <c r="P1000" s="165"/>
    </row>
    <row r="1001" spans="1:16" ht="15" hidden="1" customHeight="1" x14ac:dyDescent="0.25">
      <c r="A1001" s="167"/>
      <c r="B1001" s="167"/>
      <c r="C1001" s="167"/>
      <c r="D1001" s="167"/>
      <c r="E1001" s="167"/>
      <c r="F1001" s="167"/>
      <c r="G1001" s="167"/>
      <c r="H1001" s="167"/>
      <c r="I1001" s="164">
        <f t="shared" ca="1" si="16"/>
        <v>44939</v>
      </c>
      <c r="J1001" s="163">
        <v>0.33333333333333331</v>
      </c>
      <c r="K1001" s="162" t="s">
        <v>749</v>
      </c>
      <c r="L1001" s="166"/>
      <c r="M1001" s="166"/>
      <c r="N1001" s="164"/>
      <c r="O1001" s="166"/>
      <c r="P1001" s="165"/>
    </row>
    <row r="1002" spans="1:16" ht="15" hidden="1" customHeight="1" x14ac:dyDescent="0.25">
      <c r="A1002" s="167"/>
      <c r="B1002" s="167"/>
      <c r="C1002" s="167"/>
      <c r="D1002" s="167"/>
      <c r="E1002" s="167"/>
      <c r="F1002" s="167"/>
      <c r="G1002" s="167"/>
      <c r="H1002" s="167"/>
      <c r="I1002" s="164">
        <f t="shared" ca="1" si="16"/>
        <v>44939</v>
      </c>
      <c r="J1002" s="163">
        <v>0.33333333333333331</v>
      </c>
      <c r="K1002" s="162" t="s">
        <v>749</v>
      </c>
      <c r="L1002" s="166"/>
      <c r="M1002" s="166"/>
      <c r="N1002" s="164"/>
      <c r="O1002" s="166"/>
      <c r="P1002" s="165"/>
    </row>
    <row r="1003" spans="1:16" ht="15" hidden="1" customHeight="1" x14ac:dyDescent="0.25">
      <c r="A1003" s="167"/>
      <c r="B1003" s="167"/>
      <c r="C1003" s="167"/>
      <c r="D1003" s="167"/>
      <c r="E1003" s="167"/>
      <c r="F1003" s="167"/>
      <c r="G1003" s="167"/>
      <c r="H1003" s="167"/>
      <c r="I1003" s="164">
        <f t="shared" ca="1" si="16"/>
        <v>44939</v>
      </c>
      <c r="J1003" s="163">
        <v>0.33333333333333331</v>
      </c>
      <c r="K1003" s="162" t="s">
        <v>749</v>
      </c>
      <c r="L1003" s="166"/>
      <c r="M1003" s="166"/>
      <c r="N1003" s="164"/>
      <c r="O1003" s="166"/>
      <c r="P1003" s="165"/>
    </row>
    <row r="1004" spans="1:16" ht="15" hidden="1" customHeight="1" x14ac:dyDescent="0.25">
      <c r="A1004" s="167"/>
      <c r="B1004" s="167"/>
      <c r="C1004" s="167"/>
      <c r="D1004" s="167"/>
      <c r="E1004" s="167"/>
      <c r="F1004" s="167"/>
      <c r="G1004" s="167"/>
      <c r="H1004" s="167"/>
      <c r="I1004" s="164">
        <f t="shared" ca="1" si="16"/>
        <v>44939</v>
      </c>
      <c r="J1004" s="163">
        <v>0.33333333333333331</v>
      </c>
      <c r="K1004" s="162" t="s">
        <v>749</v>
      </c>
      <c r="L1004" s="166"/>
      <c r="M1004" s="166"/>
      <c r="N1004" s="164"/>
      <c r="O1004" s="166"/>
      <c r="P1004" s="165"/>
    </row>
    <row r="1005" spans="1:16" ht="15" hidden="1" customHeight="1" x14ac:dyDescent="0.25">
      <c r="A1005" s="167"/>
      <c r="B1005" s="167"/>
      <c r="C1005" s="167"/>
      <c r="D1005" s="167"/>
      <c r="E1005" s="167"/>
      <c r="F1005" s="167"/>
      <c r="G1005" s="167"/>
      <c r="H1005" s="167"/>
      <c r="I1005" s="164">
        <f t="shared" ca="1" si="16"/>
        <v>44939</v>
      </c>
      <c r="J1005" s="163">
        <v>0.33333333333333331</v>
      </c>
      <c r="K1005" s="162" t="s">
        <v>749</v>
      </c>
      <c r="L1005" s="166"/>
      <c r="M1005" s="166"/>
      <c r="N1005" s="164"/>
      <c r="O1005" s="166"/>
      <c r="P1005" s="165"/>
    </row>
    <row r="1006" spans="1:16" ht="15" hidden="1" customHeight="1" x14ac:dyDescent="0.25">
      <c r="A1006" s="167"/>
      <c r="B1006" s="167"/>
      <c r="C1006" s="167"/>
      <c r="D1006" s="167"/>
      <c r="E1006" s="167"/>
      <c r="F1006" s="167"/>
      <c r="G1006" s="167"/>
      <c r="H1006" s="167"/>
      <c r="I1006" s="164">
        <f t="shared" ca="1" si="16"/>
        <v>44939</v>
      </c>
      <c r="J1006" s="163">
        <v>0.33333333333333331</v>
      </c>
      <c r="K1006" s="162" t="s">
        <v>749</v>
      </c>
      <c r="L1006" s="166"/>
      <c r="M1006" s="166"/>
      <c r="N1006" s="164"/>
      <c r="O1006" s="166"/>
      <c r="P1006" s="165"/>
    </row>
    <row r="1007" spans="1:16" ht="15" hidden="1" customHeight="1" x14ac:dyDescent="0.25">
      <c r="A1007" s="168"/>
      <c r="B1007" s="167"/>
      <c r="C1007" s="168"/>
      <c r="D1007" s="167"/>
      <c r="E1007" s="167"/>
      <c r="F1007" s="167"/>
      <c r="G1007" s="167"/>
      <c r="H1007" s="167"/>
      <c r="I1007" s="164">
        <f t="shared" ca="1" si="16"/>
        <v>44939</v>
      </c>
      <c r="J1007" s="163">
        <v>0.33333333333333331</v>
      </c>
      <c r="K1007" s="162" t="s">
        <v>749</v>
      </c>
      <c r="L1007" s="166"/>
      <c r="M1007" s="166"/>
      <c r="N1007" s="164"/>
      <c r="O1007" s="166"/>
      <c r="P1007" s="165"/>
    </row>
    <row r="1008" spans="1:16" ht="15" hidden="1" customHeight="1" x14ac:dyDescent="0.25">
      <c r="A1008" s="167"/>
      <c r="B1008" s="167"/>
      <c r="C1008" s="167"/>
      <c r="D1008" s="167"/>
      <c r="E1008" s="167"/>
      <c r="F1008" s="167"/>
      <c r="G1008" s="167"/>
      <c r="H1008" s="167"/>
      <c r="I1008" s="164">
        <f t="shared" ca="1" si="16"/>
        <v>44939</v>
      </c>
      <c r="J1008" s="163">
        <v>0.33333333333333331</v>
      </c>
      <c r="K1008" s="162" t="s">
        <v>749</v>
      </c>
      <c r="L1008" s="166"/>
      <c r="M1008" s="166"/>
      <c r="N1008" s="164"/>
      <c r="O1008" s="166"/>
      <c r="P1008" s="165"/>
    </row>
    <row r="1009" spans="1:16" ht="15" hidden="1" customHeight="1" x14ac:dyDescent="0.25">
      <c r="A1009" s="168"/>
      <c r="B1009" s="167"/>
      <c r="C1009" s="168"/>
      <c r="D1009" s="167"/>
      <c r="E1009" s="167"/>
      <c r="F1009" s="167"/>
      <c r="G1009" s="167"/>
      <c r="H1009" s="167"/>
      <c r="I1009" s="164">
        <f t="shared" ca="1" si="16"/>
        <v>44939</v>
      </c>
      <c r="J1009" s="163">
        <v>0.33333333333333331</v>
      </c>
      <c r="K1009" s="162" t="s">
        <v>749</v>
      </c>
      <c r="L1009" s="166"/>
      <c r="M1009" s="166"/>
      <c r="N1009" s="164"/>
      <c r="O1009" s="166"/>
      <c r="P1009" s="165"/>
    </row>
    <row r="1010" spans="1:16" ht="15" hidden="1" customHeight="1" x14ac:dyDescent="0.25">
      <c r="A1010" s="168"/>
      <c r="B1010" s="167"/>
      <c r="C1010" s="168"/>
      <c r="D1010" s="167"/>
      <c r="E1010" s="167"/>
      <c r="F1010" s="167"/>
      <c r="G1010" s="167"/>
      <c r="H1010" s="167"/>
      <c r="I1010" s="164">
        <f t="shared" ca="1" si="16"/>
        <v>44939</v>
      </c>
      <c r="J1010" s="163">
        <v>0.33333333333333331</v>
      </c>
      <c r="K1010" s="162" t="s">
        <v>749</v>
      </c>
      <c r="L1010" s="166"/>
      <c r="M1010" s="166"/>
      <c r="N1010" s="164"/>
      <c r="O1010" s="166"/>
      <c r="P1010" s="165"/>
    </row>
    <row r="1011" spans="1:16" ht="15" hidden="1" customHeight="1" x14ac:dyDescent="0.25">
      <c r="A1011" s="167"/>
      <c r="B1011" s="167"/>
      <c r="C1011" s="167"/>
      <c r="D1011" s="167"/>
      <c r="E1011" s="167"/>
      <c r="F1011" s="167"/>
      <c r="G1011" s="167"/>
      <c r="H1011" s="167"/>
      <c r="I1011" s="164">
        <f t="shared" ca="1" si="16"/>
        <v>44939</v>
      </c>
      <c r="J1011" s="163">
        <v>0.33333333333333331</v>
      </c>
      <c r="K1011" s="162" t="s">
        <v>749</v>
      </c>
      <c r="L1011" s="166"/>
      <c r="M1011" s="166"/>
      <c r="N1011" s="164"/>
      <c r="O1011" s="166"/>
      <c r="P1011" s="165"/>
    </row>
    <row r="1012" spans="1:16" ht="15" hidden="1" customHeight="1" x14ac:dyDescent="0.25">
      <c r="A1012" s="167"/>
      <c r="B1012" s="167"/>
      <c r="C1012" s="167"/>
      <c r="D1012" s="167"/>
      <c r="E1012" s="167"/>
      <c r="F1012" s="167"/>
      <c r="G1012" s="167"/>
      <c r="H1012" s="167"/>
      <c r="I1012" s="164">
        <f t="shared" ca="1" si="16"/>
        <v>44939</v>
      </c>
      <c r="J1012" s="163">
        <v>0.33333333333333331</v>
      </c>
      <c r="K1012" s="162" t="s">
        <v>749</v>
      </c>
      <c r="L1012" s="166"/>
      <c r="M1012" s="166"/>
      <c r="N1012" s="164"/>
      <c r="O1012" s="166"/>
      <c r="P1012" s="165"/>
    </row>
    <row r="1013" spans="1:16" ht="15" hidden="1" customHeight="1" x14ac:dyDescent="0.25">
      <c r="A1013" s="167"/>
      <c r="B1013" s="167"/>
      <c r="C1013" s="167"/>
      <c r="D1013" s="167"/>
      <c r="E1013" s="167"/>
      <c r="F1013" s="167"/>
      <c r="G1013" s="167"/>
      <c r="H1013" s="167"/>
      <c r="I1013" s="164">
        <f t="shared" ca="1" si="16"/>
        <v>44939</v>
      </c>
      <c r="J1013" s="163">
        <v>0.33333333333333331</v>
      </c>
      <c r="K1013" s="162" t="s">
        <v>749</v>
      </c>
      <c r="L1013" s="166"/>
      <c r="M1013" s="166"/>
      <c r="N1013" s="164"/>
      <c r="O1013" s="166"/>
      <c r="P1013" s="165"/>
    </row>
    <row r="1014" spans="1:16" ht="15" hidden="1" customHeight="1" x14ac:dyDescent="0.25">
      <c r="A1014" s="167"/>
      <c r="B1014" s="167"/>
      <c r="C1014" s="167"/>
      <c r="D1014" s="167"/>
      <c r="E1014" s="167"/>
      <c r="F1014" s="167"/>
      <c r="G1014" s="167"/>
      <c r="H1014" s="167"/>
      <c r="I1014" s="164">
        <f t="shared" ca="1" si="16"/>
        <v>44939</v>
      </c>
      <c r="J1014" s="163">
        <v>0.33333333333333331</v>
      </c>
      <c r="K1014" s="162" t="s">
        <v>749</v>
      </c>
      <c r="L1014" s="166"/>
      <c r="M1014" s="166"/>
      <c r="N1014" s="164"/>
      <c r="O1014" s="166"/>
      <c r="P1014" s="165"/>
    </row>
    <row r="1015" spans="1:16" ht="15" hidden="1" customHeight="1" x14ac:dyDescent="0.25">
      <c r="A1015" s="167"/>
      <c r="B1015" s="167"/>
      <c r="C1015" s="167"/>
      <c r="D1015" s="167"/>
      <c r="E1015" s="167"/>
      <c r="F1015" s="167"/>
      <c r="G1015" s="167"/>
      <c r="H1015" s="167"/>
      <c r="I1015" s="164">
        <f t="shared" ca="1" si="16"/>
        <v>44939</v>
      </c>
      <c r="J1015" s="163">
        <v>0.33333333333333331</v>
      </c>
      <c r="K1015" s="162" t="s">
        <v>749</v>
      </c>
      <c r="L1015" s="166"/>
      <c r="M1015" s="166"/>
      <c r="N1015" s="164"/>
      <c r="O1015" s="166"/>
      <c r="P1015" s="165"/>
    </row>
    <row r="1016" spans="1:16" ht="15" hidden="1" customHeight="1" x14ac:dyDescent="0.25">
      <c r="A1016" s="167"/>
      <c r="B1016" s="167"/>
      <c r="C1016" s="167"/>
      <c r="D1016" s="167"/>
      <c r="E1016" s="167"/>
      <c r="F1016" s="167"/>
      <c r="G1016" s="167"/>
      <c r="H1016" s="167"/>
      <c r="I1016" s="164">
        <f t="shared" ca="1" si="16"/>
        <v>44939</v>
      </c>
      <c r="J1016" s="163">
        <v>0.33333333333333331</v>
      </c>
      <c r="K1016" s="162" t="s">
        <v>749</v>
      </c>
      <c r="L1016" s="166"/>
      <c r="M1016" s="166"/>
      <c r="N1016" s="164"/>
      <c r="O1016" s="166"/>
      <c r="P1016" s="165"/>
    </row>
    <row r="1017" spans="1:16" ht="15" hidden="1" customHeight="1" x14ac:dyDescent="0.25">
      <c r="A1017" s="167"/>
      <c r="B1017" s="167"/>
      <c r="C1017" s="167"/>
      <c r="D1017" s="167"/>
      <c r="E1017" s="167"/>
      <c r="F1017" s="167"/>
      <c r="G1017" s="167"/>
      <c r="H1017" s="167"/>
      <c r="I1017" s="164">
        <f t="shared" ca="1" si="16"/>
        <v>44939</v>
      </c>
      <c r="J1017" s="163">
        <v>0.33333333333333331</v>
      </c>
      <c r="K1017" s="162" t="s">
        <v>749</v>
      </c>
      <c r="L1017" s="166"/>
      <c r="M1017" s="166"/>
      <c r="N1017" s="164"/>
      <c r="O1017" s="166"/>
      <c r="P1017" s="165"/>
    </row>
    <row r="1018" spans="1:16" ht="15" hidden="1" customHeight="1" x14ac:dyDescent="0.25">
      <c r="A1018" s="167"/>
      <c r="B1018" s="167"/>
      <c r="C1018" s="167"/>
      <c r="D1018" s="167"/>
      <c r="E1018" s="167"/>
      <c r="F1018" s="167"/>
      <c r="G1018" s="167"/>
      <c r="H1018" s="167"/>
      <c r="I1018" s="164">
        <f t="shared" ca="1" si="16"/>
        <v>44939</v>
      </c>
      <c r="J1018" s="163">
        <v>0.33333333333333331</v>
      </c>
      <c r="K1018" s="162" t="s">
        <v>749</v>
      </c>
      <c r="L1018" s="166"/>
      <c r="M1018" s="166"/>
      <c r="N1018" s="164"/>
      <c r="O1018" s="166"/>
      <c r="P1018" s="165"/>
    </row>
    <row r="1019" spans="1:16" ht="15" hidden="1" customHeight="1" x14ac:dyDescent="0.25">
      <c r="A1019" s="167"/>
      <c r="B1019" s="167"/>
      <c r="C1019" s="167"/>
      <c r="D1019" s="167"/>
      <c r="E1019" s="167"/>
      <c r="F1019" s="167"/>
      <c r="G1019" s="167"/>
      <c r="H1019" s="167"/>
      <c r="I1019" s="164">
        <f t="shared" ca="1" si="16"/>
        <v>44939</v>
      </c>
      <c r="J1019" s="163">
        <v>0.33333333333333331</v>
      </c>
      <c r="K1019" s="162" t="s">
        <v>749</v>
      </c>
      <c r="L1019" s="166"/>
      <c r="M1019" s="166"/>
      <c r="N1019" s="164"/>
      <c r="O1019" s="166"/>
      <c r="P1019" s="165"/>
    </row>
    <row r="1020" spans="1:16" ht="15" hidden="1" customHeight="1" x14ac:dyDescent="0.25">
      <c r="A1020" s="167"/>
      <c r="B1020" s="167"/>
      <c r="C1020" s="167"/>
      <c r="D1020" s="167"/>
      <c r="E1020" s="167"/>
      <c r="F1020" s="167"/>
      <c r="G1020" s="167"/>
      <c r="H1020" s="167"/>
      <c r="I1020" s="164">
        <f t="shared" ca="1" si="16"/>
        <v>44939</v>
      </c>
      <c r="J1020" s="163">
        <v>0.33333333333333331</v>
      </c>
      <c r="K1020" s="162" t="s">
        <v>749</v>
      </c>
      <c r="L1020" s="166"/>
      <c r="M1020" s="166"/>
      <c r="N1020" s="164"/>
      <c r="O1020" s="166"/>
      <c r="P1020" s="165"/>
    </row>
    <row r="1021" spans="1:16" ht="15" hidden="1" customHeight="1" x14ac:dyDescent="0.25">
      <c r="A1021" s="167"/>
      <c r="B1021" s="167"/>
      <c r="C1021" s="167"/>
      <c r="D1021" s="167"/>
      <c r="E1021" s="167"/>
      <c r="F1021" s="167"/>
      <c r="G1021" s="167"/>
      <c r="H1021" s="167"/>
      <c r="I1021" s="164">
        <f t="shared" ca="1" si="16"/>
        <v>44939</v>
      </c>
      <c r="J1021" s="163">
        <v>0.33333333333333331</v>
      </c>
      <c r="K1021" s="162" t="s">
        <v>749</v>
      </c>
      <c r="L1021" s="166"/>
      <c r="M1021" s="166"/>
      <c r="N1021" s="164"/>
      <c r="O1021" s="166"/>
      <c r="P1021" s="165"/>
    </row>
    <row r="1022" spans="1:16" ht="15" hidden="1" customHeight="1" x14ac:dyDescent="0.25">
      <c r="A1022" s="167"/>
      <c r="B1022" s="167"/>
      <c r="C1022" s="167"/>
      <c r="D1022" s="167"/>
      <c r="E1022" s="167"/>
      <c r="F1022" s="167"/>
      <c r="G1022" s="167"/>
      <c r="H1022" s="167"/>
      <c r="I1022" s="164">
        <f t="shared" ca="1" si="16"/>
        <v>44939</v>
      </c>
      <c r="J1022" s="163">
        <v>0.33333333333333331</v>
      </c>
      <c r="K1022" s="162" t="s">
        <v>749</v>
      </c>
      <c r="L1022" s="166"/>
      <c r="M1022" s="166"/>
      <c r="N1022" s="164"/>
      <c r="O1022" s="166"/>
      <c r="P1022" s="165"/>
    </row>
    <row r="1023" spans="1:16" ht="15" hidden="1" customHeight="1" x14ac:dyDescent="0.25">
      <c r="A1023" s="167"/>
      <c r="B1023" s="167"/>
      <c r="C1023" s="167"/>
      <c r="D1023" s="167"/>
      <c r="E1023" s="167"/>
      <c r="F1023" s="167"/>
      <c r="G1023" s="167"/>
      <c r="H1023" s="167"/>
      <c r="I1023" s="164">
        <f t="shared" ca="1" si="16"/>
        <v>44939</v>
      </c>
      <c r="J1023" s="163">
        <v>0.33333333333333331</v>
      </c>
      <c r="K1023" s="162" t="s">
        <v>749</v>
      </c>
      <c r="L1023" s="166"/>
      <c r="M1023" s="166"/>
      <c r="N1023" s="164"/>
      <c r="O1023" s="166"/>
      <c r="P1023" s="165"/>
    </row>
    <row r="1024" spans="1:16" ht="15" hidden="1" customHeight="1" x14ac:dyDescent="0.25">
      <c r="A1024" s="167"/>
      <c r="B1024" s="167"/>
      <c r="C1024" s="167"/>
      <c r="D1024" s="167"/>
      <c r="E1024" s="167"/>
      <c r="F1024" s="167"/>
      <c r="G1024" s="167"/>
      <c r="H1024" s="167"/>
      <c r="I1024" s="164">
        <f t="shared" ca="1" si="16"/>
        <v>44939</v>
      </c>
      <c r="J1024" s="163">
        <v>0.33333333333333331</v>
      </c>
      <c r="K1024" s="162" t="s">
        <v>749</v>
      </c>
      <c r="L1024" s="166"/>
      <c r="M1024" s="166"/>
      <c r="N1024" s="164"/>
      <c r="O1024" s="166"/>
      <c r="P1024" s="165"/>
    </row>
    <row r="1025" spans="1:16" ht="15" hidden="1" customHeight="1" x14ac:dyDescent="0.25">
      <c r="A1025" s="167"/>
      <c r="B1025" s="167"/>
      <c r="C1025" s="167"/>
      <c r="D1025" s="167"/>
      <c r="E1025" s="167"/>
      <c r="F1025" s="167"/>
      <c r="G1025" s="167"/>
      <c r="H1025" s="167"/>
      <c r="I1025" s="164">
        <f t="shared" ca="1" si="16"/>
        <v>44939</v>
      </c>
      <c r="J1025" s="163">
        <v>0.33333333333333331</v>
      </c>
      <c r="K1025" s="162" t="s">
        <v>749</v>
      </c>
      <c r="L1025" s="166"/>
      <c r="M1025" s="166"/>
      <c r="N1025" s="164"/>
      <c r="O1025" s="166"/>
      <c r="P1025" s="165"/>
    </row>
    <row r="1026" spans="1:16" ht="15" hidden="1" customHeight="1" x14ac:dyDescent="0.25">
      <c r="A1026" s="168"/>
      <c r="B1026" s="167"/>
      <c r="C1026" s="168"/>
      <c r="D1026" s="167"/>
      <c r="E1026" s="167"/>
      <c r="F1026" s="167"/>
      <c r="G1026" s="167"/>
      <c r="H1026" s="167"/>
      <c r="I1026" s="164">
        <f t="shared" ca="1" si="16"/>
        <v>44939</v>
      </c>
      <c r="J1026" s="163">
        <v>0.33333333333333331</v>
      </c>
      <c r="K1026" s="162" t="s">
        <v>749</v>
      </c>
      <c r="L1026" s="166"/>
      <c r="M1026" s="166"/>
      <c r="N1026" s="164"/>
      <c r="O1026" s="166"/>
      <c r="P1026" s="165"/>
    </row>
    <row r="1027" spans="1:16" ht="15" hidden="1" customHeight="1" x14ac:dyDescent="0.25">
      <c r="A1027" s="167"/>
      <c r="B1027" s="167"/>
      <c r="C1027" s="167"/>
      <c r="D1027" s="167"/>
      <c r="E1027" s="167"/>
      <c r="F1027" s="167"/>
      <c r="G1027" s="167"/>
      <c r="H1027" s="167"/>
      <c r="I1027" s="164">
        <f t="shared" ca="1" si="16"/>
        <v>44939</v>
      </c>
      <c r="J1027" s="163">
        <v>0.33333333333333331</v>
      </c>
      <c r="K1027" s="162" t="s">
        <v>749</v>
      </c>
      <c r="L1027" s="166"/>
      <c r="M1027" s="166"/>
      <c r="N1027" s="164"/>
      <c r="O1027" s="166"/>
      <c r="P1027" s="165"/>
    </row>
    <row r="1028" spans="1:16" ht="15" hidden="1" customHeight="1" x14ac:dyDescent="0.25">
      <c r="A1028" s="167"/>
      <c r="B1028" s="167"/>
      <c r="C1028" s="167"/>
      <c r="D1028" s="167"/>
      <c r="E1028" s="167"/>
      <c r="F1028" s="167"/>
      <c r="G1028" s="167"/>
      <c r="H1028" s="167"/>
      <c r="I1028" s="164">
        <f t="shared" ca="1" si="16"/>
        <v>44939</v>
      </c>
      <c r="J1028" s="163">
        <v>0.33333333333333331</v>
      </c>
      <c r="K1028" s="162" t="s">
        <v>749</v>
      </c>
      <c r="L1028" s="166"/>
      <c r="M1028" s="166"/>
      <c r="N1028" s="164"/>
      <c r="O1028" s="166"/>
      <c r="P1028" s="165"/>
    </row>
    <row r="1029" spans="1:16" ht="15" hidden="1" customHeight="1" x14ac:dyDescent="0.25">
      <c r="A1029" s="168"/>
      <c r="B1029" s="167"/>
      <c r="C1029" s="168"/>
      <c r="D1029" s="167"/>
      <c r="E1029" s="167"/>
      <c r="F1029" s="167"/>
      <c r="G1029" s="167"/>
      <c r="H1029" s="167"/>
      <c r="I1029" s="164">
        <f t="shared" ca="1" si="16"/>
        <v>44939</v>
      </c>
      <c r="J1029" s="163">
        <v>0.33333333333333331</v>
      </c>
      <c r="K1029" s="162" t="s">
        <v>749</v>
      </c>
      <c r="L1029" s="166"/>
      <c r="M1029" s="166"/>
      <c r="N1029" s="164"/>
      <c r="O1029" s="166"/>
      <c r="P1029" s="165"/>
    </row>
    <row r="1030" spans="1:16" ht="15" hidden="1" customHeight="1" x14ac:dyDescent="0.25">
      <c r="A1030" s="168"/>
      <c r="B1030" s="167"/>
      <c r="C1030" s="168"/>
      <c r="D1030" s="167"/>
      <c r="E1030" s="167"/>
      <c r="F1030" s="167"/>
      <c r="G1030" s="167"/>
      <c r="H1030" s="167"/>
      <c r="I1030" s="164">
        <f t="shared" ca="1" si="16"/>
        <v>44939</v>
      </c>
      <c r="J1030" s="163">
        <v>0.33333333333333331</v>
      </c>
      <c r="K1030" s="162" t="s">
        <v>749</v>
      </c>
      <c r="L1030" s="166"/>
      <c r="M1030" s="166"/>
      <c r="N1030" s="164"/>
      <c r="O1030" s="166"/>
      <c r="P1030" s="165"/>
    </row>
    <row r="1031" spans="1:16" ht="15" hidden="1" customHeight="1" x14ac:dyDescent="0.25">
      <c r="A1031" s="168"/>
      <c r="B1031" s="167"/>
      <c r="C1031" s="168"/>
      <c r="D1031" s="167"/>
      <c r="E1031" s="167"/>
      <c r="F1031" s="167"/>
      <c r="G1031" s="167"/>
      <c r="H1031" s="167"/>
      <c r="I1031" s="164">
        <f t="shared" ca="1" si="16"/>
        <v>44939</v>
      </c>
      <c r="J1031" s="163">
        <v>0.33333333333333331</v>
      </c>
      <c r="K1031" s="162" t="s">
        <v>749</v>
      </c>
      <c r="L1031" s="166"/>
      <c r="M1031" s="166"/>
      <c r="N1031" s="164"/>
      <c r="O1031" s="166"/>
      <c r="P1031" s="165"/>
    </row>
    <row r="1032" spans="1:16" ht="15" hidden="1" customHeight="1" x14ac:dyDescent="0.25">
      <c r="A1032" s="167"/>
      <c r="B1032" s="167"/>
      <c r="C1032" s="167"/>
      <c r="D1032" s="167"/>
      <c r="E1032" s="167"/>
      <c r="F1032" s="167"/>
      <c r="G1032" s="167"/>
      <c r="H1032" s="167"/>
      <c r="I1032" s="164">
        <f t="shared" ca="1" si="16"/>
        <v>44939</v>
      </c>
      <c r="J1032" s="163">
        <v>0.33333333333333331</v>
      </c>
      <c r="K1032" s="162" t="s">
        <v>749</v>
      </c>
      <c r="L1032" s="166"/>
      <c r="M1032" s="166"/>
      <c r="N1032" s="164"/>
      <c r="O1032" s="166"/>
      <c r="P1032" s="165"/>
    </row>
    <row r="1033" spans="1:16" ht="15" hidden="1" customHeight="1" x14ac:dyDescent="0.25">
      <c r="A1033" s="167"/>
      <c r="B1033" s="167"/>
      <c r="C1033" s="167"/>
      <c r="D1033" s="167"/>
      <c r="E1033" s="167"/>
      <c r="F1033" s="167"/>
      <c r="G1033" s="167"/>
      <c r="H1033" s="167"/>
      <c r="I1033" s="164">
        <f t="shared" ca="1" si="16"/>
        <v>44939</v>
      </c>
      <c r="J1033" s="163">
        <v>0.33333333333333331</v>
      </c>
      <c r="K1033" s="162" t="s">
        <v>749</v>
      </c>
      <c r="L1033" s="166"/>
      <c r="M1033" s="166"/>
      <c r="N1033" s="164"/>
      <c r="O1033" s="166"/>
      <c r="P1033" s="165"/>
    </row>
    <row r="1034" spans="1:16" ht="15" hidden="1" customHeight="1" x14ac:dyDescent="0.25">
      <c r="A1034" s="167"/>
      <c r="B1034" s="167"/>
      <c r="C1034" s="167"/>
      <c r="D1034" s="167"/>
      <c r="E1034" s="167"/>
      <c r="F1034" s="167"/>
      <c r="G1034" s="167"/>
      <c r="H1034" s="167"/>
      <c r="I1034" s="164">
        <f t="shared" ca="1" si="16"/>
        <v>44939</v>
      </c>
      <c r="J1034" s="163">
        <v>0.33333333333333331</v>
      </c>
      <c r="K1034" s="162" t="s">
        <v>749</v>
      </c>
      <c r="L1034" s="166"/>
      <c r="M1034" s="166"/>
      <c r="N1034" s="164"/>
      <c r="O1034" s="166"/>
      <c r="P1034" s="165"/>
    </row>
    <row r="1035" spans="1:16" ht="15" hidden="1" customHeight="1" x14ac:dyDescent="0.25">
      <c r="A1035" s="167"/>
      <c r="B1035" s="167"/>
      <c r="C1035" s="167"/>
      <c r="D1035" s="167"/>
      <c r="E1035" s="167"/>
      <c r="F1035" s="167"/>
      <c r="G1035" s="167"/>
      <c r="H1035" s="167"/>
      <c r="I1035" s="164">
        <f t="shared" ca="1" si="16"/>
        <v>44939</v>
      </c>
      <c r="J1035" s="163">
        <v>0.33333333333333331</v>
      </c>
      <c r="K1035" s="162" t="s">
        <v>749</v>
      </c>
      <c r="L1035" s="166"/>
      <c r="M1035" s="166"/>
      <c r="N1035" s="164"/>
      <c r="O1035" s="166"/>
      <c r="P1035" s="165"/>
    </row>
    <row r="1036" spans="1:16" ht="15" hidden="1" customHeight="1" x14ac:dyDescent="0.25">
      <c r="A1036" s="168"/>
      <c r="B1036" s="167"/>
      <c r="C1036" s="167"/>
      <c r="D1036" s="167"/>
      <c r="E1036" s="167"/>
      <c r="F1036" s="167"/>
      <c r="G1036" s="167"/>
      <c r="H1036" s="167"/>
      <c r="I1036" s="164">
        <f t="shared" ca="1" si="16"/>
        <v>44939</v>
      </c>
      <c r="J1036" s="163">
        <v>0.33333333333333331</v>
      </c>
      <c r="K1036" s="162" t="s">
        <v>749</v>
      </c>
      <c r="L1036" s="166"/>
      <c r="M1036" s="166"/>
      <c r="N1036" s="164"/>
      <c r="O1036" s="166"/>
      <c r="P1036" s="165"/>
    </row>
    <row r="1037" spans="1:16" ht="15" hidden="1" customHeight="1" x14ac:dyDescent="0.25">
      <c r="A1037" s="167"/>
      <c r="B1037" s="167"/>
      <c r="C1037" s="167"/>
      <c r="D1037" s="167"/>
      <c r="E1037" s="167"/>
      <c r="F1037" s="167"/>
      <c r="G1037" s="167"/>
      <c r="H1037" s="167"/>
      <c r="I1037" s="164">
        <f t="shared" ca="1" si="16"/>
        <v>44939</v>
      </c>
      <c r="J1037" s="163">
        <v>0.33333333333333331</v>
      </c>
      <c r="K1037" s="162" t="s">
        <v>749</v>
      </c>
      <c r="L1037" s="166"/>
      <c r="M1037" s="166"/>
      <c r="N1037" s="164"/>
      <c r="O1037" s="166"/>
      <c r="P1037" s="165"/>
    </row>
    <row r="1038" spans="1:16" ht="15" hidden="1" customHeight="1" x14ac:dyDescent="0.25">
      <c r="A1038" s="167"/>
      <c r="B1038" s="167"/>
      <c r="C1038" s="167"/>
      <c r="D1038" s="167"/>
      <c r="E1038" s="167"/>
      <c r="F1038" s="167"/>
      <c r="G1038" s="167"/>
      <c r="H1038" s="167"/>
      <c r="I1038" s="164">
        <f t="shared" ca="1" si="16"/>
        <v>44939</v>
      </c>
      <c r="J1038" s="163">
        <v>0.33333333333333331</v>
      </c>
      <c r="K1038" s="162" t="s">
        <v>749</v>
      </c>
      <c r="L1038" s="166"/>
      <c r="M1038" s="166"/>
      <c r="N1038" s="164"/>
      <c r="O1038" s="166"/>
      <c r="P1038" s="165"/>
    </row>
    <row r="1039" spans="1:16" ht="15" hidden="1" customHeight="1" x14ac:dyDescent="0.25">
      <c r="A1039" s="167"/>
      <c r="B1039" s="167"/>
      <c r="C1039" s="167"/>
      <c r="D1039" s="167"/>
      <c r="E1039" s="167"/>
      <c r="F1039" s="167"/>
      <c r="G1039" s="167"/>
      <c r="H1039" s="167"/>
      <c r="I1039" s="164">
        <f t="shared" ca="1" si="16"/>
        <v>44939</v>
      </c>
      <c r="J1039" s="163">
        <v>0.33333333333333331</v>
      </c>
      <c r="K1039" s="162" t="s">
        <v>749</v>
      </c>
      <c r="L1039" s="166"/>
      <c r="M1039" s="166"/>
      <c r="N1039" s="164"/>
      <c r="O1039" s="166"/>
      <c r="P1039" s="165"/>
    </row>
    <row r="1040" spans="1:16" ht="15" hidden="1" customHeight="1" x14ac:dyDescent="0.25">
      <c r="A1040" s="167"/>
      <c r="B1040" s="167"/>
      <c r="C1040" s="167"/>
      <c r="D1040" s="167"/>
      <c r="E1040" s="167"/>
      <c r="F1040" s="167"/>
      <c r="G1040" s="167"/>
      <c r="H1040" s="167"/>
      <c r="I1040" s="164">
        <f t="shared" ca="1" si="16"/>
        <v>44939</v>
      </c>
      <c r="J1040" s="163">
        <v>0.33333333333333331</v>
      </c>
      <c r="K1040" s="162" t="s">
        <v>749</v>
      </c>
      <c r="L1040" s="166"/>
      <c r="M1040" s="166"/>
      <c r="N1040" s="164"/>
      <c r="O1040" s="166"/>
      <c r="P1040" s="165"/>
    </row>
    <row r="1041" spans="1:16" ht="15" hidden="1" customHeight="1" x14ac:dyDescent="0.25">
      <c r="A1041" s="167"/>
      <c r="B1041" s="167"/>
      <c r="C1041" s="167"/>
      <c r="D1041" s="167"/>
      <c r="E1041" s="167"/>
      <c r="F1041" s="167"/>
      <c r="G1041" s="167"/>
      <c r="H1041" s="167"/>
      <c r="I1041" s="164">
        <f t="shared" ca="1" si="16"/>
        <v>44939</v>
      </c>
      <c r="J1041" s="163">
        <v>0.33333333333333331</v>
      </c>
      <c r="K1041" s="162" t="s">
        <v>749</v>
      </c>
      <c r="L1041" s="166"/>
      <c r="M1041" s="166"/>
      <c r="N1041" s="164"/>
      <c r="O1041" s="166"/>
      <c r="P1041" s="165"/>
    </row>
    <row r="1042" spans="1:16" ht="15" hidden="1" customHeight="1" x14ac:dyDescent="0.25">
      <c r="A1042" s="168"/>
      <c r="B1042" s="167"/>
      <c r="C1042" s="168"/>
      <c r="D1042" s="167"/>
      <c r="E1042" s="167"/>
      <c r="F1042" s="167"/>
      <c r="G1042" s="167"/>
      <c r="H1042" s="167"/>
      <c r="I1042" s="164">
        <f t="shared" ca="1" si="16"/>
        <v>44939</v>
      </c>
      <c r="J1042" s="163">
        <v>0.33333333333333331</v>
      </c>
      <c r="K1042" s="162" t="s">
        <v>749</v>
      </c>
      <c r="L1042" s="166"/>
      <c r="M1042" s="166"/>
      <c r="N1042" s="164"/>
      <c r="O1042" s="166"/>
      <c r="P1042" s="165"/>
    </row>
    <row r="1043" spans="1:16" ht="15" hidden="1" customHeight="1" x14ac:dyDescent="0.25">
      <c r="A1043" s="168"/>
      <c r="B1043" s="167"/>
      <c r="C1043" s="168"/>
      <c r="D1043" s="167"/>
      <c r="E1043" s="167"/>
      <c r="F1043" s="167"/>
      <c r="G1043" s="167"/>
      <c r="H1043" s="167"/>
      <c r="I1043" s="164">
        <f t="shared" ca="1" si="16"/>
        <v>44939</v>
      </c>
      <c r="J1043" s="163">
        <v>0.33333333333333331</v>
      </c>
      <c r="K1043" s="162" t="s">
        <v>749</v>
      </c>
      <c r="L1043" s="166"/>
      <c r="M1043" s="166"/>
      <c r="N1043" s="164"/>
      <c r="O1043" s="166"/>
      <c r="P1043" s="165"/>
    </row>
    <row r="1044" spans="1:16" ht="15" hidden="1" customHeight="1" x14ac:dyDescent="0.25">
      <c r="A1044" s="167"/>
      <c r="B1044" s="167"/>
      <c r="C1044" s="167"/>
      <c r="D1044" s="167"/>
      <c r="E1044" s="167"/>
      <c r="F1044" s="167"/>
      <c r="G1044" s="167"/>
      <c r="H1044" s="167"/>
      <c r="I1044" s="164">
        <f t="shared" ca="1" si="16"/>
        <v>44939</v>
      </c>
      <c r="J1044" s="163">
        <v>0.33333333333333331</v>
      </c>
      <c r="K1044" s="162" t="s">
        <v>749</v>
      </c>
      <c r="L1044" s="166"/>
      <c r="M1044" s="166"/>
      <c r="N1044" s="164"/>
      <c r="O1044" s="166"/>
      <c r="P1044" s="165"/>
    </row>
    <row r="1045" spans="1:16" ht="15" hidden="1" customHeight="1" x14ac:dyDescent="0.25">
      <c r="A1045" s="167"/>
      <c r="B1045" s="167"/>
      <c r="C1045" s="167"/>
      <c r="D1045" s="167"/>
      <c r="E1045" s="167"/>
      <c r="F1045" s="167"/>
      <c r="G1045" s="167"/>
      <c r="H1045" s="167"/>
      <c r="I1045" s="164">
        <f t="shared" ca="1" si="16"/>
        <v>44939</v>
      </c>
      <c r="J1045" s="163">
        <v>0.33333333333333331</v>
      </c>
      <c r="K1045" s="162" t="s">
        <v>749</v>
      </c>
      <c r="L1045" s="166"/>
      <c r="M1045" s="166"/>
      <c r="N1045" s="164"/>
      <c r="O1045" s="166"/>
      <c r="P1045" s="165"/>
    </row>
    <row r="1046" spans="1:16" ht="15" hidden="1" customHeight="1" x14ac:dyDescent="0.25">
      <c r="A1046" s="167"/>
      <c r="B1046" s="167"/>
      <c r="C1046" s="167"/>
      <c r="D1046" s="167"/>
      <c r="E1046" s="167"/>
      <c r="F1046" s="167"/>
      <c r="G1046" s="167"/>
      <c r="H1046" s="167"/>
      <c r="I1046" s="164">
        <f t="shared" ca="1" si="16"/>
        <v>44939</v>
      </c>
      <c r="J1046" s="163">
        <v>0.33333333333333331</v>
      </c>
      <c r="K1046" s="162" t="s">
        <v>749</v>
      </c>
      <c r="L1046" s="166"/>
      <c r="M1046" s="166"/>
      <c r="N1046" s="164"/>
      <c r="O1046" s="166"/>
      <c r="P1046" s="165"/>
    </row>
    <row r="1047" spans="1:16" ht="15" hidden="1" customHeight="1" x14ac:dyDescent="0.25">
      <c r="A1047" s="167"/>
      <c r="B1047" s="167"/>
      <c r="C1047" s="167"/>
      <c r="D1047" s="167"/>
      <c r="E1047" s="167"/>
      <c r="F1047" s="167"/>
      <c r="G1047" s="167"/>
      <c r="H1047" s="167"/>
      <c r="I1047" s="164">
        <f t="shared" ca="1" si="16"/>
        <v>44939</v>
      </c>
      <c r="J1047" s="163">
        <v>0.33333333333333331</v>
      </c>
      <c r="K1047" s="162" t="s">
        <v>749</v>
      </c>
      <c r="L1047" s="166"/>
      <c r="M1047" s="166"/>
      <c r="N1047" s="164"/>
      <c r="O1047" s="166"/>
      <c r="P1047" s="165"/>
    </row>
    <row r="1048" spans="1:16" ht="15" hidden="1" customHeight="1" x14ac:dyDescent="0.25">
      <c r="A1048" s="167"/>
      <c r="B1048" s="167"/>
      <c r="C1048" s="167"/>
      <c r="D1048" s="167"/>
      <c r="E1048" s="167"/>
      <c r="F1048" s="167"/>
      <c r="G1048" s="167"/>
      <c r="H1048" s="167"/>
      <c r="I1048" s="164">
        <f t="shared" ref="I1048:I1111" ca="1" si="17">TODAY()</f>
        <v>44939</v>
      </c>
      <c r="J1048" s="163">
        <v>0.33333333333333331</v>
      </c>
      <c r="K1048" s="162" t="s">
        <v>749</v>
      </c>
      <c r="L1048" s="166"/>
      <c r="M1048" s="166"/>
      <c r="N1048" s="164"/>
      <c r="O1048" s="166"/>
      <c r="P1048" s="165"/>
    </row>
    <row r="1049" spans="1:16" ht="15" hidden="1" customHeight="1" x14ac:dyDescent="0.25">
      <c r="A1049" s="167"/>
      <c r="B1049" s="167"/>
      <c r="C1049" s="167"/>
      <c r="D1049" s="167"/>
      <c r="E1049" s="167"/>
      <c r="F1049" s="167"/>
      <c r="G1049" s="167"/>
      <c r="H1049" s="167"/>
      <c r="I1049" s="164">
        <f t="shared" ca="1" si="17"/>
        <v>44939</v>
      </c>
      <c r="J1049" s="163">
        <v>0.33333333333333331</v>
      </c>
      <c r="K1049" s="162" t="s">
        <v>749</v>
      </c>
      <c r="L1049" s="166"/>
      <c r="M1049" s="166"/>
      <c r="N1049" s="164"/>
      <c r="O1049" s="166"/>
      <c r="P1049" s="165"/>
    </row>
    <row r="1050" spans="1:16" ht="15" hidden="1" customHeight="1" x14ac:dyDescent="0.25">
      <c r="A1050" s="167"/>
      <c r="B1050" s="167"/>
      <c r="C1050" s="167"/>
      <c r="D1050" s="167"/>
      <c r="E1050" s="167"/>
      <c r="F1050" s="167"/>
      <c r="G1050" s="167"/>
      <c r="H1050" s="167"/>
      <c r="I1050" s="164">
        <f t="shared" ca="1" si="17"/>
        <v>44939</v>
      </c>
      <c r="J1050" s="163">
        <v>0.33333333333333331</v>
      </c>
      <c r="K1050" s="162" t="s">
        <v>749</v>
      </c>
      <c r="L1050" s="166"/>
      <c r="M1050" s="166"/>
      <c r="N1050" s="164"/>
      <c r="O1050" s="166"/>
      <c r="P1050" s="165"/>
    </row>
    <row r="1051" spans="1:16" ht="15" hidden="1" customHeight="1" x14ac:dyDescent="0.25">
      <c r="A1051" s="167"/>
      <c r="B1051" s="167"/>
      <c r="C1051" s="167"/>
      <c r="D1051" s="167"/>
      <c r="E1051" s="167"/>
      <c r="F1051" s="167"/>
      <c r="G1051" s="167"/>
      <c r="H1051" s="167"/>
      <c r="I1051" s="164">
        <f t="shared" ca="1" si="17"/>
        <v>44939</v>
      </c>
      <c r="J1051" s="163">
        <v>0.33333333333333331</v>
      </c>
      <c r="K1051" s="162" t="s">
        <v>749</v>
      </c>
      <c r="L1051" s="166"/>
      <c r="M1051" s="166"/>
      <c r="N1051" s="164"/>
      <c r="O1051" s="166"/>
      <c r="P1051" s="165"/>
    </row>
    <row r="1052" spans="1:16" ht="15" hidden="1" customHeight="1" x14ac:dyDescent="0.25">
      <c r="A1052" s="167"/>
      <c r="B1052" s="167"/>
      <c r="C1052" s="167"/>
      <c r="D1052" s="167"/>
      <c r="E1052" s="167"/>
      <c r="F1052" s="167"/>
      <c r="G1052" s="167"/>
      <c r="H1052" s="167"/>
      <c r="I1052" s="164">
        <f t="shared" ca="1" si="17"/>
        <v>44939</v>
      </c>
      <c r="J1052" s="163">
        <v>0.33333333333333331</v>
      </c>
      <c r="K1052" s="162" t="s">
        <v>749</v>
      </c>
      <c r="L1052" s="166"/>
      <c r="M1052" s="166"/>
      <c r="N1052" s="164"/>
      <c r="O1052" s="166"/>
      <c r="P1052" s="165"/>
    </row>
    <row r="1053" spans="1:16" ht="15" hidden="1" customHeight="1" x14ac:dyDescent="0.25">
      <c r="A1053" s="167"/>
      <c r="B1053" s="167"/>
      <c r="C1053" s="167"/>
      <c r="D1053" s="167"/>
      <c r="E1053" s="167"/>
      <c r="F1053" s="167"/>
      <c r="G1053" s="167"/>
      <c r="H1053" s="167"/>
      <c r="I1053" s="164">
        <f t="shared" ca="1" si="17"/>
        <v>44939</v>
      </c>
      <c r="J1053" s="163">
        <v>0.33333333333333331</v>
      </c>
      <c r="K1053" s="162" t="s">
        <v>749</v>
      </c>
      <c r="L1053" s="166"/>
      <c r="M1053" s="166"/>
      <c r="N1053" s="164"/>
      <c r="O1053" s="166"/>
      <c r="P1053" s="165"/>
    </row>
    <row r="1054" spans="1:16" ht="15" hidden="1" customHeight="1" x14ac:dyDescent="0.25">
      <c r="A1054" s="167"/>
      <c r="B1054" s="167"/>
      <c r="C1054" s="167"/>
      <c r="D1054" s="167"/>
      <c r="E1054" s="167"/>
      <c r="F1054" s="167"/>
      <c r="G1054" s="167"/>
      <c r="H1054" s="167"/>
      <c r="I1054" s="164">
        <f t="shared" ca="1" si="17"/>
        <v>44939</v>
      </c>
      <c r="J1054" s="163">
        <v>0.33333333333333331</v>
      </c>
      <c r="K1054" s="162" t="s">
        <v>749</v>
      </c>
      <c r="L1054" s="166"/>
      <c r="M1054" s="166"/>
      <c r="N1054" s="164"/>
      <c r="O1054" s="166"/>
      <c r="P1054" s="165"/>
    </row>
    <row r="1055" spans="1:16" ht="15" hidden="1" customHeight="1" x14ac:dyDescent="0.25">
      <c r="A1055" s="167"/>
      <c r="B1055" s="167"/>
      <c r="C1055" s="167"/>
      <c r="D1055" s="167"/>
      <c r="E1055" s="167"/>
      <c r="F1055" s="167"/>
      <c r="G1055" s="167"/>
      <c r="H1055" s="167"/>
      <c r="I1055" s="164">
        <f t="shared" ca="1" si="17"/>
        <v>44939</v>
      </c>
      <c r="J1055" s="163">
        <v>0.33333333333333331</v>
      </c>
      <c r="K1055" s="162" t="s">
        <v>749</v>
      </c>
      <c r="L1055" s="166"/>
      <c r="M1055" s="166"/>
      <c r="N1055" s="164"/>
      <c r="O1055" s="166"/>
      <c r="P1055" s="165"/>
    </row>
    <row r="1056" spans="1:16" ht="15" hidden="1" customHeight="1" x14ac:dyDescent="0.25">
      <c r="A1056" s="168"/>
      <c r="B1056" s="167"/>
      <c r="C1056" s="167"/>
      <c r="D1056" s="167"/>
      <c r="E1056" s="167"/>
      <c r="F1056" s="167"/>
      <c r="G1056" s="167"/>
      <c r="H1056" s="167"/>
      <c r="I1056" s="164">
        <f t="shared" ca="1" si="17"/>
        <v>44939</v>
      </c>
      <c r="J1056" s="163">
        <v>0.33333333333333331</v>
      </c>
      <c r="K1056" s="162" t="s">
        <v>749</v>
      </c>
      <c r="L1056" s="166"/>
      <c r="M1056" s="166"/>
      <c r="N1056" s="164"/>
      <c r="O1056" s="166"/>
      <c r="P1056" s="165"/>
    </row>
    <row r="1057" spans="1:16" ht="15" hidden="1" customHeight="1" x14ac:dyDescent="0.25">
      <c r="A1057" s="168"/>
      <c r="B1057" s="167"/>
      <c r="C1057" s="167"/>
      <c r="D1057" s="167"/>
      <c r="E1057" s="167"/>
      <c r="F1057" s="167"/>
      <c r="G1057" s="167"/>
      <c r="H1057" s="167"/>
      <c r="I1057" s="164">
        <f t="shared" ca="1" si="17"/>
        <v>44939</v>
      </c>
      <c r="J1057" s="163">
        <v>0.33333333333333331</v>
      </c>
      <c r="K1057" s="162" t="s">
        <v>749</v>
      </c>
      <c r="L1057" s="166"/>
      <c r="M1057" s="166"/>
      <c r="N1057" s="164"/>
      <c r="O1057" s="166"/>
      <c r="P1057" s="165"/>
    </row>
    <row r="1058" spans="1:16" ht="15" hidden="1" customHeight="1" x14ac:dyDescent="0.25">
      <c r="A1058" s="167"/>
      <c r="B1058" s="167"/>
      <c r="C1058" s="167"/>
      <c r="D1058" s="167"/>
      <c r="E1058" s="167"/>
      <c r="F1058" s="167"/>
      <c r="G1058" s="167"/>
      <c r="H1058" s="167"/>
      <c r="I1058" s="164">
        <f t="shared" ca="1" si="17"/>
        <v>44939</v>
      </c>
      <c r="J1058" s="163">
        <v>0.33333333333333331</v>
      </c>
      <c r="K1058" s="162" t="s">
        <v>749</v>
      </c>
      <c r="L1058" s="166"/>
      <c r="M1058" s="166"/>
      <c r="N1058" s="164"/>
      <c r="O1058" s="166"/>
      <c r="P1058" s="165"/>
    </row>
    <row r="1059" spans="1:16" ht="15" hidden="1" customHeight="1" x14ac:dyDescent="0.25">
      <c r="A1059" s="167"/>
      <c r="B1059" s="167"/>
      <c r="C1059" s="167"/>
      <c r="D1059" s="167"/>
      <c r="E1059" s="167"/>
      <c r="F1059" s="167"/>
      <c r="G1059" s="167"/>
      <c r="H1059" s="167"/>
      <c r="I1059" s="164">
        <f t="shared" ca="1" si="17"/>
        <v>44939</v>
      </c>
      <c r="J1059" s="163">
        <v>0.33333333333333331</v>
      </c>
      <c r="K1059" s="162" t="s">
        <v>749</v>
      </c>
      <c r="L1059" s="166"/>
      <c r="M1059" s="166"/>
      <c r="N1059" s="164"/>
      <c r="O1059" s="166"/>
      <c r="P1059" s="165"/>
    </row>
    <row r="1060" spans="1:16" ht="15" hidden="1" customHeight="1" x14ac:dyDescent="0.25">
      <c r="A1060" s="167"/>
      <c r="B1060" s="167"/>
      <c r="C1060" s="167"/>
      <c r="D1060" s="167"/>
      <c r="E1060" s="167"/>
      <c r="F1060" s="167"/>
      <c r="G1060" s="167"/>
      <c r="H1060" s="167"/>
      <c r="I1060" s="164">
        <f t="shared" ca="1" si="17"/>
        <v>44939</v>
      </c>
      <c r="J1060" s="163">
        <v>0.33333333333333331</v>
      </c>
      <c r="K1060" s="162" t="s">
        <v>749</v>
      </c>
      <c r="L1060" s="166"/>
      <c r="M1060" s="166"/>
      <c r="N1060" s="164"/>
      <c r="O1060" s="166"/>
      <c r="P1060" s="165"/>
    </row>
    <row r="1061" spans="1:16" ht="15" hidden="1" customHeight="1" x14ac:dyDescent="0.25">
      <c r="A1061" s="167"/>
      <c r="B1061" s="167"/>
      <c r="C1061" s="167"/>
      <c r="D1061" s="167"/>
      <c r="E1061" s="167"/>
      <c r="F1061" s="167"/>
      <c r="G1061" s="167"/>
      <c r="H1061" s="167"/>
      <c r="I1061" s="164">
        <f t="shared" ca="1" si="17"/>
        <v>44939</v>
      </c>
      <c r="J1061" s="163">
        <v>0.33333333333333331</v>
      </c>
      <c r="K1061" s="162" t="s">
        <v>749</v>
      </c>
      <c r="L1061" s="166"/>
      <c r="M1061" s="166"/>
      <c r="N1061" s="164"/>
      <c r="O1061" s="166"/>
      <c r="P1061" s="165"/>
    </row>
    <row r="1062" spans="1:16" ht="15" hidden="1" customHeight="1" x14ac:dyDescent="0.25">
      <c r="A1062" s="168"/>
      <c r="B1062" s="167"/>
      <c r="C1062" s="168"/>
      <c r="D1062" s="167"/>
      <c r="E1062" s="167"/>
      <c r="F1062" s="167"/>
      <c r="G1062" s="167"/>
      <c r="H1062" s="167"/>
      <c r="I1062" s="164">
        <f t="shared" ca="1" si="17"/>
        <v>44939</v>
      </c>
      <c r="J1062" s="163">
        <v>0.33333333333333331</v>
      </c>
      <c r="K1062" s="162" t="s">
        <v>749</v>
      </c>
      <c r="L1062" s="166"/>
      <c r="M1062" s="166"/>
      <c r="N1062" s="164"/>
      <c r="O1062" s="166"/>
      <c r="P1062" s="165"/>
    </row>
    <row r="1063" spans="1:16" ht="15" hidden="1" customHeight="1" x14ac:dyDescent="0.25">
      <c r="A1063" s="167"/>
      <c r="B1063" s="167"/>
      <c r="C1063" s="167"/>
      <c r="D1063" s="167"/>
      <c r="E1063" s="167"/>
      <c r="F1063" s="167"/>
      <c r="G1063" s="167"/>
      <c r="H1063" s="167"/>
      <c r="I1063" s="164">
        <f t="shared" ca="1" si="17"/>
        <v>44939</v>
      </c>
      <c r="J1063" s="163">
        <v>0.33333333333333331</v>
      </c>
      <c r="K1063" s="162" t="s">
        <v>749</v>
      </c>
      <c r="L1063" s="166"/>
      <c r="M1063" s="166"/>
      <c r="N1063" s="164"/>
      <c r="O1063" s="166"/>
      <c r="P1063" s="165"/>
    </row>
    <row r="1064" spans="1:16" ht="15" hidden="1" customHeight="1" x14ac:dyDescent="0.25">
      <c r="A1064" s="167"/>
      <c r="B1064" s="167"/>
      <c r="C1064" s="167"/>
      <c r="D1064" s="167"/>
      <c r="E1064" s="167"/>
      <c r="F1064" s="167"/>
      <c r="G1064" s="167"/>
      <c r="H1064" s="167"/>
      <c r="I1064" s="164">
        <f t="shared" ca="1" si="17"/>
        <v>44939</v>
      </c>
      <c r="J1064" s="163">
        <v>0.33333333333333331</v>
      </c>
      <c r="K1064" s="162" t="s">
        <v>749</v>
      </c>
      <c r="L1064" s="166"/>
      <c r="M1064" s="166"/>
      <c r="N1064" s="164"/>
      <c r="O1064" s="166"/>
      <c r="P1064" s="165"/>
    </row>
    <row r="1065" spans="1:16" ht="15" hidden="1" customHeight="1" x14ac:dyDescent="0.25">
      <c r="A1065" s="168"/>
      <c r="B1065" s="167"/>
      <c r="C1065" s="168"/>
      <c r="D1065" s="167"/>
      <c r="E1065" s="167"/>
      <c r="F1065" s="167"/>
      <c r="G1065" s="167"/>
      <c r="H1065" s="167"/>
      <c r="I1065" s="164">
        <f t="shared" ca="1" si="17"/>
        <v>44939</v>
      </c>
      <c r="J1065" s="163">
        <v>0.33333333333333331</v>
      </c>
      <c r="K1065" s="162" t="s">
        <v>749</v>
      </c>
      <c r="L1065" s="166"/>
      <c r="M1065" s="166"/>
      <c r="N1065" s="164"/>
      <c r="O1065" s="166"/>
      <c r="P1065" s="165"/>
    </row>
    <row r="1066" spans="1:16" ht="15" hidden="1" customHeight="1" x14ac:dyDescent="0.25">
      <c r="A1066" s="167"/>
      <c r="B1066" s="167"/>
      <c r="C1066" s="167"/>
      <c r="D1066" s="167"/>
      <c r="E1066" s="167"/>
      <c r="F1066" s="167"/>
      <c r="G1066" s="167"/>
      <c r="H1066" s="167"/>
      <c r="I1066" s="164">
        <f t="shared" ca="1" si="17"/>
        <v>44939</v>
      </c>
      <c r="J1066" s="163">
        <v>0.33333333333333331</v>
      </c>
      <c r="K1066" s="162" t="s">
        <v>749</v>
      </c>
      <c r="L1066" s="166"/>
      <c r="M1066" s="166"/>
      <c r="N1066" s="164"/>
      <c r="O1066" s="166"/>
      <c r="P1066" s="165"/>
    </row>
    <row r="1067" spans="1:16" ht="15" hidden="1" customHeight="1" x14ac:dyDescent="0.25">
      <c r="A1067" s="167"/>
      <c r="B1067" s="167"/>
      <c r="C1067" s="167"/>
      <c r="D1067" s="167"/>
      <c r="E1067" s="167"/>
      <c r="F1067" s="167"/>
      <c r="G1067" s="167"/>
      <c r="H1067" s="167"/>
      <c r="I1067" s="164">
        <f t="shared" ca="1" si="17"/>
        <v>44939</v>
      </c>
      <c r="J1067" s="163">
        <v>0.33333333333333331</v>
      </c>
      <c r="K1067" s="162" t="s">
        <v>749</v>
      </c>
      <c r="L1067" s="166"/>
      <c r="M1067" s="166"/>
      <c r="N1067" s="164"/>
      <c r="O1067" s="166"/>
      <c r="P1067" s="165"/>
    </row>
    <row r="1068" spans="1:16" ht="15" hidden="1" customHeight="1" x14ac:dyDescent="0.25">
      <c r="A1068" s="167"/>
      <c r="B1068" s="167"/>
      <c r="C1068" s="167"/>
      <c r="D1068" s="167"/>
      <c r="E1068" s="167"/>
      <c r="F1068" s="167"/>
      <c r="G1068" s="167"/>
      <c r="H1068" s="167"/>
      <c r="I1068" s="164">
        <f t="shared" ca="1" si="17"/>
        <v>44939</v>
      </c>
      <c r="J1068" s="163">
        <v>0.33333333333333331</v>
      </c>
      <c r="K1068" s="162" t="s">
        <v>749</v>
      </c>
      <c r="L1068" s="166"/>
      <c r="M1068" s="166"/>
      <c r="N1068" s="164"/>
      <c r="O1068" s="166"/>
      <c r="P1068" s="165"/>
    </row>
    <row r="1069" spans="1:16" ht="15" hidden="1" customHeight="1" x14ac:dyDescent="0.25">
      <c r="A1069" s="167"/>
      <c r="B1069" s="167"/>
      <c r="C1069" s="167"/>
      <c r="D1069" s="167"/>
      <c r="E1069" s="167"/>
      <c r="F1069" s="167"/>
      <c r="G1069" s="167"/>
      <c r="H1069" s="167"/>
      <c r="I1069" s="164">
        <f t="shared" ca="1" si="17"/>
        <v>44939</v>
      </c>
      <c r="J1069" s="163">
        <v>0.33333333333333331</v>
      </c>
      <c r="K1069" s="162" t="s">
        <v>749</v>
      </c>
      <c r="L1069" s="166"/>
      <c r="M1069" s="166"/>
      <c r="N1069" s="164"/>
      <c r="O1069" s="166"/>
      <c r="P1069" s="165"/>
    </row>
    <row r="1070" spans="1:16" ht="15" hidden="1" customHeight="1" x14ac:dyDescent="0.25">
      <c r="A1070" s="167"/>
      <c r="B1070" s="167"/>
      <c r="C1070" s="167"/>
      <c r="D1070" s="167"/>
      <c r="E1070" s="167"/>
      <c r="F1070" s="167"/>
      <c r="G1070" s="167"/>
      <c r="H1070" s="167"/>
      <c r="I1070" s="164">
        <f t="shared" ca="1" si="17"/>
        <v>44939</v>
      </c>
      <c r="J1070" s="163">
        <v>0.33333333333333331</v>
      </c>
      <c r="K1070" s="162" t="s">
        <v>749</v>
      </c>
      <c r="L1070" s="166"/>
      <c r="M1070" s="166"/>
      <c r="N1070" s="164"/>
      <c r="O1070" s="166"/>
      <c r="P1070" s="165"/>
    </row>
    <row r="1071" spans="1:16" ht="15" hidden="1" customHeight="1" x14ac:dyDescent="0.25">
      <c r="A1071" s="167"/>
      <c r="B1071" s="167"/>
      <c r="C1071" s="167"/>
      <c r="D1071" s="167"/>
      <c r="E1071" s="167"/>
      <c r="F1071" s="167"/>
      <c r="G1071" s="167"/>
      <c r="H1071" s="167"/>
      <c r="I1071" s="164">
        <f t="shared" ca="1" si="17"/>
        <v>44939</v>
      </c>
      <c r="J1071" s="163">
        <v>0.33333333333333331</v>
      </c>
      <c r="K1071" s="162" t="s">
        <v>749</v>
      </c>
      <c r="L1071" s="166"/>
      <c r="M1071" s="166"/>
      <c r="N1071" s="164"/>
      <c r="O1071" s="166"/>
      <c r="P1071" s="165"/>
    </row>
    <row r="1072" spans="1:16" ht="15" hidden="1" customHeight="1" x14ac:dyDescent="0.25">
      <c r="A1072" s="167"/>
      <c r="B1072" s="167"/>
      <c r="C1072" s="167"/>
      <c r="D1072" s="167"/>
      <c r="E1072" s="167"/>
      <c r="F1072" s="167"/>
      <c r="G1072" s="167"/>
      <c r="H1072" s="167"/>
      <c r="I1072" s="164">
        <f t="shared" ca="1" si="17"/>
        <v>44939</v>
      </c>
      <c r="J1072" s="163">
        <v>0.33333333333333331</v>
      </c>
      <c r="K1072" s="162" t="s">
        <v>749</v>
      </c>
      <c r="L1072" s="166"/>
      <c r="M1072" s="166"/>
      <c r="N1072" s="164"/>
      <c r="O1072" s="166"/>
      <c r="P1072" s="165"/>
    </row>
    <row r="1073" spans="1:16" ht="15" hidden="1" customHeight="1" x14ac:dyDescent="0.25">
      <c r="A1073" s="167"/>
      <c r="B1073" s="167"/>
      <c r="C1073" s="167"/>
      <c r="D1073" s="167"/>
      <c r="E1073" s="167"/>
      <c r="F1073" s="167"/>
      <c r="G1073" s="167"/>
      <c r="H1073" s="167"/>
      <c r="I1073" s="164">
        <f t="shared" ca="1" si="17"/>
        <v>44939</v>
      </c>
      <c r="J1073" s="163">
        <v>0.33333333333333331</v>
      </c>
      <c r="K1073" s="162" t="s">
        <v>749</v>
      </c>
      <c r="L1073" s="166"/>
      <c r="M1073" s="166"/>
      <c r="N1073" s="164"/>
      <c r="O1073" s="166"/>
      <c r="P1073" s="165"/>
    </row>
    <row r="1074" spans="1:16" ht="15" hidden="1" customHeight="1" x14ac:dyDescent="0.25">
      <c r="A1074" s="168"/>
      <c r="B1074" s="167"/>
      <c r="C1074" s="168"/>
      <c r="D1074" s="167"/>
      <c r="E1074" s="167"/>
      <c r="F1074" s="167"/>
      <c r="G1074" s="167"/>
      <c r="H1074" s="167"/>
      <c r="I1074" s="164">
        <f t="shared" ca="1" si="17"/>
        <v>44939</v>
      </c>
      <c r="J1074" s="163">
        <v>0.33333333333333331</v>
      </c>
      <c r="K1074" s="162" t="s">
        <v>749</v>
      </c>
      <c r="L1074" s="166"/>
      <c r="M1074" s="166"/>
      <c r="N1074" s="164"/>
      <c r="O1074" s="166"/>
      <c r="P1074" s="165"/>
    </row>
    <row r="1075" spans="1:16" ht="15" hidden="1" customHeight="1" x14ac:dyDescent="0.25">
      <c r="A1075" s="167"/>
      <c r="B1075" s="167"/>
      <c r="C1075" s="167"/>
      <c r="D1075" s="167"/>
      <c r="E1075" s="167"/>
      <c r="F1075" s="167"/>
      <c r="G1075" s="167"/>
      <c r="H1075" s="167"/>
      <c r="I1075" s="164">
        <f t="shared" ca="1" si="17"/>
        <v>44939</v>
      </c>
      <c r="J1075" s="163">
        <v>0.33333333333333331</v>
      </c>
      <c r="K1075" s="162" t="s">
        <v>749</v>
      </c>
      <c r="L1075" s="166"/>
      <c r="M1075" s="166"/>
      <c r="N1075" s="164"/>
      <c r="O1075" s="166"/>
      <c r="P1075" s="165"/>
    </row>
    <row r="1076" spans="1:16" ht="15" hidden="1" customHeight="1" x14ac:dyDescent="0.25">
      <c r="A1076" s="167"/>
      <c r="B1076" s="167"/>
      <c r="C1076" s="167"/>
      <c r="D1076" s="167"/>
      <c r="E1076" s="167"/>
      <c r="F1076" s="167"/>
      <c r="G1076" s="167"/>
      <c r="H1076" s="167"/>
      <c r="I1076" s="164">
        <f t="shared" ca="1" si="17"/>
        <v>44939</v>
      </c>
      <c r="J1076" s="163">
        <v>0.33333333333333331</v>
      </c>
      <c r="K1076" s="162" t="s">
        <v>749</v>
      </c>
      <c r="L1076" s="166"/>
      <c r="M1076" s="166"/>
      <c r="N1076" s="164"/>
      <c r="O1076" s="166"/>
      <c r="P1076" s="165"/>
    </row>
    <row r="1077" spans="1:16" ht="15" hidden="1" customHeight="1" x14ac:dyDescent="0.25">
      <c r="A1077" s="167"/>
      <c r="B1077" s="167"/>
      <c r="C1077" s="167"/>
      <c r="D1077" s="167"/>
      <c r="E1077" s="167"/>
      <c r="F1077" s="167"/>
      <c r="G1077" s="167"/>
      <c r="H1077" s="167"/>
      <c r="I1077" s="164">
        <f t="shared" ca="1" si="17"/>
        <v>44939</v>
      </c>
      <c r="J1077" s="163">
        <v>0.33333333333333331</v>
      </c>
      <c r="K1077" s="162" t="s">
        <v>749</v>
      </c>
      <c r="L1077" s="166"/>
      <c r="M1077" s="166"/>
      <c r="N1077" s="164"/>
      <c r="O1077" s="166"/>
      <c r="P1077" s="165"/>
    </row>
    <row r="1078" spans="1:16" ht="15" hidden="1" customHeight="1" x14ac:dyDescent="0.25">
      <c r="A1078" s="167"/>
      <c r="B1078" s="167"/>
      <c r="C1078" s="167"/>
      <c r="D1078" s="167"/>
      <c r="E1078" s="167"/>
      <c r="F1078" s="167"/>
      <c r="G1078" s="167"/>
      <c r="H1078" s="167"/>
      <c r="I1078" s="164">
        <f t="shared" ca="1" si="17"/>
        <v>44939</v>
      </c>
      <c r="J1078" s="163">
        <v>0.33333333333333331</v>
      </c>
      <c r="K1078" s="162" t="s">
        <v>749</v>
      </c>
      <c r="L1078" s="166"/>
      <c r="M1078" s="166"/>
      <c r="N1078" s="164"/>
      <c r="O1078" s="166"/>
      <c r="P1078" s="165"/>
    </row>
    <row r="1079" spans="1:16" ht="15" hidden="1" customHeight="1" x14ac:dyDescent="0.25">
      <c r="A1079" s="167"/>
      <c r="B1079" s="167"/>
      <c r="C1079" s="167"/>
      <c r="D1079" s="167"/>
      <c r="E1079" s="167"/>
      <c r="F1079" s="167"/>
      <c r="G1079" s="167"/>
      <c r="H1079" s="167"/>
      <c r="I1079" s="164">
        <f t="shared" ca="1" si="17"/>
        <v>44939</v>
      </c>
      <c r="J1079" s="163">
        <v>0.33333333333333331</v>
      </c>
      <c r="K1079" s="162" t="s">
        <v>749</v>
      </c>
      <c r="L1079" s="166"/>
      <c r="M1079" s="166"/>
      <c r="N1079" s="164"/>
      <c r="O1079" s="166"/>
      <c r="P1079" s="165"/>
    </row>
    <row r="1080" spans="1:16" ht="15" hidden="1" customHeight="1" x14ac:dyDescent="0.25">
      <c r="A1080" s="167"/>
      <c r="B1080" s="167"/>
      <c r="C1080" s="167"/>
      <c r="D1080" s="167"/>
      <c r="E1080" s="167"/>
      <c r="F1080" s="167"/>
      <c r="G1080" s="167"/>
      <c r="H1080" s="167"/>
      <c r="I1080" s="164">
        <f t="shared" ca="1" si="17"/>
        <v>44939</v>
      </c>
      <c r="J1080" s="163">
        <v>0.33333333333333331</v>
      </c>
      <c r="K1080" s="162" t="s">
        <v>749</v>
      </c>
      <c r="L1080" s="166"/>
      <c r="M1080" s="166"/>
      <c r="N1080" s="164"/>
      <c r="O1080" s="166"/>
      <c r="P1080" s="165"/>
    </row>
    <row r="1081" spans="1:16" ht="15" hidden="1" customHeight="1" x14ac:dyDescent="0.25">
      <c r="A1081" s="167"/>
      <c r="B1081" s="167"/>
      <c r="C1081" s="167"/>
      <c r="D1081" s="167"/>
      <c r="E1081" s="167"/>
      <c r="F1081" s="167"/>
      <c r="G1081" s="167"/>
      <c r="H1081" s="167"/>
      <c r="I1081" s="164">
        <f t="shared" ca="1" si="17"/>
        <v>44939</v>
      </c>
      <c r="J1081" s="163">
        <v>0.33333333333333331</v>
      </c>
      <c r="K1081" s="162" t="s">
        <v>749</v>
      </c>
      <c r="L1081" s="166"/>
      <c r="M1081" s="166"/>
      <c r="N1081" s="164"/>
      <c r="O1081" s="166"/>
      <c r="P1081" s="165"/>
    </row>
    <row r="1082" spans="1:16" ht="15" hidden="1" customHeight="1" x14ac:dyDescent="0.25">
      <c r="A1082" s="167"/>
      <c r="B1082" s="167"/>
      <c r="C1082" s="167"/>
      <c r="D1082" s="167"/>
      <c r="E1082" s="167"/>
      <c r="F1082" s="167"/>
      <c r="G1082" s="167"/>
      <c r="H1082" s="167"/>
      <c r="I1082" s="164">
        <f t="shared" ca="1" si="17"/>
        <v>44939</v>
      </c>
      <c r="J1082" s="163">
        <v>0.33333333333333331</v>
      </c>
      <c r="K1082" s="162" t="s">
        <v>749</v>
      </c>
      <c r="L1082" s="166"/>
      <c r="M1082" s="166"/>
      <c r="N1082" s="164"/>
      <c r="O1082" s="166"/>
      <c r="P1082" s="165"/>
    </row>
    <row r="1083" spans="1:16" ht="15" hidden="1" customHeight="1" x14ac:dyDescent="0.25">
      <c r="A1083" s="168"/>
      <c r="B1083" s="167"/>
      <c r="C1083" s="168"/>
      <c r="D1083" s="167"/>
      <c r="E1083" s="167"/>
      <c r="F1083" s="167"/>
      <c r="G1083" s="167"/>
      <c r="H1083" s="167"/>
      <c r="I1083" s="164">
        <f t="shared" ca="1" si="17"/>
        <v>44939</v>
      </c>
      <c r="J1083" s="163">
        <v>0.33333333333333331</v>
      </c>
      <c r="K1083" s="162" t="s">
        <v>749</v>
      </c>
      <c r="L1083" s="166"/>
      <c r="M1083" s="166"/>
      <c r="N1083" s="164"/>
      <c r="O1083" s="166"/>
      <c r="P1083" s="165"/>
    </row>
    <row r="1084" spans="1:16" ht="15" hidden="1" customHeight="1" x14ac:dyDescent="0.25">
      <c r="A1084" s="168"/>
      <c r="B1084" s="167"/>
      <c r="C1084" s="168"/>
      <c r="D1084" s="167"/>
      <c r="E1084" s="167"/>
      <c r="F1084" s="167"/>
      <c r="G1084" s="167"/>
      <c r="H1084" s="167"/>
      <c r="I1084" s="164">
        <f t="shared" ca="1" si="17"/>
        <v>44939</v>
      </c>
      <c r="J1084" s="163">
        <v>0.33333333333333331</v>
      </c>
      <c r="K1084" s="162" t="s">
        <v>749</v>
      </c>
      <c r="L1084" s="166"/>
      <c r="M1084" s="166"/>
      <c r="N1084" s="164"/>
      <c r="O1084" s="166"/>
      <c r="P1084" s="165"/>
    </row>
    <row r="1085" spans="1:16" ht="15" hidden="1" customHeight="1" x14ac:dyDescent="0.25">
      <c r="A1085" s="168"/>
      <c r="B1085" s="167"/>
      <c r="C1085" s="168"/>
      <c r="D1085" s="167"/>
      <c r="E1085" s="167"/>
      <c r="F1085" s="167"/>
      <c r="G1085" s="167"/>
      <c r="H1085" s="167"/>
      <c r="I1085" s="164">
        <f t="shared" ca="1" si="17"/>
        <v>44939</v>
      </c>
      <c r="J1085" s="163">
        <v>0.33333333333333331</v>
      </c>
      <c r="K1085" s="162" t="s">
        <v>749</v>
      </c>
      <c r="L1085" s="166"/>
      <c r="M1085" s="166"/>
      <c r="N1085" s="164"/>
      <c r="O1085" s="166"/>
      <c r="P1085" s="165"/>
    </row>
    <row r="1086" spans="1:16" ht="15" hidden="1" customHeight="1" x14ac:dyDescent="0.25">
      <c r="A1086" s="167"/>
      <c r="B1086" s="167"/>
      <c r="C1086" s="167"/>
      <c r="D1086" s="167"/>
      <c r="E1086" s="167"/>
      <c r="F1086" s="167"/>
      <c r="G1086" s="167"/>
      <c r="H1086" s="167"/>
      <c r="I1086" s="164">
        <f t="shared" ca="1" si="17"/>
        <v>44939</v>
      </c>
      <c r="J1086" s="163">
        <v>0.33333333333333331</v>
      </c>
      <c r="K1086" s="162" t="s">
        <v>749</v>
      </c>
      <c r="L1086" s="166"/>
      <c r="M1086" s="166"/>
      <c r="N1086" s="164"/>
      <c r="O1086" s="166"/>
      <c r="P1086" s="165"/>
    </row>
    <row r="1087" spans="1:16" ht="15" hidden="1" customHeight="1" x14ac:dyDescent="0.25">
      <c r="A1087" s="167"/>
      <c r="B1087" s="167"/>
      <c r="C1087" s="167"/>
      <c r="D1087" s="167"/>
      <c r="E1087" s="167"/>
      <c r="F1087" s="167"/>
      <c r="G1087" s="167"/>
      <c r="H1087" s="167"/>
      <c r="I1087" s="164">
        <f t="shared" ca="1" si="17"/>
        <v>44939</v>
      </c>
      <c r="J1087" s="163">
        <v>0.33333333333333331</v>
      </c>
      <c r="K1087" s="162" t="s">
        <v>749</v>
      </c>
      <c r="L1087" s="166"/>
      <c r="M1087" s="166"/>
      <c r="N1087" s="164"/>
      <c r="O1087" s="166"/>
      <c r="P1087" s="165"/>
    </row>
    <row r="1088" spans="1:16" ht="15" hidden="1" customHeight="1" x14ac:dyDescent="0.25">
      <c r="A1088" s="167"/>
      <c r="B1088" s="167"/>
      <c r="C1088" s="167"/>
      <c r="D1088" s="167"/>
      <c r="E1088" s="167"/>
      <c r="F1088" s="167"/>
      <c r="G1088" s="167"/>
      <c r="H1088" s="167"/>
      <c r="I1088" s="164">
        <f t="shared" ca="1" si="17"/>
        <v>44939</v>
      </c>
      <c r="J1088" s="163">
        <v>0.33333333333333331</v>
      </c>
      <c r="K1088" s="162" t="s">
        <v>749</v>
      </c>
      <c r="L1088" s="166"/>
      <c r="M1088" s="166"/>
      <c r="N1088" s="164"/>
      <c r="O1088" s="166"/>
      <c r="P1088" s="165"/>
    </row>
    <row r="1089" spans="1:16" ht="15" hidden="1" customHeight="1" x14ac:dyDescent="0.25">
      <c r="A1089" s="167"/>
      <c r="B1089" s="167"/>
      <c r="C1089" s="167"/>
      <c r="D1089" s="167"/>
      <c r="E1089" s="167"/>
      <c r="F1089" s="167"/>
      <c r="G1089" s="167"/>
      <c r="H1089" s="167"/>
      <c r="I1089" s="164">
        <f t="shared" ca="1" si="17"/>
        <v>44939</v>
      </c>
      <c r="J1089" s="163">
        <v>0.33333333333333331</v>
      </c>
      <c r="K1089" s="162" t="s">
        <v>749</v>
      </c>
      <c r="L1089" s="166"/>
      <c r="M1089" s="166"/>
      <c r="N1089" s="164"/>
      <c r="O1089" s="166"/>
      <c r="P1089" s="165"/>
    </row>
    <row r="1090" spans="1:16" ht="15" hidden="1" customHeight="1" x14ac:dyDescent="0.25">
      <c r="A1090" s="167"/>
      <c r="B1090" s="167"/>
      <c r="C1090" s="167"/>
      <c r="D1090" s="167"/>
      <c r="E1090" s="167"/>
      <c r="F1090" s="167"/>
      <c r="G1090" s="167"/>
      <c r="H1090" s="167"/>
      <c r="I1090" s="164">
        <f t="shared" ca="1" si="17"/>
        <v>44939</v>
      </c>
      <c r="J1090" s="163">
        <v>0.33333333333333331</v>
      </c>
      <c r="K1090" s="162" t="s">
        <v>749</v>
      </c>
      <c r="L1090" s="166"/>
      <c r="M1090" s="166"/>
      <c r="N1090" s="164"/>
      <c r="O1090" s="166"/>
      <c r="P1090" s="165"/>
    </row>
    <row r="1091" spans="1:16" ht="15" hidden="1" customHeight="1" x14ac:dyDescent="0.25">
      <c r="A1091" s="167"/>
      <c r="B1091" s="167"/>
      <c r="C1091" s="167"/>
      <c r="D1091" s="167"/>
      <c r="E1091" s="167"/>
      <c r="F1091" s="167"/>
      <c r="G1091" s="167"/>
      <c r="H1091" s="167"/>
      <c r="I1091" s="164">
        <f t="shared" ca="1" si="17"/>
        <v>44939</v>
      </c>
      <c r="J1091" s="163">
        <v>0.33333333333333331</v>
      </c>
      <c r="K1091" s="162" t="s">
        <v>749</v>
      </c>
      <c r="L1091" s="166"/>
      <c r="M1091" s="166"/>
      <c r="N1091" s="164"/>
      <c r="O1091" s="166"/>
      <c r="P1091" s="165"/>
    </row>
    <row r="1092" spans="1:16" ht="15" hidden="1" customHeight="1" x14ac:dyDescent="0.25">
      <c r="A1092" s="167"/>
      <c r="B1092" s="167"/>
      <c r="C1092" s="167"/>
      <c r="D1092" s="167"/>
      <c r="E1092" s="167"/>
      <c r="F1092" s="167"/>
      <c r="G1092" s="167"/>
      <c r="H1092" s="167"/>
      <c r="I1092" s="164">
        <f t="shared" ca="1" si="17"/>
        <v>44939</v>
      </c>
      <c r="J1092" s="163">
        <v>0.33333333333333331</v>
      </c>
      <c r="K1092" s="162" t="s">
        <v>749</v>
      </c>
      <c r="L1092" s="166"/>
      <c r="M1092" s="166"/>
      <c r="N1092" s="164"/>
      <c r="O1092" s="166"/>
      <c r="P1092" s="165"/>
    </row>
    <row r="1093" spans="1:16" ht="15" hidden="1" customHeight="1" x14ac:dyDescent="0.25">
      <c r="A1093" s="167"/>
      <c r="B1093" s="167"/>
      <c r="C1093" s="167"/>
      <c r="D1093" s="167"/>
      <c r="E1093" s="167"/>
      <c r="F1093" s="167"/>
      <c r="G1093" s="167"/>
      <c r="H1093" s="167"/>
      <c r="I1093" s="164">
        <f t="shared" ca="1" si="17"/>
        <v>44939</v>
      </c>
      <c r="J1093" s="163">
        <v>0.33333333333333331</v>
      </c>
      <c r="K1093" s="162" t="s">
        <v>749</v>
      </c>
      <c r="L1093" s="166"/>
      <c r="M1093" s="166"/>
      <c r="N1093" s="164"/>
      <c r="O1093" s="166"/>
      <c r="P1093" s="165"/>
    </row>
    <row r="1094" spans="1:16" ht="15" hidden="1" customHeight="1" x14ac:dyDescent="0.25">
      <c r="A1094" s="167"/>
      <c r="B1094" s="167"/>
      <c r="C1094" s="167"/>
      <c r="D1094" s="167"/>
      <c r="E1094" s="167"/>
      <c r="F1094" s="167"/>
      <c r="G1094" s="167"/>
      <c r="H1094" s="167"/>
      <c r="I1094" s="164">
        <f t="shared" ca="1" si="17"/>
        <v>44939</v>
      </c>
      <c r="J1094" s="163">
        <v>0.33333333333333331</v>
      </c>
      <c r="K1094" s="162" t="s">
        <v>749</v>
      </c>
      <c r="L1094" s="166"/>
      <c r="M1094" s="166"/>
      <c r="N1094" s="164"/>
      <c r="O1094" s="166"/>
      <c r="P1094" s="165"/>
    </row>
    <row r="1095" spans="1:16" ht="15" hidden="1" customHeight="1" x14ac:dyDescent="0.25">
      <c r="A1095" s="167"/>
      <c r="B1095" s="167"/>
      <c r="C1095" s="167"/>
      <c r="D1095" s="167"/>
      <c r="E1095" s="167"/>
      <c r="F1095" s="167"/>
      <c r="G1095" s="167"/>
      <c r="H1095" s="167"/>
      <c r="I1095" s="164">
        <f t="shared" ca="1" si="17"/>
        <v>44939</v>
      </c>
      <c r="J1095" s="163">
        <v>0.33333333333333331</v>
      </c>
      <c r="K1095" s="162" t="s">
        <v>749</v>
      </c>
      <c r="L1095" s="166"/>
      <c r="M1095" s="166"/>
      <c r="N1095" s="164"/>
      <c r="O1095" s="166"/>
      <c r="P1095" s="165"/>
    </row>
    <row r="1096" spans="1:16" ht="15" hidden="1" customHeight="1" x14ac:dyDescent="0.25">
      <c r="A1096" s="167"/>
      <c r="B1096" s="167"/>
      <c r="C1096" s="167"/>
      <c r="D1096" s="167"/>
      <c r="E1096" s="167"/>
      <c r="F1096" s="167"/>
      <c r="G1096" s="167"/>
      <c r="H1096" s="167"/>
      <c r="I1096" s="164">
        <f t="shared" ca="1" si="17"/>
        <v>44939</v>
      </c>
      <c r="J1096" s="163">
        <v>0.33333333333333331</v>
      </c>
      <c r="K1096" s="162" t="s">
        <v>749</v>
      </c>
      <c r="L1096" s="166"/>
      <c r="M1096" s="166"/>
      <c r="N1096" s="164"/>
      <c r="O1096" s="166"/>
      <c r="P1096" s="165"/>
    </row>
    <row r="1097" spans="1:16" ht="15" hidden="1" customHeight="1" x14ac:dyDescent="0.25">
      <c r="A1097" s="167"/>
      <c r="B1097" s="167"/>
      <c r="C1097" s="167"/>
      <c r="D1097" s="167"/>
      <c r="E1097" s="167"/>
      <c r="F1097" s="167"/>
      <c r="G1097" s="167"/>
      <c r="H1097" s="167"/>
      <c r="I1097" s="164">
        <f t="shared" ca="1" si="17"/>
        <v>44939</v>
      </c>
      <c r="J1097" s="163">
        <v>0.33333333333333331</v>
      </c>
      <c r="K1097" s="162" t="s">
        <v>749</v>
      </c>
      <c r="L1097" s="166"/>
      <c r="M1097" s="166"/>
      <c r="N1097" s="164"/>
      <c r="O1097" s="166"/>
      <c r="P1097" s="165"/>
    </row>
    <row r="1098" spans="1:16" ht="15" hidden="1" customHeight="1" x14ac:dyDescent="0.25">
      <c r="A1098" s="167"/>
      <c r="B1098" s="167"/>
      <c r="C1098" s="167"/>
      <c r="D1098" s="167"/>
      <c r="E1098" s="167"/>
      <c r="F1098" s="167"/>
      <c r="G1098" s="167"/>
      <c r="H1098" s="167"/>
      <c r="I1098" s="164">
        <f t="shared" ca="1" si="17"/>
        <v>44939</v>
      </c>
      <c r="J1098" s="163">
        <v>0.33333333333333331</v>
      </c>
      <c r="K1098" s="162" t="s">
        <v>749</v>
      </c>
      <c r="L1098" s="166"/>
      <c r="M1098" s="166"/>
      <c r="N1098" s="164"/>
      <c r="O1098" s="166"/>
      <c r="P1098" s="165"/>
    </row>
    <row r="1099" spans="1:16" ht="15" hidden="1" customHeight="1" x14ac:dyDescent="0.25">
      <c r="A1099" s="167"/>
      <c r="B1099" s="167"/>
      <c r="C1099" s="167"/>
      <c r="D1099" s="167"/>
      <c r="E1099" s="167"/>
      <c r="F1099" s="167"/>
      <c r="G1099" s="167"/>
      <c r="H1099" s="167"/>
      <c r="I1099" s="164">
        <f t="shared" ca="1" si="17"/>
        <v>44939</v>
      </c>
      <c r="J1099" s="163">
        <v>0.33333333333333331</v>
      </c>
      <c r="K1099" s="162" t="s">
        <v>749</v>
      </c>
      <c r="L1099" s="166"/>
      <c r="M1099" s="166"/>
      <c r="N1099" s="164"/>
      <c r="O1099" s="166"/>
      <c r="P1099" s="165"/>
    </row>
    <row r="1100" spans="1:16" ht="15" hidden="1" customHeight="1" x14ac:dyDescent="0.25">
      <c r="A1100" s="167"/>
      <c r="B1100" s="167"/>
      <c r="C1100" s="167"/>
      <c r="D1100" s="167"/>
      <c r="E1100" s="167"/>
      <c r="F1100" s="167"/>
      <c r="G1100" s="167"/>
      <c r="H1100" s="167"/>
      <c r="I1100" s="164">
        <f t="shared" ca="1" si="17"/>
        <v>44939</v>
      </c>
      <c r="J1100" s="163">
        <v>0.33333333333333331</v>
      </c>
      <c r="K1100" s="162" t="s">
        <v>749</v>
      </c>
      <c r="L1100" s="166"/>
      <c r="M1100" s="166"/>
      <c r="N1100" s="164"/>
      <c r="O1100" s="166"/>
      <c r="P1100" s="165"/>
    </row>
    <row r="1101" spans="1:16" ht="15" hidden="1" customHeight="1" x14ac:dyDescent="0.25">
      <c r="A1101" s="167"/>
      <c r="B1101" s="167"/>
      <c r="C1101" s="167"/>
      <c r="D1101" s="167"/>
      <c r="E1101" s="167"/>
      <c r="F1101" s="167"/>
      <c r="G1101" s="167"/>
      <c r="H1101" s="167"/>
      <c r="I1101" s="164">
        <f t="shared" ca="1" si="17"/>
        <v>44939</v>
      </c>
      <c r="J1101" s="163">
        <v>0.33333333333333331</v>
      </c>
      <c r="K1101" s="162" t="s">
        <v>749</v>
      </c>
      <c r="L1101" s="166"/>
      <c r="M1101" s="166"/>
      <c r="N1101" s="164"/>
      <c r="O1101" s="166"/>
      <c r="P1101" s="165"/>
    </row>
    <row r="1102" spans="1:16" ht="15" hidden="1" customHeight="1" x14ac:dyDescent="0.25">
      <c r="A1102" s="167"/>
      <c r="B1102" s="167"/>
      <c r="C1102" s="167"/>
      <c r="D1102" s="167"/>
      <c r="E1102" s="167"/>
      <c r="F1102" s="167"/>
      <c r="G1102" s="167"/>
      <c r="H1102" s="167"/>
      <c r="I1102" s="164">
        <f t="shared" ca="1" si="17"/>
        <v>44939</v>
      </c>
      <c r="J1102" s="163">
        <v>0.33333333333333331</v>
      </c>
      <c r="K1102" s="162" t="s">
        <v>749</v>
      </c>
      <c r="L1102" s="166"/>
      <c r="M1102" s="166"/>
      <c r="N1102" s="164"/>
      <c r="O1102" s="166"/>
      <c r="P1102" s="165"/>
    </row>
    <row r="1103" spans="1:16" ht="15" hidden="1" customHeight="1" x14ac:dyDescent="0.25">
      <c r="A1103" s="167"/>
      <c r="B1103" s="167"/>
      <c r="C1103" s="168"/>
      <c r="D1103" s="167"/>
      <c r="E1103" s="167"/>
      <c r="F1103" s="167"/>
      <c r="G1103" s="167"/>
      <c r="H1103" s="167"/>
      <c r="I1103" s="164">
        <f t="shared" ca="1" si="17"/>
        <v>44939</v>
      </c>
      <c r="J1103" s="163">
        <v>0.33333333333333331</v>
      </c>
      <c r="K1103" s="162" t="s">
        <v>749</v>
      </c>
      <c r="L1103" s="166"/>
      <c r="M1103" s="166"/>
      <c r="N1103" s="164"/>
      <c r="O1103" s="166"/>
      <c r="P1103" s="165"/>
    </row>
    <row r="1104" spans="1:16" ht="15" hidden="1" customHeight="1" x14ac:dyDescent="0.25">
      <c r="A1104" s="167"/>
      <c r="B1104" s="167"/>
      <c r="C1104" s="167"/>
      <c r="D1104" s="167"/>
      <c r="E1104" s="167"/>
      <c r="F1104" s="167"/>
      <c r="G1104" s="167"/>
      <c r="H1104" s="167"/>
      <c r="I1104" s="164">
        <f t="shared" ca="1" si="17"/>
        <v>44939</v>
      </c>
      <c r="J1104" s="163">
        <v>0.33333333333333331</v>
      </c>
      <c r="K1104" s="162" t="s">
        <v>749</v>
      </c>
      <c r="L1104" s="166"/>
      <c r="M1104" s="166"/>
      <c r="N1104" s="164"/>
      <c r="O1104" s="166"/>
      <c r="P1104" s="165"/>
    </row>
    <row r="1105" spans="1:16" ht="15" hidden="1" customHeight="1" x14ac:dyDescent="0.25">
      <c r="A1105" s="167"/>
      <c r="B1105" s="167"/>
      <c r="C1105" s="167"/>
      <c r="D1105" s="167"/>
      <c r="E1105" s="167"/>
      <c r="F1105" s="167"/>
      <c r="G1105" s="167"/>
      <c r="H1105" s="167"/>
      <c r="I1105" s="164">
        <f t="shared" ca="1" si="17"/>
        <v>44939</v>
      </c>
      <c r="J1105" s="163">
        <v>0.33333333333333331</v>
      </c>
      <c r="K1105" s="162" t="s">
        <v>749</v>
      </c>
      <c r="L1105" s="166"/>
      <c r="M1105" s="166"/>
      <c r="N1105" s="164"/>
      <c r="O1105" s="166"/>
      <c r="P1105" s="165"/>
    </row>
    <row r="1106" spans="1:16" ht="15" hidden="1" customHeight="1" x14ac:dyDescent="0.25">
      <c r="A1106" s="167"/>
      <c r="B1106" s="167"/>
      <c r="C1106" s="167"/>
      <c r="D1106" s="167"/>
      <c r="E1106" s="167"/>
      <c r="F1106" s="167"/>
      <c r="G1106" s="167"/>
      <c r="H1106" s="167"/>
      <c r="I1106" s="164">
        <f t="shared" ca="1" si="17"/>
        <v>44939</v>
      </c>
      <c r="J1106" s="163">
        <v>0.33333333333333331</v>
      </c>
      <c r="K1106" s="162" t="s">
        <v>749</v>
      </c>
      <c r="L1106" s="166"/>
      <c r="M1106" s="166"/>
      <c r="N1106" s="164"/>
      <c r="O1106" s="166"/>
      <c r="P1106" s="165"/>
    </row>
    <row r="1107" spans="1:16" ht="15" hidden="1" customHeight="1" x14ac:dyDescent="0.25">
      <c r="A1107" s="167"/>
      <c r="B1107" s="167"/>
      <c r="C1107" s="167"/>
      <c r="D1107" s="167"/>
      <c r="E1107" s="167"/>
      <c r="F1107" s="167"/>
      <c r="G1107" s="167"/>
      <c r="H1107" s="167"/>
      <c r="I1107" s="164">
        <f t="shared" ca="1" si="17"/>
        <v>44939</v>
      </c>
      <c r="J1107" s="163">
        <v>0.33333333333333331</v>
      </c>
      <c r="K1107" s="162" t="s">
        <v>749</v>
      </c>
      <c r="L1107" s="166"/>
      <c r="M1107" s="166"/>
      <c r="N1107" s="164"/>
      <c r="O1107" s="166"/>
      <c r="P1107" s="165"/>
    </row>
    <row r="1108" spans="1:16" ht="15" hidden="1" customHeight="1" x14ac:dyDescent="0.25">
      <c r="A1108" s="167"/>
      <c r="B1108" s="167"/>
      <c r="C1108" s="167"/>
      <c r="D1108" s="167"/>
      <c r="E1108" s="167"/>
      <c r="F1108" s="167"/>
      <c r="G1108" s="167"/>
      <c r="H1108" s="167"/>
      <c r="I1108" s="164">
        <f t="shared" ca="1" si="17"/>
        <v>44939</v>
      </c>
      <c r="J1108" s="163">
        <v>0.33333333333333331</v>
      </c>
      <c r="K1108" s="162" t="s">
        <v>749</v>
      </c>
      <c r="L1108" s="166"/>
      <c r="M1108" s="166"/>
      <c r="N1108" s="164"/>
      <c r="O1108" s="166"/>
      <c r="P1108" s="165"/>
    </row>
    <row r="1109" spans="1:16" ht="15" hidden="1" customHeight="1" x14ac:dyDescent="0.25">
      <c r="A1109" s="167"/>
      <c r="B1109" s="167"/>
      <c r="C1109" s="167"/>
      <c r="D1109" s="167"/>
      <c r="E1109" s="167"/>
      <c r="F1109" s="167"/>
      <c r="G1109" s="167"/>
      <c r="H1109" s="167"/>
      <c r="I1109" s="164">
        <f t="shared" ca="1" si="17"/>
        <v>44939</v>
      </c>
      <c r="J1109" s="163">
        <v>0.33333333333333331</v>
      </c>
      <c r="K1109" s="162" t="s">
        <v>749</v>
      </c>
      <c r="L1109" s="166"/>
      <c r="M1109" s="166"/>
      <c r="N1109" s="164"/>
      <c r="O1109" s="166"/>
      <c r="P1109" s="165"/>
    </row>
    <row r="1110" spans="1:16" ht="15" hidden="1" customHeight="1" x14ac:dyDescent="0.25">
      <c r="A1110" s="167"/>
      <c r="B1110" s="167"/>
      <c r="C1110" s="167"/>
      <c r="D1110" s="167"/>
      <c r="E1110" s="167"/>
      <c r="F1110" s="167"/>
      <c r="G1110" s="167"/>
      <c r="H1110" s="167"/>
      <c r="I1110" s="164">
        <f t="shared" ca="1" si="17"/>
        <v>44939</v>
      </c>
      <c r="J1110" s="163">
        <v>0.33333333333333331</v>
      </c>
      <c r="K1110" s="162" t="s">
        <v>749</v>
      </c>
      <c r="L1110" s="166"/>
      <c r="M1110" s="166"/>
      <c r="N1110" s="164"/>
      <c r="O1110" s="166"/>
      <c r="P1110" s="165"/>
    </row>
    <row r="1111" spans="1:16" ht="15" hidden="1" customHeight="1" x14ac:dyDescent="0.25">
      <c r="A1111" s="167"/>
      <c r="B1111" s="167"/>
      <c r="C1111" s="167"/>
      <c r="D1111" s="167"/>
      <c r="E1111" s="167"/>
      <c r="F1111" s="167"/>
      <c r="G1111" s="167"/>
      <c r="H1111" s="167"/>
      <c r="I1111" s="164">
        <f t="shared" ca="1" si="17"/>
        <v>44939</v>
      </c>
      <c r="J1111" s="163">
        <v>0.33333333333333331</v>
      </c>
      <c r="K1111" s="162" t="s">
        <v>749</v>
      </c>
      <c r="L1111" s="166"/>
      <c r="M1111" s="166"/>
      <c r="N1111" s="164"/>
      <c r="O1111" s="166"/>
      <c r="P1111" s="165"/>
    </row>
    <row r="1112" spans="1:16" ht="15" hidden="1" customHeight="1" x14ac:dyDescent="0.25">
      <c r="A1112" s="167"/>
      <c r="B1112" s="167"/>
      <c r="C1112" s="167"/>
      <c r="D1112" s="167"/>
      <c r="E1112" s="167"/>
      <c r="F1112" s="167"/>
      <c r="G1112" s="167"/>
      <c r="H1112" s="167"/>
      <c r="I1112" s="164">
        <f t="shared" ref="I1112:I1175" ca="1" si="18">TODAY()</f>
        <v>44939</v>
      </c>
      <c r="J1112" s="163">
        <v>0.33333333333333331</v>
      </c>
      <c r="K1112" s="162" t="s">
        <v>749</v>
      </c>
      <c r="L1112" s="166"/>
      <c r="M1112" s="166"/>
      <c r="N1112" s="164"/>
      <c r="O1112" s="166"/>
      <c r="P1112" s="165"/>
    </row>
    <row r="1113" spans="1:16" ht="15" hidden="1" customHeight="1" x14ac:dyDescent="0.25">
      <c r="A1113" s="167"/>
      <c r="B1113" s="167"/>
      <c r="C1113" s="167"/>
      <c r="D1113" s="167"/>
      <c r="E1113" s="167"/>
      <c r="F1113" s="167"/>
      <c r="G1113" s="167"/>
      <c r="H1113" s="167"/>
      <c r="I1113" s="164">
        <f t="shared" ca="1" si="18"/>
        <v>44939</v>
      </c>
      <c r="J1113" s="163">
        <v>0.33333333333333331</v>
      </c>
      <c r="K1113" s="162" t="s">
        <v>749</v>
      </c>
      <c r="L1113" s="166"/>
      <c r="M1113" s="166"/>
      <c r="N1113" s="164"/>
      <c r="O1113" s="166"/>
      <c r="P1113" s="165"/>
    </row>
    <row r="1114" spans="1:16" ht="15" hidden="1" customHeight="1" x14ac:dyDescent="0.25">
      <c r="A1114" s="167"/>
      <c r="B1114" s="167"/>
      <c r="C1114" s="167"/>
      <c r="D1114" s="167"/>
      <c r="E1114" s="167"/>
      <c r="F1114" s="167"/>
      <c r="G1114" s="167"/>
      <c r="H1114" s="167"/>
      <c r="I1114" s="164">
        <f t="shared" ca="1" si="18"/>
        <v>44939</v>
      </c>
      <c r="J1114" s="163">
        <v>0.33333333333333331</v>
      </c>
      <c r="K1114" s="162" t="s">
        <v>749</v>
      </c>
      <c r="L1114" s="166"/>
      <c r="M1114" s="166"/>
      <c r="N1114" s="164"/>
      <c r="O1114" s="166"/>
      <c r="P1114" s="165"/>
    </row>
    <row r="1115" spans="1:16" ht="15" hidden="1" customHeight="1" x14ac:dyDescent="0.25">
      <c r="A1115" s="167"/>
      <c r="B1115" s="167"/>
      <c r="C1115" s="167"/>
      <c r="D1115" s="167"/>
      <c r="E1115" s="167"/>
      <c r="F1115" s="167"/>
      <c r="G1115" s="167"/>
      <c r="H1115" s="167"/>
      <c r="I1115" s="164">
        <f t="shared" ca="1" si="18"/>
        <v>44939</v>
      </c>
      <c r="J1115" s="163">
        <v>0.33333333333333331</v>
      </c>
      <c r="K1115" s="162" t="s">
        <v>749</v>
      </c>
      <c r="L1115" s="166"/>
      <c r="M1115" s="166"/>
      <c r="N1115" s="164"/>
      <c r="O1115" s="166"/>
      <c r="P1115" s="165"/>
    </row>
    <row r="1116" spans="1:16" ht="15" hidden="1" customHeight="1" x14ac:dyDescent="0.25">
      <c r="A1116" s="167"/>
      <c r="B1116" s="167"/>
      <c r="C1116" s="167"/>
      <c r="D1116" s="167"/>
      <c r="E1116" s="167"/>
      <c r="F1116" s="167"/>
      <c r="G1116" s="167"/>
      <c r="H1116" s="167"/>
      <c r="I1116" s="164">
        <f t="shared" ca="1" si="18"/>
        <v>44939</v>
      </c>
      <c r="J1116" s="163">
        <v>0.33333333333333331</v>
      </c>
      <c r="K1116" s="162" t="s">
        <v>749</v>
      </c>
      <c r="L1116" s="166"/>
      <c r="M1116" s="166"/>
      <c r="N1116" s="164"/>
      <c r="O1116" s="166"/>
      <c r="P1116" s="165"/>
    </row>
    <row r="1117" spans="1:16" ht="15" hidden="1" customHeight="1" x14ac:dyDescent="0.25">
      <c r="A1117" s="167"/>
      <c r="B1117" s="167"/>
      <c r="C1117" s="167"/>
      <c r="D1117" s="167"/>
      <c r="E1117" s="167"/>
      <c r="F1117" s="167"/>
      <c r="G1117" s="167"/>
      <c r="H1117" s="167"/>
      <c r="I1117" s="164">
        <f t="shared" ca="1" si="18"/>
        <v>44939</v>
      </c>
      <c r="J1117" s="163">
        <v>0.33333333333333331</v>
      </c>
      <c r="K1117" s="162" t="s">
        <v>749</v>
      </c>
      <c r="L1117" s="166"/>
      <c r="M1117" s="166"/>
      <c r="N1117" s="164"/>
      <c r="O1117" s="166"/>
      <c r="P1117" s="165"/>
    </row>
    <row r="1118" spans="1:16" ht="15" hidden="1" customHeight="1" x14ac:dyDescent="0.25">
      <c r="A1118" s="167"/>
      <c r="B1118" s="167"/>
      <c r="C1118" s="167"/>
      <c r="D1118" s="167"/>
      <c r="E1118" s="167"/>
      <c r="F1118" s="167"/>
      <c r="G1118" s="167"/>
      <c r="H1118" s="167"/>
      <c r="I1118" s="164">
        <f t="shared" ca="1" si="18"/>
        <v>44939</v>
      </c>
      <c r="J1118" s="163">
        <v>0.33333333333333331</v>
      </c>
      <c r="K1118" s="162" t="s">
        <v>749</v>
      </c>
      <c r="L1118" s="166"/>
      <c r="M1118" s="166"/>
      <c r="N1118" s="164"/>
      <c r="O1118" s="166"/>
      <c r="P1118" s="165"/>
    </row>
    <row r="1119" spans="1:16" ht="15" hidden="1" customHeight="1" x14ac:dyDescent="0.25">
      <c r="A1119" s="167"/>
      <c r="B1119" s="167"/>
      <c r="C1119" s="167"/>
      <c r="D1119" s="167"/>
      <c r="E1119" s="167"/>
      <c r="F1119" s="167"/>
      <c r="G1119" s="167"/>
      <c r="H1119" s="167"/>
      <c r="I1119" s="164">
        <f t="shared" ca="1" si="18"/>
        <v>44939</v>
      </c>
      <c r="J1119" s="163">
        <v>0.33333333333333331</v>
      </c>
      <c r="K1119" s="162" t="s">
        <v>749</v>
      </c>
      <c r="L1119" s="166"/>
      <c r="M1119" s="166"/>
      <c r="N1119" s="164"/>
      <c r="O1119" s="166"/>
      <c r="P1119" s="165"/>
    </row>
    <row r="1120" spans="1:16" ht="15" hidden="1" customHeight="1" x14ac:dyDescent="0.25">
      <c r="A1120" s="167"/>
      <c r="B1120" s="167"/>
      <c r="C1120" s="167"/>
      <c r="D1120" s="167"/>
      <c r="E1120" s="167"/>
      <c r="F1120" s="167"/>
      <c r="G1120" s="167"/>
      <c r="H1120" s="167"/>
      <c r="I1120" s="164">
        <f t="shared" ca="1" si="18"/>
        <v>44939</v>
      </c>
      <c r="J1120" s="163">
        <v>0.33333333333333331</v>
      </c>
      <c r="K1120" s="162" t="s">
        <v>749</v>
      </c>
      <c r="L1120" s="166"/>
      <c r="M1120" s="166"/>
      <c r="N1120" s="164"/>
      <c r="O1120" s="166"/>
      <c r="P1120" s="165"/>
    </row>
    <row r="1121" spans="1:16" ht="15" hidden="1" customHeight="1" x14ac:dyDescent="0.25">
      <c r="A1121" s="167"/>
      <c r="B1121" s="167"/>
      <c r="C1121" s="167"/>
      <c r="D1121" s="167"/>
      <c r="E1121" s="167"/>
      <c r="F1121" s="167"/>
      <c r="G1121" s="167"/>
      <c r="H1121" s="167"/>
      <c r="I1121" s="164">
        <f t="shared" ca="1" si="18"/>
        <v>44939</v>
      </c>
      <c r="J1121" s="163">
        <v>0.33333333333333331</v>
      </c>
      <c r="K1121" s="162" t="s">
        <v>749</v>
      </c>
      <c r="L1121" s="166"/>
      <c r="M1121" s="166"/>
      <c r="N1121" s="164"/>
      <c r="O1121" s="166"/>
      <c r="P1121" s="165"/>
    </row>
    <row r="1122" spans="1:16" ht="15" hidden="1" customHeight="1" x14ac:dyDescent="0.25">
      <c r="A1122" s="167"/>
      <c r="B1122" s="160"/>
      <c r="C1122" s="167"/>
      <c r="D1122" s="167"/>
      <c r="E1122" s="167"/>
      <c r="F1122" s="167"/>
      <c r="G1122" s="167"/>
      <c r="H1122" s="167"/>
      <c r="I1122" s="164">
        <f t="shared" ca="1" si="18"/>
        <v>44939</v>
      </c>
      <c r="J1122" s="163">
        <v>0.33333333333333331</v>
      </c>
      <c r="K1122" s="162" t="s">
        <v>749</v>
      </c>
      <c r="L1122" s="166"/>
      <c r="M1122" s="166"/>
      <c r="N1122" s="164"/>
      <c r="O1122" s="166"/>
      <c r="P1122" s="165"/>
    </row>
    <row r="1123" spans="1:16" ht="15" hidden="1" customHeight="1" x14ac:dyDescent="0.25">
      <c r="A1123" s="167"/>
      <c r="B1123" s="167"/>
      <c r="C1123" s="167"/>
      <c r="D1123" s="167"/>
      <c r="E1123" s="167"/>
      <c r="F1123" s="167"/>
      <c r="G1123" s="167"/>
      <c r="H1123" s="167"/>
      <c r="I1123" s="164">
        <f t="shared" ca="1" si="18"/>
        <v>44939</v>
      </c>
      <c r="J1123" s="163">
        <v>0.33333333333333331</v>
      </c>
      <c r="K1123" s="162" t="s">
        <v>749</v>
      </c>
      <c r="L1123" s="166"/>
      <c r="M1123" s="166"/>
      <c r="N1123" s="164"/>
      <c r="O1123" s="166"/>
      <c r="P1123" s="165"/>
    </row>
    <row r="1124" spans="1:16" ht="15" hidden="1" customHeight="1" x14ac:dyDescent="0.25">
      <c r="A1124" s="167"/>
      <c r="B1124" s="167"/>
      <c r="C1124" s="167"/>
      <c r="D1124" s="167"/>
      <c r="E1124" s="167"/>
      <c r="F1124" s="167"/>
      <c r="G1124" s="167"/>
      <c r="H1124" s="167"/>
      <c r="I1124" s="164">
        <f t="shared" ca="1" si="18"/>
        <v>44939</v>
      </c>
      <c r="J1124" s="163">
        <v>0.33333333333333331</v>
      </c>
      <c r="K1124" s="162" t="s">
        <v>749</v>
      </c>
      <c r="L1124" s="166"/>
      <c r="M1124" s="166"/>
      <c r="N1124" s="164"/>
      <c r="O1124" s="166"/>
      <c r="P1124" s="165"/>
    </row>
    <row r="1125" spans="1:16" ht="15" hidden="1" customHeight="1" x14ac:dyDescent="0.25">
      <c r="A1125" s="167"/>
      <c r="B1125" s="167"/>
      <c r="C1125" s="167"/>
      <c r="D1125" s="167"/>
      <c r="E1125" s="167"/>
      <c r="F1125" s="167"/>
      <c r="G1125" s="167"/>
      <c r="H1125" s="167"/>
      <c r="I1125" s="164">
        <f t="shared" ca="1" si="18"/>
        <v>44939</v>
      </c>
      <c r="J1125" s="163">
        <v>0.33333333333333331</v>
      </c>
      <c r="K1125" s="162" t="s">
        <v>749</v>
      </c>
      <c r="L1125" s="166"/>
      <c r="M1125" s="166"/>
      <c r="N1125" s="164"/>
      <c r="O1125" s="166"/>
      <c r="P1125" s="165"/>
    </row>
    <row r="1126" spans="1:16" ht="15" hidden="1" customHeight="1" x14ac:dyDescent="0.25">
      <c r="A1126" s="167"/>
      <c r="B1126" s="167"/>
      <c r="C1126" s="167"/>
      <c r="D1126" s="167"/>
      <c r="E1126" s="167"/>
      <c r="F1126" s="167"/>
      <c r="G1126" s="167"/>
      <c r="H1126" s="167"/>
      <c r="I1126" s="164">
        <f t="shared" ca="1" si="18"/>
        <v>44939</v>
      </c>
      <c r="J1126" s="163">
        <v>0.33333333333333331</v>
      </c>
      <c r="K1126" s="162" t="s">
        <v>749</v>
      </c>
      <c r="L1126" s="166"/>
      <c r="M1126" s="166"/>
      <c r="N1126" s="164"/>
      <c r="O1126" s="166"/>
      <c r="P1126" s="165"/>
    </row>
    <row r="1127" spans="1:16" ht="15" hidden="1" customHeight="1" x14ac:dyDescent="0.25">
      <c r="A1127" s="168"/>
      <c r="B1127" s="167"/>
      <c r="C1127" s="168"/>
      <c r="D1127" s="167"/>
      <c r="E1127" s="167"/>
      <c r="F1127" s="167"/>
      <c r="G1127" s="167"/>
      <c r="H1127" s="167"/>
      <c r="I1127" s="164">
        <f t="shared" ca="1" si="18"/>
        <v>44939</v>
      </c>
      <c r="J1127" s="163">
        <v>0.33333333333333331</v>
      </c>
      <c r="K1127" s="162" t="s">
        <v>749</v>
      </c>
      <c r="L1127" s="166"/>
      <c r="M1127" s="166"/>
      <c r="N1127" s="164"/>
      <c r="O1127" s="166"/>
      <c r="P1127" s="165"/>
    </row>
    <row r="1128" spans="1:16" ht="15" hidden="1" customHeight="1" x14ac:dyDescent="0.25">
      <c r="A1128" s="168"/>
      <c r="B1128" s="167"/>
      <c r="C1128" s="168"/>
      <c r="D1128" s="167"/>
      <c r="E1128" s="167"/>
      <c r="F1128" s="167"/>
      <c r="G1128" s="167"/>
      <c r="H1128" s="167"/>
      <c r="I1128" s="164">
        <f t="shared" ca="1" si="18"/>
        <v>44939</v>
      </c>
      <c r="J1128" s="163">
        <v>0.33333333333333331</v>
      </c>
      <c r="K1128" s="162" t="s">
        <v>749</v>
      </c>
      <c r="L1128" s="166"/>
      <c r="M1128" s="166"/>
      <c r="N1128" s="164"/>
      <c r="O1128" s="166"/>
      <c r="P1128" s="165"/>
    </row>
    <row r="1129" spans="1:16" ht="15" hidden="1" customHeight="1" x14ac:dyDescent="0.25">
      <c r="A1129" s="167"/>
      <c r="B1129" s="167"/>
      <c r="C1129" s="167"/>
      <c r="D1129" s="167"/>
      <c r="E1129" s="167"/>
      <c r="F1129" s="167"/>
      <c r="G1129" s="167"/>
      <c r="H1129" s="167"/>
      <c r="I1129" s="164">
        <f t="shared" ca="1" si="18"/>
        <v>44939</v>
      </c>
      <c r="J1129" s="163">
        <v>0.33333333333333331</v>
      </c>
      <c r="K1129" s="162" t="s">
        <v>749</v>
      </c>
      <c r="L1129" s="166"/>
      <c r="M1129" s="166"/>
      <c r="N1129" s="164"/>
      <c r="O1129" s="166"/>
      <c r="P1129" s="165"/>
    </row>
    <row r="1130" spans="1:16" ht="15" hidden="1" customHeight="1" x14ac:dyDescent="0.25">
      <c r="A1130" s="167"/>
      <c r="B1130" s="167"/>
      <c r="C1130" s="167"/>
      <c r="D1130" s="167"/>
      <c r="E1130" s="167"/>
      <c r="F1130" s="167"/>
      <c r="G1130" s="167"/>
      <c r="H1130" s="167"/>
      <c r="I1130" s="164">
        <f t="shared" ca="1" si="18"/>
        <v>44939</v>
      </c>
      <c r="J1130" s="163">
        <v>0.33333333333333331</v>
      </c>
      <c r="K1130" s="162" t="s">
        <v>749</v>
      </c>
      <c r="L1130" s="166"/>
      <c r="M1130" s="166"/>
      <c r="N1130" s="164"/>
      <c r="O1130" s="166"/>
      <c r="P1130" s="165"/>
    </row>
    <row r="1131" spans="1:16" ht="15" hidden="1" customHeight="1" x14ac:dyDescent="0.25">
      <c r="A1131" s="167"/>
      <c r="B1131" s="167"/>
      <c r="C1131" s="167"/>
      <c r="D1131" s="167"/>
      <c r="E1131" s="167"/>
      <c r="F1131" s="167"/>
      <c r="G1131" s="167"/>
      <c r="H1131" s="167"/>
      <c r="I1131" s="164">
        <f t="shared" ca="1" si="18"/>
        <v>44939</v>
      </c>
      <c r="J1131" s="163">
        <v>0.33333333333333331</v>
      </c>
      <c r="K1131" s="162" t="s">
        <v>749</v>
      </c>
      <c r="L1131" s="166"/>
      <c r="M1131" s="166"/>
      <c r="N1131" s="164"/>
      <c r="O1131" s="166"/>
      <c r="P1131" s="165"/>
    </row>
    <row r="1132" spans="1:16" ht="15" hidden="1" customHeight="1" x14ac:dyDescent="0.25">
      <c r="A1132" s="167"/>
      <c r="B1132" s="167"/>
      <c r="C1132" s="167"/>
      <c r="D1132" s="167"/>
      <c r="E1132" s="167"/>
      <c r="F1132" s="167"/>
      <c r="G1132" s="167"/>
      <c r="H1132" s="167"/>
      <c r="I1132" s="164">
        <f t="shared" ca="1" si="18"/>
        <v>44939</v>
      </c>
      <c r="J1132" s="163">
        <v>0.33333333333333331</v>
      </c>
      <c r="K1132" s="162" t="s">
        <v>749</v>
      </c>
      <c r="L1132" s="166"/>
      <c r="M1132" s="166"/>
      <c r="N1132" s="164"/>
      <c r="O1132" s="166"/>
      <c r="P1132" s="165"/>
    </row>
    <row r="1133" spans="1:16" ht="15" hidden="1" customHeight="1" x14ac:dyDescent="0.25">
      <c r="A1133" s="168"/>
      <c r="B1133" s="167"/>
      <c r="C1133" s="168"/>
      <c r="D1133" s="167"/>
      <c r="E1133" s="167"/>
      <c r="F1133" s="167"/>
      <c r="G1133" s="167"/>
      <c r="H1133" s="167"/>
      <c r="I1133" s="164">
        <f t="shared" ca="1" si="18"/>
        <v>44939</v>
      </c>
      <c r="J1133" s="163">
        <v>0.33333333333333331</v>
      </c>
      <c r="K1133" s="162" t="s">
        <v>749</v>
      </c>
      <c r="L1133" s="166"/>
      <c r="M1133" s="166"/>
      <c r="N1133" s="164"/>
      <c r="O1133" s="166"/>
      <c r="P1133" s="165"/>
    </row>
    <row r="1134" spans="1:16" ht="15" hidden="1" customHeight="1" x14ac:dyDescent="0.25">
      <c r="A1134" s="168"/>
      <c r="B1134" s="167"/>
      <c r="C1134" s="168"/>
      <c r="D1134" s="167"/>
      <c r="E1134" s="167"/>
      <c r="F1134" s="167"/>
      <c r="G1134" s="167"/>
      <c r="H1134" s="167"/>
      <c r="I1134" s="164">
        <f t="shared" ca="1" si="18"/>
        <v>44939</v>
      </c>
      <c r="J1134" s="163">
        <v>0.33333333333333331</v>
      </c>
      <c r="K1134" s="162" t="s">
        <v>749</v>
      </c>
      <c r="L1134" s="166"/>
      <c r="M1134" s="166"/>
      <c r="N1134" s="164"/>
      <c r="O1134" s="166"/>
      <c r="P1134" s="165"/>
    </row>
    <row r="1135" spans="1:16" ht="15" hidden="1" customHeight="1" x14ac:dyDescent="0.25">
      <c r="A1135" s="168"/>
      <c r="B1135" s="167"/>
      <c r="C1135" s="168"/>
      <c r="D1135" s="167"/>
      <c r="E1135" s="167"/>
      <c r="F1135" s="167"/>
      <c r="G1135" s="167"/>
      <c r="H1135" s="167"/>
      <c r="I1135" s="164">
        <f t="shared" ca="1" si="18"/>
        <v>44939</v>
      </c>
      <c r="J1135" s="163">
        <v>0.33333333333333331</v>
      </c>
      <c r="K1135" s="162" t="s">
        <v>749</v>
      </c>
      <c r="L1135" s="166"/>
      <c r="M1135" s="166"/>
      <c r="N1135" s="164"/>
      <c r="O1135" s="166"/>
      <c r="P1135" s="165"/>
    </row>
    <row r="1136" spans="1:16" ht="15" hidden="1" customHeight="1" x14ac:dyDescent="0.25">
      <c r="A1136" s="167"/>
      <c r="B1136" s="167"/>
      <c r="C1136" s="167"/>
      <c r="D1136" s="167"/>
      <c r="E1136" s="167"/>
      <c r="F1136" s="167"/>
      <c r="G1136" s="167"/>
      <c r="H1136" s="167"/>
      <c r="I1136" s="164">
        <f t="shared" ca="1" si="18"/>
        <v>44939</v>
      </c>
      <c r="J1136" s="163">
        <v>0.33333333333333331</v>
      </c>
      <c r="K1136" s="162" t="s">
        <v>749</v>
      </c>
      <c r="L1136" s="166"/>
      <c r="M1136" s="166"/>
      <c r="N1136" s="164"/>
      <c r="O1136" s="166"/>
      <c r="P1136" s="165"/>
    </row>
    <row r="1137" spans="1:16" ht="15" hidden="1" customHeight="1" x14ac:dyDescent="0.25">
      <c r="A1137" s="167"/>
      <c r="B1137" s="167"/>
      <c r="C1137" s="167"/>
      <c r="D1137" s="167"/>
      <c r="E1137" s="167"/>
      <c r="F1137" s="167"/>
      <c r="G1137" s="167"/>
      <c r="H1137" s="167"/>
      <c r="I1137" s="164">
        <f t="shared" ca="1" si="18"/>
        <v>44939</v>
      </c>
      <c r="J1137" s="163">
        <v>0.33333333333333331</v>
      </c>
      <c r="K1137" s="162" t="s">
        <v>749</v>
      </c>
      <c r="L1137" s="166"/>
      <c r="M1137" s="166"/>
      <c r="N1137" s="164"/>
      <c r="O1137" s="166"/>
      <c r="P1137" s="165"/>
    </row>
    <row r="1138" spans="1:16" ht="15" hidden="1" customHeight="1" x14ac:dyDescent="0.25">
      <c r="A1138" s="167"/>
      <c r="B1138" s="167"/>
      <c r="C1138" s="167"/>
      <c r="D1138" s="167"/>
      <c r="E1138" s="167"/>
      <c r="F1138" s="167"/>
      <c r="G1138" s="167"/>
      <c r="H1138" s="167"/>
      <c r="I1138" s="164">
        <f t="shared" ca="1" si="18"/>
        <v>44939</v>
      </c>
      <c r="J1138" s="163">
        <v>0.33333333333333331</v>
      </c>
      <c r="K1138" s="162" t="s">
        <v>749</v>
      </c>
      <c r="L1138" s="166"/>
      <c r="M1138" s="166"/>
      <c r="N1138" s="164"/>
      <c r="O1138" s="166"/>
      <c r="P1138" s="165"/>
    </row>
    <row r="1139" spans="1:16" ht="15" hidden="1" customHeight="1" x14ac:dyDescent="0.25">
      <c r="A1139" s="168"/>
      <c r="B1139" s="167"/>
      <c r="C1139" s="168"/>
      <c r="D1139" s="167"/>
      <c r="E1139" s="167"/>
      <c r="F1139" s="167"/>
      <c r="G1139" s="167"/>
      <c r="H1139" s="167"/>
      <c r="I1139" s="164">
        <f t="shared" ca="1" si="18"/>
        <v>44939</v>
      </c>
      <c r="J1139" s="163">
        <v>0.33333333333333331</v>
      </c>
      <c r="K1139" s="162" t="s">
        <v>749</v>
      </c>
      <c r="L1139" s="166"/>
      <c r="M1139" s="166"/>
      <c r="N1139" s="164"/>
      <c r="O1139" s="166"/>
      <c r="P1139" s="165"/>
    </row>
    <row r="1140" spans="1:16" ht="15" hidden="1" customHeight="1" x14ac:dyDescent="0.25">
      <c r="A1140" s="167"/>
      <c r="B1140" s="167"/>
      <c r="C1140" s="167"/>
      <c r="D1140" s="167"/>
      <c r="E1140" s="167"/>
      <c r="F1140" s="167"/>
      <c r="G1140" s="167"/>
      <c r="H1140" s="167"/>
      <c r="I1140" s="164">
        <f t="shared" ca="1" si="18"/>
        <v>44939</v>
      </c>
      <c r="J1140" s="163">
        <v>0.33333333333333331</v>
      </c>
      <c r="K1140" s="162" t="s">
        <v>749</v>
      </c>
      <c r="L1140" s="166"/>
      <c r="M1140" s="166"/>
      <c r="N1140" s="164"/>
      <c r="O1140" s="166"/>
      <c r="P1140" s="165"/>
    </row>
    <row r="1141" spans="1:16" ht="15" hidden="1" customHeight="1" x14ac:dyDescent="0.25">
      <c r="A1141" s="167"/>
      <c r="B1141" s="167"/>
      <c r="C1141" s="167"/>
      <c r="D1141" s="167"/>
      <c r="E1141" s="167"/>
      <c r="F1141" s="167"/>
      <c r="G1141" s="167"/>
      <c r="H1141" s="167"/>
      <c r="I1141" s="164">
        <f t="shared" ca="1" si="18"/>
        <v>44939</v>
      </c>
      <c r="J1141" s="163">
        <v>0.33333333333333331</v>
      </c>
      <c r="K1141" s="162" t="s">
        <v>749</v>
      </c>
      <c r="L1141" s="166"/>
      <c r="M1141" s="166"/>
      <c r="N1141" s="164"/>
      <c r="O1141" s="166"/>
      <c r="P1141" s="165"/>
    </row>
    <row r="1142" spans="1:16" ht="15" hidden="1" customHeight="1" x14ac:dyDescent="0.25">
      <c r="A1142" s="168"/>
      <c r="B1142" s="167"/>
      <c r="C1142" s="168"/>
      <c r="D1142" s="167"/>
      <c r="E1142" s="167"/>
      <c r="F1142" s="167"/>
      <c r="G1142" s="167"/>
      <c r="H1142" s="167"/>
      <c r="I1142" s="164">
        <f t="shared" ca="1" si="18"/>
        <v>44939</v>
      </c>
      <c r="J1142" s="163">
        <v>0.33333333333333331</v>
      </c>
      <c r="K1142" s="162" t="s">
        <v>749</v>
      </c>
      <c r="L1142" s="166"/>
      <c r="M1142" s="166"/>
      <c r="N1142" s="164"/>
      <c r="O1142" s="166"/>
      <c r="P1142" s="165"/>
    </row>
    <row r="1143" spans="1:16" ht="15" hidden="1" customHeight="1" x14ac:dyDescent="0.25">
      <c r="A1143" s="168"/>
      <c r="B1143" s="167"/>
      <c r="C1143" s="168"/>
      <c r="D1143" s="167"/>
      <c r="E1143" s="167"/>
      <c r="F1143" s="167"/>
      <c r="G1143" s="167"/>
      <c r="H1143" s="167"/>
      <c r="I1143" s="164">
        <f t="shared" ca="1" si="18"/>
        <v>44939</v>
      </c>
      <c r="J1143" s="163">
        <v>0.33333333333333331</v>
      </c>
      <c r="K1143" s="162" t="s">
        <v>749</v>
      </c>
      <c r="L1143" s="166"/>
      <c r="M1143" s="166"/>
      <c r="N1143" s="164"/>
      <c r="O1143" s="166"/>
      <c r="P1143" s="165"/>
    </row>
    <row r="1144" spans="1:16" ht="15" hidden="1" customHeight="1" x14ac:dyDescent="0.25">
      <c r="A1144" s="168"/>
      <c r="B1144" s="167"/>
      <c r="C1144" s="168"/>
      <c r="D1144" s="167"/>
      <c r="E1144" s="167"/>
      <c r="F1144" s="167"/>
      <c r="G1144" s="167"/>
      <c r="H1144" s="167"/>
      <c r="I1144" s="164">
        <f t="shared" ca="1" si="18"/>
        <v>44939</v>
      </c>
      <c r="J1144" s="163">
        <v>0.33333333333333331</v>
      </c>
      <c r="K1144" s="162" t="s">
        <v>749</v>
      </c>
      <c r="L1144" s="166"/>
      <c r="M1144" s="166"/>
      <c r="N1144" s="164"/>
      <c r="O1144" s="166"/>
      <c r="P1144" s="165"/>
    </row>
    <row r="1145" spans="1:16" ht="15" hidden="1" customHeight="1" x14ac:dyDescent="0.25">
      <c r="A1145" s="167"/>
      <c r="B1145" s="167"/>
      <c r="C1145" s="167"/>
      <c r="D1145" s="167"/>
      <c r="E1145" s="167"/>
      <c r="F1145" s="167"/>
      <c r="G1145" s="167"/>
      <c r="H1145" s="167"/>
      <c r="I1145" s="164">
        <f t="shared" ca="1" si="18"/>
        <v>44939</v>
      </c>
      <c r="J1145" s="163">
        <v>0.33333333333333331</v>
      </c>
      <c r="K1145" s="162" t="s">
        <v>749</v>
      </c>
      <c r="L1145" s="166"/>
      <c r="M1145" s="166"/>
      <c r="N1145" s="164"/>
      <c r="O1145" s="166"/>
      <c r="P1145" s="165"/>
    </row>
    <row r="1146" spans="1:16" ht="15" hidden="1" customHeight="1" x14ac:dyDescent="0.25">
      <c r="A1146" s="167"/>
      <c r="B1146" s="167"/>
      <c r="C1146" s="167"/>
      <c r="D1146" s="167"/>
      <c r="E1146" s="167"/>
      <c r="F1146" s="167"/>
      <c r="G1146" s="167"/>
      <c r="H1146" s="167"/>
      <c r="I1146" s="164">
        <f t="shared" ca="1" si="18"/>
        <v>44939</v>
      </c>
      <c r="J1146" s="163">
        <v>0.33333333333333331</v>
      </c>
      <c r="K1146" s="162" t="s">
        <v>749</v>
      </c>
      <c r="L1146" s="166"/>
      <c r="M1146" s="166"/>
      <c r="N1146" s="164"/>
      <c r="O1146" s="166"/>
      <c r="P1146" s="165"/>
    </row>
    <row r="1147" spans="1:16" ht="15" hidden="1" customHeight="1" x14ac:dyDescent="0.25">
      <c r="A1147" s="167"/>
      <c r="B1147" s="167"/>
      <c r="C1147" s="167"/>
      <c r="D1147" s="167"/>
      <c r="E1147" s="167"/>
      <c r="F1147" s="167"/>
      <c r="G1147" s="167"/>
      <c r="H1147" s="167"/>
      <c r="I1147" s="164">
        <f t="shared" ca="1" si="18"/>
        <v>44939</v>
      </c>
      <c r="J1147" s="163">
        <v>0.33333333333333331</v>
      </c>
      <c r="K1147" s="162" t="s">
        <v>749</v>
      </c>
      <c r="L1147" s="166"/>
      <c r="M1147" s="166"/>
      <c r="N1147" s="164"/>
      <c r="O1147" s="166"/>
      <c r="P1147" s="165"/>
    </row>
    <row r="1148" spans="1:16" ht="15" hidden="1" customHeight="1" x14ac:dyDescent="0.25">
      <c r="A1148" s="168"/>
      <c r="B1148" s="167"/>
      <c r="C1148" s="168"/>
      <c r="D1148" s="167"/>
      <c r="E1148" s="167"/>
      <c r="F1148" s="167"/>
      <c r="G1148" s="167"/>
      <c r="H1148" s="167"/>
      <c r="I1148" s="164">
        <f t="shared" ca="1" si="18"/>
        <v>44939</v>
      </c>
      <c r="J1148" s="163">
        <v>0.33333333333333331</v>
      </c>
      <c r="K1148" s="162" t="s">
        <v>749</v>
      </c>
      <c r="L1148" s="166"/>
      <c r="M1148" s="166"/>
      <c r="N1148" s="164"/>
      <c r="O1148" s="166"/>
      <c r="P1148" s="165"/>
    </row>
    <row r="1149" spans="1:16" ht="15" hidden="1" customHeight="1" x14ac:dyDescent="0.25">
      <c r="A1149" s="168"/>
      <c r="B1149" s="167"/>
      <c r="C1149" s="168"/>
      <c r="D1149" s="167"/>
      <c r="E1149" s="167"/>
      <c r="F1149" s="167"/>
      <c r="G1149" s="167"/>
      <c r="H1149" s="167"/>
      <c r="I1149" s="164">
        <f t="shared" ca="1" si="18"/>
        <v>44939</v>
      </c>
      <c r="J1149" s="163">
        <v>0.33333333333333331</v>
      </c>
      <c r="K1149" s="162" t="s">
        <v>749</v>
      </c>
      <c r="L1149" s="166"/>
      <c r="M1149" s="166"/>
      <c r="N1149" s="164"/>
      <c r="O1149" s="166"/>
      <c r="P1149" s="165"/>
    </row>
    <row r="1150" spans="1:16" ht="15" hidden="1" customHeight="1" x14ac:dyDescent="0.25">
      <c r="A1150" s="168"/>
      <c r="B1150" s="167"/>
      <c r="C1150" s="168"/>
      <c r="D1150" s="167"/>
      <c r="E1150" s="167"/>
      <c r="F1150" s="167"/>
      <c r="G1150" s="167"/>
      <c r="H1150" s="167"/>
      <c r="I1150" s="164">
        <f t="shared" ca="1" si="18"/>
        <v>44939</v>
      </c>
      <c r="J1150" s="163">
        <v>0.33333333333333331</v>
      </c>
      <c r="K1150" s="162" t="s">
        <v>749</v>
      </c>
      <c r="L1150" s="166"/>
      <c r="M1150" s="166"/>
      <c r="N1150" s="164"/>
      <c r="O1150" s="166"/>
      <c r="P1150" s="165"/>
    </row>
    <row r="1151" spans="1:16" ht="15" hidden="1" customHeight="1" x14ac:dyDescent="0.25">
      <c r="A1151" s="168"/>
      <c r="B1151" s="167"/>
      <c r="C1151" s="168"/>
      <c r="D1151" s="167"/>
      <c r="E1151" s="167"/>
      <c r="F1151" s="167"/>
      <c r="G1151" s="167"/>
      <c r="H1151" s="167"/>
      <c r="I1151" s="164">
        <f t="shared" ca="1" si="18"/>
        <v>44939</v>
      </c>
      <c r="J1151" s="163">
        <v>0.33333333333333331</v>
      </c>
      <c r="K1151" s="162" t="s">
        <v>749</v>
      </c>
      <c r="L1151" s="166"/>
      <c r="M1151" s="166"/>
      <c r="N1151" s="164"/>
      <c r="O1151" s="166"/>
      <c r="P1151" s="165"/>
    </row>
    <row r="1152" spans="1:16" ht="15" hidden="1" customHeight="1" x14ac:dyDescent="0.25">
      <c r="A1152" s="168"/>
      <c r="B1152" s="167"/>
      <c r="C1152" s="168"/>
      <c r="D1152" s="167"/>
      <c r="E1152" s="167"/>
      <c r="F1152" s="167"/>
      <c r="G1152" s="167"/>
      <c r="H1152" s="167"/>
      <c r="I1152" s="164">
        <f t="shared" ca="1" si="18"/>
        <v>44939</v>
      </c>
      <c r="J1152" s="163">
        <v>0.33333333333333331</v>
      </c>
      <c r="K1152" s="162" t="s">
        <v>749</v>
      </c>
      <c r="L1152" s="166"/>
      <c r="M1152" s="166"/>
      <c r="N1152" s="164"/>
      <c r="O1152" s="166"/>
      <c r="P1152" s="165"/>
    </row>
    <row r="1153" spans="1:16" ht="15" hidden="1" customHeight="1" x14ac:dyDescent="0.25">
      <c r="A1153" s="168"/>
      <c r="B1153" s="167"/>
      <c r="C1153" s="168"/>
      <c r="D1153" s="167"/>
      <c r="E1153" s="167"/>
      <c r="F1153" s="167"/>
      <c r="G1153" s="167"/>
      <c r="H1153" s="167"/>
      <c r="I1153" s="164">
        <f t="shared" ca="1" si="18"/>
        <v>44939</v>
      </c>
      <c r="J1153" s="163">
        <v>0.33333333333333331</v>
      </c>
      <c r="K1153" s="162" t="s">
        <v>749</v>
      </c>
      <c r="L1153" s="166"/>
      <c r="M1153" s="166"/>
      <c r="N1153" s="164"/>
      <c r="O1153" s="166"/>
      <c r="P1153" s="165"/>
    </row>
    <row r="1154" spans="1:16" ht="15" hidden="1" customHeight="1" x14ac:dyDescent="0.25">
      <c r="A1154" s="167"/>
      <c r="B1154" s="167"/>
      <c r="C1154" s="167"/>
      <c r="D1154" s="167"/>
      <c r="E1154" s="167"/>
      <c r="F1154" s="167"/>
      <c r="G1154" s="167"/>
      <c r="H1154" s="167"/>
      <c r="I1154" s="164">
        <f t="shared" ca="1" si="18"/>
        <v>44939</v>
      </c>
      <c r="J1154" s="163">
        <v>0.33333333333333331</v>
      </c>
      <c r="K1154" s="162" t="s">
        <v>749</v>
      </c>
      <c r="L1154" s="166"/>
      <c r="M1154" s="166"/>
      <c r="N1154" s="164"/>
      <c r="O1154" s="166"/>
      <c r="P1154" s="165"/>
    </row>
    <row r="1155" spans="1:16" ht="15" hidden="1" customHeight="1" x14ac:dyDescent="0.25">
      <c r="A1155" s="167"/>
      <c r="B1155" s="167"/>
      <c r="C1155" s="168"/>
      <c r="D1155" s="168"/>
      <c r="E1155" s="167"/>
      <c r="F1155" s="167"/>
      <c r="G1155" s="167"/>
      <c r="H1155" s="167"/>
      <c r="I1155" s="164">
        <f t="shared" ca="1" si="18"/>
        <v>44939</v>
      </c>
      <c r="J1155" s="163">
        <v>0.33333333333333331</v>
      </c>
      <c r="K1155" s="162" t="s">
        <v>749</v>
      </c>
      <c r="L1155" s="166"/>
      <c r="M1155" s="166"/>
      <c r="N1155" s="169"/>
      <c r="O1155" s="166"/>
      <c r="P1155" s="165"/>
    </row>
    <row r="1156" spans="1:16" ht="15" hidden="1" customHeight="1" x14ac:dyDescent="0.25">
      <c r="A1156" s="167"/>
      <c r="B1156" s="167"/>
      <c r="C1156" s="167"/>
      <c r="D1156" s="167"/>
      <c r="E1156" s="167"/>
      <c r="F1156" s="167"/>
      <c r="G1156" s="167"/>
      <c r="H1156" s="167"/>
      <c r="I1156" s="164">
        <f t="shared" ca="1" si="18"/>
        <v>44939</v>
      </c>
      <c r="J1156" s="163">
        <v>0.33333333333333331</v>
      </c>
      <c r="K1156" s="162" t="s">
        <v>749</v>
      </c>
      <c r="L1156" s="166"/>
      <c r="M1156" s="166"/>
      <c r="N1156" s="164"/>
      <c r="O1156" s="166"/>
      <c r="P1156" s="165"/>
    </row>
    <row r="1157" spans="1:16" ht="15" hidden="1" customHeight="1" x14ac:dyDescent="0.25">
      <c r="A1157" s="168"/>
      <c r="B1157" s="167"/>
      <c r="C1157" s="168"/>
      <c r="D1157" s="167"/>
      <c r="E1157" s="167"/>
      <c r="F1157" s="167"/>
      <c r="G1157" s="167"/>
      <c r="H1157" s="167"/>
      <c r="I1157" s="164">
        <f t="shared" ca="1" si="18"/>
        <v>44939</v>
      </c>
      <c r="J1157" s="163">
        <v>0.33333333333333331</v>
      </c>
      <c r="K1157" s="162" t="s">
        <v>749</v>
      </c>
      <c r="L1157" s="166"/>
      <c r="M1157" s="166"/>
      <c r="N1157" s="164"/>
      <c r="O1157" s="166"/>
      <c r="P1157" s="165"/>
    </row>
    <row r="1158" spans="1:16" ht="15" hidden="1" customHeight="1" x14ac:dyDescent="0.25">
      <c r="A1158" s="160"/>
      <c r="B1158" s="167"/>
      <c r="C1158" s="168"/>
      <c r="D1158" s="167"/>
      <c r="E1158" s="167"/>
      <c r="F1158" s="167"/>
      <c r="G1158" s="167"/>
      <c r="H1158" s="167"/>
      <c r="I1158" s="164">
        <f t="shared" ca="1" si="18"/>
        <v>44939</v>
      </c>
      <c r="J1158" s="163">
        <v>0.33333333333333331</v>
      </c>
      <c r="K1158" s="162" t="s">
        <v>749</v>
      </c>
      <c r="L1158" s="166"/>
      <c r="M1158" s="166"/>
      <c r="N1158" s="164"/>
      <c r="O1158" s="166"/>
      <c r="P1158" s="165"/>
    </row>
    <row r="1159" spans="1:16" ht="15" hidden="1" customHeight="1" x14ac:dyDescent="0.25">
      <c r="A1159" s="168"/>
      <c r="B1159" s="167"/>
      <c r="C1159" s="168"/>
      <c r="D1159" s="167"/>
      <c r="E1159" s="167"/>
      <c r="F1159" s="167"/>
      <c r="G1159" s="167"/>
      <c r="H1159" s="167"/>
      <c r="I1159" s="164">
        <f t="shared" ca="1" si="18"/>
        <v>44939</v>
      </c>
      <c r="J1159" s="163">
        <v>0.33333333333333331</v>
      </c>
      <c r="K1159" s="162" t="s">
        <v>749</v>
      </c>
      <c r="L1159" s="166"/>
      <c r="M1159" s="166"/>
      <c r="N1159" s="164"/>
      <c r="O1159" s="166"/>
      <c r="P1159" s="165"/>
    </row>
    <row r="1160" spans="1:16" ht="15" hidden="1" customHeight="1" x14ac:dyDescent="0.25">
      <c r="A1160" s="168"/>
      <c r="B1160" s="167"/>
      <c r="C1160" s="168"/>
      <c r="D1160" s="167"/>
      <c r="E1160" s="167"/>
      <c r="F1160" s="167"/>
      <c r="G1160" s="167"/>
      <c r="H1160" s="167"/>
      <c r="I1160" s="164">
        <f t="shared" ca="1" si="18"/>
        <v>44939</v>
      </c>
      <c r="J1160" s="163">
        <v>0.33333333333333331</v>
      </c>
      <c r="K1160" s="162" t="s">
        <v>749</v>
      </c>
      <c r="L1160" s="166"/>
      <c r="M1160" s="166"/>
      <c r="N1160" s="164"/>
      <c r="O1160" s="166"/>
      <c r="P1160" s="165"/>
    </row>
    <row r="1161" spans="1:16" ht="15" hidden="1" customHeight="1" x14ac:dyDescent="0.25">
      <c r="A1161" s="168"/>
      <c r="B1161" s="167"/>
      <c r="C1161" s="168"/>
      <c r="D1161" s="167"/>
      <c r="E1161" s="167"/>
      <c r="F1161" s="167"/>
      <c r="G1161" s="167"/>
      <c r="H1161" s="167"/>
      <c r="I1161" s="164">
        <f t="shared" ca="1" si="18"/>
        <v>44939</v>
      </c>
      <c r="J1161" s="163">
        <v>0.33333333333333331</v>
      </c>
      <c r="K1161" s="162" t="s">
        <v>749</v>
      </c>
      <c r="L1161" s="166"/>
      <c r="M1161" s="166"/>
      <c r="N1161" s="164"/>
      <c r="O1161" s="166"/>
      <c r="P1161" s="165"/>
    </row>
    <row r="1162" spans="1:16" ht="15" hidden="1" customHeight="1" x14ac:dyDescent="0.25">
      <c r="A1162" s="168"/>
      <c r="B1162" s="167"/>
      <c r="C1162" s="168"/>
      <c r="D1162" s="167"/>
      <c r="E1162" s="167"/>
      <c r="F1162" s="167"/>
      <c r="G1162" s="167"/>
      <c r="H1162" s="167"/>
      <c r="I1162" s="164">
        <f t="shared" ca="1" si="18"/>
        <v>44939</v>
      </c>
      <c r="J1162" s="163">
        <v>0.33333333333333331</v>
      </c>
      <c r="K1162" s="162" t="s">
        <v>749</v>
      </c>
      <c r="L1162" s="166"/>
      <c r="M1162" s="166"/>
      <c r="N1162" s="164"/>
      <c r="O1162" s="166"/>
      <c r="P1162" s="165"/>
    </row>
    <row r="1163" spans="1:16" ht="15" hidden="1" customHeight="1" x14ac:dyDescent="0.25">
      <c r="A1163" s="168"/>
      <c r="B1163" s="167"/>
      <c r="C1163" s="168"/>
      <c r="D1163" s="167"/>
      <c r="E1163" s="167"/>
      <c r="F1163" s="167"/>
      <c r="G1163" s="167"/>
      <c r="H1163" s="167"/>
      <c r="I1163" s="164">
        <f t="shared" ca="1" si="18"/>
        <v>44939</v>
      </c>
      <c r="J1163" s="163">
        <v>0.33333333333333331</v>
      </c>
      <c r="K1163" s="162" t="s">
        <v>749</v>
      </c>
      <c r="L1163" s="166"/>
      <c r="M1163" s="166"/>
      <c r="N1163" s="164"/>
      <c r="O1163" s="166"/>
      <c r="P1163" s="165"/>
    </row>
    <row r="1164" spans="1:16" ht="15" hidden="1" customHeight="1" x14ac:dyDescent="0.25">
      <c r="A1164" s="167"/>
      <c r="B1164" s="167"/>
      <c r="C1164" s="167"/>
      <c r="D1164" s="167"/>
      <c r="E1164" s="167"/>
      <c r="F1164" s="167"/>
      <c r="G1164" s="167"/>
      <c r="H1164" s="167"/>
      <c r="I1164" s="164">
        <f t="shared" ca="1" si="18"/>
        <v>44939</v>
      </c>
      <c r="J1164" s="163">
        <v>0.33333333333333331</v>
      </c>
      <c r="K1164" s="162" t="s">
        <v>749</v>
      </c>
      <c r="L1164" s="166"/>
      <c r="M1164" s="166"/>
      <c r="N1164" s="164"/>
      <c r="O1164" s="166"/>
      <c r="P1164" s="165"/>
    </row>
    <row r="1165" spans="1:16" ht="15" hidden="1" customHeight="1" x14ac:dyDescent="0.25">
      <c r="A1165" s="167"/>
      <c r="B1165" s="167"/>
      <c r="C1165" s="167"/>
      <c r="D1165" s="167"/>
      <c r="E1165" s="167"/>
      <c r="F1165" s="167"/>
      <c r="G1165" s="167"/>
      <c r="H1165" s="167"/>
      <c r="I1165" s="164">
        <f t="shared" ca="1" si="18"/>
        <v>44939</v>
      </c>
      <c r="J1165" s="163">
        <v>0.33333333333333331</v>
      </c>
      <c r="K1165" s="162" t="s">
        <v>749</v>
      </c>
      <c r="L1165" s="166"/>
      <c r="M1165" s="166"/>
      <c r="N1165" s="164"/>
      <c r="O1165" s="166"/>
      <c r="P1165" s="165"/>
    </row>
    <row r="1166" spans="1:16" ht="15" hidden="1" customHeight="1" x14ac:dyDescent="0.25">
      <c r="A1166" s="167"/>
      <c r="B1166" s="167"/>
      <c r="C1166" s="167"/>
      <c r="D1166" s="160"/>
      <c r="E1166" s="167"/>
      <c r="F1166" s="167"/>
      <c r="G1166" s="167"/>
      <c r="H1166" s="167"/>
      <c r="I1166" s="164">
        <f t="shared" ca="1" si="18"/>
        <v>44939</v>
      </c>
      <c r="J1166" s="163">
        <v>0.33333333333333331</v>
      </c>
      <c r="K1166" s="162" t="s">
        <v>749</v>
      </c>
      <c r="L1166" s="166"/>
      <c r="M1166" s="166"/>
      <c r="N1166" s="164"/>
      <c r="O1166" s="166"/>
      <c r="P1166" s="165"/>
    </row>
    <row r="1167" spans="1:16" ht="15" hidden="1" customHeight="1" x14ac:dyDescent="0.25">
      <c r="A1167" s="167"/>
      <c r="B1167" s="167"/>
      <c r="C1167" s="167"/>
      <c r="D1167" s="167"/>
      <c r="E1167" s="167"/>
      <c r="F1167" s="167"/>
      <c r="G1167" s="167"/>
      <c r="H1167" s="167"/>
      <c r="I1167" s="164">
        <f t="shared" ca="1" si="18"/>
        <v>44939</v>
      </c>
      <c r="J1167" s="163">
        <v>0.33333333333333331</v>
      </c>
      <c r="K1167" s="162" t="s">
        <v>749</v>
      </c>
      <c r="L1167" s="166"/>
      <c r="M1167" s="166"/>
      <c r="N1167" s="164"/>
      <c r="O1167" s="166"/>
      <c r="P1167" s="165"/>
    </row>
    <row r="1168" spans="1:16" ht="15" hidden="1" customHeight="1" x14ac:dyDescent="0.25">
      <c r="A1168" s="168"/>
      <c r="B1168" s="167"/>
      <c r="C1168" s="168"/>
      <c r="D1168" s="167"/>
      <c r="E1168" s="167"/>
      <c r="F1168" s="167"/>
      <c r="G1168" s="167"/>
      <c r="H1168" s="167"/>
      <c r="I1168" s="164">
        <f t="shared" ca="1" si="18"/>
        <v>44939</v>
      </c>
      <c r="J1168" s="163">
        <v>0.33333333333333331</v>
      </c>
      <c r="K1168" s="162" t="s">
        <v>749</v>
      </c>
      <c r="L1168" s="166"/>
      <c r="M1168" s="166"/>
      <c r="N1168" s="164"/>
      <c r="O1168" s="166"/>
      <c r="P1168" s="165"/>
    </row>
    <row r="1169" spans="1:16" ht="15" hidden="1" customHeight="1" x14ac:dyDescent="0.25">
      <c r="A1169" s="168"/>
      <c r="B1169" s="167"/>
      <c r="C1169" s="168"/>
      <c r="D1169" s="167"/>
      <c r="E1169" s="167"/>
      <c r="F1169" s="167"/>
      <c r="G1169" s="167"/>
      <c r="H1169" s="167"/>
      <c r="I1169" s="164">
        <f t="shared" ca="1" si="18"/>
        <v>44939</v>
      </c>
      <c r="J1169" s="163">
        <v>0.33333333333333331</v>
      </c>
      <c r="K1169" s="162" t="s">
        <v>749</v>
      </c>
      <c r="L1169" s="166"/>
      <c r="M1169" s="166"/>
      <c r="N1169" s="164"/>
      <c r="O1169" s="166"/>
      <c r="P1169" s="165"/>
    </row>
    <row r="1170" spans="1:16" ht="15" hidden="1" customHeight="1" x14ac:dyDescent="0.25">
      <c r="A1170" s="168"/>
      <c r="B1170" s="167"/>
      <c r="C1170" s="168"/>
      <c r="D1170" s="167"/>
      <c r="E1170" s="167"/>
      <c r="F1170" s="167"/>
      <c r="G1170" s="167"/>
      <c r="H1170" s="167"/>
      <c r="I1170" s="164">
        <f t="shared" ca="1" si="18"/>
        <v>44939</v>
      </c>
      <c r="J1170" s="163">
        <v>0.33333333333333331</v>
      </c>
      <c r="K1170" s="162" t="s">
        <v>749</v>
      </c>
      <c r="L1170" s="166"/>
      <c r="M1170" s="166"/>
      <c r="N1170" s="164"/>
      <c r="O1170" s="166"/>
      <c r="P1170" s="165"/>
    </row>
    <row r="1171" spans="1:16" ht="15" hidden="1" customHeight="1" x14ac:dyDescent="0.25">
      <c r="A1171" s="168"/>
      <c r="B1171" s="167"/>
      <c r="C1171" s="168"/>
      <c r="D1171" s="167"/>
      <c r="E1171" s="167"/>
      <c r="F1171" s="167"/>
      <c r="G1171" s="167"/>
      <c r="H1171" s="167"/>
      <c r="I1171" s="164">
        <f t="shared" ca="1" si="18"/>
        <v>44939</v>
      </c>
      <c r="J1171" s="163">
        <v>0.33333333333333331</v>
      </c>
      <c r="K1171" s="162" t="s">
        <v>749</v>
      </c>
      <c r="L1171" s="166"/>
      <c r="M1171" s="166"/>
      <c r="N1171" s="164"/>
      <c r="O1171" s="166"/>
      <c r="P1171" s="165"/>
    </row>
    <row r="1172" spans="1:16" ht="15" hidden="1" customHeight="1" x14ac:dyDescent="0.25">
      <c r="A1172" s="168"/>
      <c r="B1172" s="167"/>
      <c r="C1172" s="168"/>
      <c r="D1172" s="167"/>
      <c r="E1172" s="167"/>
      <c r="F1172" s="167"/>
      <c r="G1172" s="167"/>
      <c r="H1172" s="167"/>
      <c r="I1172" s="164">
        <f t="shared" ca="1" si="18"/>
        <v>44939</v>
      </c>
      <c r="J1172" s="163">
        <v>0.33333333333333331</v>
      </c>
      <c r="K1172" s="162" t="s">
        <v>749</v>
      </c>
      <c r="L1172" s="166"/>
      <c r="M1172" s="166"/>
      <c r="N1172" s="164"/>
      <c r="O1172" s="166"/>
      <c r="P1172" s="165"/>
    </row>
    <row r="1173" spans="1:16" ht="15" hidden="1" customHeight="1" x14ac:dyDescent="0.25">
      <c r="A1173" s="168"/>
      <c r="B1173" s="167"/>
      <c r="C1173" s="168"/>
      <c r="D1173" s="167"/>
      <c r="E1173" s="167"/>
      <c r="F1173" s="167"/>
      <c r="G1173" s="167"/>
      <c r="H1173" s="167"/>
      <c r="I1173" s="164">
        <f t="shared" ca="1" si="18"/>
        <v>44939</v>
      </c>
      <c r="J1173" s="163">
        <v>0.33333333333333331</v>
      </c>
      <c r="K1173" s="162" t="s">
        <v>749</v>
      </c>
      <c r="L1173" s="166"/>
      <c r="M1173" s="166"/>
      <c r="N1173" s="164"/>
      <c r="O1173" s="166"/>
      <c r="P1173" s="165"/>
    </row>
    <row r="1174" spans="1:16" ht="15" hidden="1" customHeight="1" x14ac:dyDescent="0.25">
      <c r="A1174" s="168"/>
      <c r="B1174" s="167"/>
      <c r="C1174" s="168"/>
      <c r="D1174" s="167"/>
      <c r="E1174" s="167"/>
      <c r="F1174" s="167"/>
      <c r="G1174" s="167"/>
      <c r="H1174" s="167"/>
      <c r="I1174" s="164">
        <f t="shared" ca="1" si="18"/>
        <v>44939</v>
      </c>
      <c r="J1174" s="163">
        <v>0.33333333333333331</v>
      </c>
      <c r="K1174" s="162" t="s">
        <v>749</v>
      </c>
      <c r="L1174" s="166"/>
      <c r="M1174" s="166"/>
      <c r="N1174" s="164"/>
      <c r="O1174" s="166"/>
      <c r="P1174" s="165"/>
    </row>
    <row r="1175" spans="1:16" ht="15" hidden="1" customHeight="1" x14ac:dyDescent="0.25">
      <c r="A1175" s="168"/>
      <c r="B1175" s="167"/>
      <c r="C1175" s="168"/>
      <c r="D1175" s="167"/>
      <c r="E1175" s="167"/>
      <c r="F1175" s="167"/>
      <c r="G1175" s="167"/>
      <c r="H1175" s="167"/>
      <c r="I1175" s="164">
        <f t="shared" ca="1" si="18"/>
        <v>44939</v>
      </c>
      <c r="J1175" s="163">
        <v>0.33333333333333331</v>
      </c>
      <c r="K1175" s="162" t="s">
        <v>749</v>
      </c>
      <c r="L1175" s="166"/>
      <c r="M1175" s="166"/>
      <c r="N1175" s="164"/>
      <c r="O1175" s="166"/>
      <c r="P1175" s="165"/>
    </row>
    <row r="1176" spans="1:16" ht="15" hidden="1" customHeight="1" x14ac:dyDescent="0.25">
      <c r="A1176" s="168"/>
      <c r="B1176" s="167"/>
      <c r="C1176" s="168"/>
      <c r="D1176" s="167"/>
      <c r="E1176" s="167"/>
      <c r="F1176" s="167"/>
      <c r="G1176" s="167"/>
      <c r="H1176" s="167"/>
      <c r="I1176" s="164">
        <f t="shared" ref="I1176:I1239" ca="1" si="19">TODAY()</f>
        <v>44939</v>
      </c>
      <c r="J1176" s="163">
        <v>0.33333333333333331</v>
      </c>
      <c r="K1176" s="162" t="s">
        <v>749</v>
      </c>
      <c r="L1176" s="166"/>
      <c r="M1176" s="166"/>
      <c r="N1176" s="164"/>
      <c r="O1176" s="166"/>
      <c r="P1176" s="165"/>
    </row>
    <row r="1177" spans="1:16" ht="15" hidden="1" customHeight="1" x14ac:dyDescent="0.25">
      <c r="A1177" s="168"/>
      <c r="B1177" s="167"/>
      <c r="C1177" s="168"/>
      <c r="D1177" s="167"/>
      <c r="E1177" s="167"/>
      <c r="F1177" s="167"/>
      <c r="G1177" s="167"/>
      <c r="H1177" s="167"/>
      <c r="I1177" s="164">
        <f t="shared" ca="1" si="19"/>
        <v>44939</v>
      </c>
      <c r="J1177" s="163">
        <v>0.33333333333333331</v>
      </c>
      <c r="K1177" s="162" t="s">
        <v>749</v>
      </c>
      <c r="L1177" s="166"/>
      <c r="M1177" s="166"/>
      <c r="N1177" s="164"/>
      <c r="O1177" s="166"/>
      <c r="P1177" s="165"/>
    </row>
    <row r="1178" spans="1:16" ht="15" hidden="1" customHeight="1" x14ac:dyDescent="0.25">
      <c r="A1178" s="168"/>
      <c r="B1178" s="167"/>
      <c r="C1178" s="168"/>
      <c r="D1178" s="167"/>
      <c r="E1178" s="167"/>
      <c r="F1178" s="167"/>
      <c r="G1178" s="167"/>
      <c r="H1178" s="167"/>
      <c r="I1178" s="164">
        <f t="shared" ca="1" si="19"/>
        <v>44939</v>
      </c>
      <c r="J1178" s="163">
        <v>0.33333333333333331</v>
      </c>
      <c r="K1178" s="162" t="s">
        <v>749</v>
      </c>
      <c r="L1178" s="166"/>
      <c r="M1178" s="166"/>
      <c r="N1178" s="164"/>
      <c r="O1178" s="166"/>
      <c r="P1178" s="165"/>
    </row>
    <row r="1179" spans="1:16" ht="15" hidden="1" customHeight="1" x14ac:dyDescent="0.25">
      <c r="A1179" s="167"/>
      <c r="B1179" s="167"/>
      <c r="C1179" s="167"/>
      <c r="D1179" s="167"/>
      <c r="E1179" s="167"/>
      <c r="F1179" s="167"/>
      <c r="G1179" s="167"/>
      <c r="H1179" s="167"/>
      <c r="I1179" s="164">
        <f t="shared" ca="1" si="19"/>
        <v>44939</v>
      </c>
      <c r="J1179" s="163">
        <v>0.33333333333333331</v>
      </c>
      <c r="K1179" s="162" t="s">
        <v>749</v>
      </c>
      <c r="L1179" s="166"/>
      <c r="M1179" s="166"/>
      <c r="N1179" s="164"/>
      <c r="O1179" s="166"/>
      <c r="P1179" s="165"/>
    </row>
    <row r="1180" spans="1:16" ht="15" hidden="1" customHeight="1" x14ac:dyDescent="0.25">
      <c r="A1180" s="167"/>
      <c r="B1180" s="167"/>
      <c r="C1180" s="167"/>
      <c r="D1180" s="167"/>
      <c r="E1180" s="167"/>
      <c r="F1180" s="167"/>
      <c r="G1180" s="167"/>
      <c r="H1180" s="167"/>
      <c r="I1180" s="164">
        <f t="shared" ca="1" si="19"/>
        <v>44939</v>
      </c>
      <c r="J1180" s="163">
        <v>0.33333333333333331</v>
      </c>
      <c r="K1180" s="162" t="s">
        <v>749</v>
      </c>
      <c r="L1180" s="166"/>
      <c r="M1180" s="166"/>
      <c r="N1180" s="164"/>
      <c r="O1180" s="166"/>
      <c r="P1180" s="165"/>
    </row>
    <row r="1181" spans="1:16" ht="15" hidden="1" customHeight="1" x14ac:dyDescent="0.25">
      <c r="A1181" s="167"/>
      <c r="B1181" s="167"/>
      <c r="C1181" s="168"/>
      <c r="D1181" s="167"/>
      <c r="E1181" s="167"/>
      <c r="F1181" s="167"/>
      <c r="G1181" s="167"/>
      <c r="H1181" s="167"/>
      <c r="I1181" s="164">
        <f t="shared" ca="1" si="19"/>
        <v>44939</v>
      </c>
      <c r="J1181" s="163">
        <v>0.33333333333333331</v>
      </c>
      <c r="K1181" s="162" t="s">
        <v>749</v>
      </c>
      <c r="L1181" s="166"/>
      <c r="M1181" s="166"/>
      <c r="N1181" s="164"/>
      <c r="O1181" s="166"/>
      <c r="P1181" s="165"/>
    </row>
    <row r="1182" spans="1:16" ht="15" hidden="1" customHeight="1" x14ac:dyDescent="0.25">
      <c r="A1182" s="168"/>
      <c r="B1182" s="167"/>
      <c r="C1182" s="168"/>
      <c r="D1182" s="167"/>
      <c r="E1182" s="167"/>
      <c r="F1182" s="167"/>
      <c r="G1182" s="167"/>
      <c r="H1182" s="167"/>
      <c r="I1182" s="164">
        <f t="shared" ca="1" si="19"/>
        <v>44939</v>
      </c>
      <c r="J1182" s="163">
        <v>0.33333333333333331</v>
      </c>
      <c r="K1182" s="162" t="s">
        <v>749</v>
      </c>
      <c r="L1182" s="166"/>
      <c r="M1182" s="166"/>
      <c r="N1182" s="164"/>
      <c r="O1182" s="166"/>
      <c r="P1182" s="165"/>
    </row>
    <row r="1183" spans="1:16" ht="15" hidden="1" customHeight="1" x14ac:dyDescent="0.25">
      <c r="A1183" s="168"/>
      <c r="B1183" s="167"/>
      <c r="C1183" s="168"/>
      <c r="D1183" s="167"/>
      <c r="E1183" s="167"/>
      <c r="F1183" s="167"/>
      <c r="G1183" s="167"/>
      <c r="H1183" s="167"/>
      <c r="I1183" s="164">
        <f t="shared" ca="1" si="19"/>
        <v>44939</v>
      </c>
      <c r="J1183" s="163">
        <v>0.33333333333333331</v>
      </c>
      <c r="K1183" s="162" t="s">
        <v>749</v>
      </c>
      <c r="L1183" s="166"/>
      <c r="M1183" s="166"/>
      <c r="N1183" s="164"/>
      <c r="O1183" s="166"/>
      <c r="P1183" s="165"/>
    </row>
    <row r="1184" spans="1:16" ht="15" hidden="1" customHeight="1" x14ac:dyDescent="0.25">
      <c r="A1184" s="168"/>
      <c r="B1184" s="167"/>
      <c r="C1184" s="168"/>
      <c r="D1184" s="167"/>
      <c r="E1184" s="167"/>
      <c r="F1184" s="167"/>
      <c r="G1184" s="167"/>
      <c r="H1184" s="167"/>
      <c r="I1184" s="164">
        <f t="shared" ca="1" si="19"/>
        <v>44939</v>
      </c>
      <c r="J1184" s="163">
        <v>0.33333333333333331</v>
      </c>
      <c r="K1184" s="162" t="s">
        <v>749</v>
      </c>
      <c r="L1184" s="166"/>
      <c r="M1184" s="166"/>
      <c r="N1184" s="164"/>
      <c r="O1184" s="166"/>
      <c r="P1184" s="165"/>
    </row>
    <row r="1185" spans="1:16" ht="15" hidden="1" customHeight="1" x14ac:dyDescent="0.25">
      <c r="A1185" s="168"/>
      <c r="B1185" s="167"/>
      <c r="C1185" s="168"/>
      <c r="D1185" s="167"/>
      <c r="E1185" s="167"/>
      <c r="F1185" s="167"/>
      <c r="G1185" s="167"/>
      <c r="H1185" s="167"/>
      <c r="I1185" s="164">
        <f t="shared" ca="1" si="19"/>
        <v>44939</v>
      </c>
      <c r="J1185" s="163">
        <v>0.33333333333333331</v>
      </c>
      <c r="K1185" s="162" t="s">
        <v>749</v>
      </c>
      <c r="L1185" s="166"/>
      <c r="M1185" s="166"/>
      <c r="N1185" s="164"/>
      <c r="O1185" s="166"/>
      <c r="P1185" s="165"/>
    </row>
    <row r="1186" spans="1:16" ht="15" hidden="1" customHeight="1" x14ac:dyDescent="0.25">
      <c r="A1186" s="168"/>
      <c r="B1186" s="167"/>
      <c r="C1186" s="168"/>
      <c r="D1186" s="167"/>
      <c r="E1186" s="167"/>
      <c r="F1186" s="167"/>
      <c r="G1186" s="167"/>
      <c r="H1186" s="167"/>
      <c r="I1186" s="164">
        <f t="shared" ca="1" si="19"/>
        <v>44939</v>
      </c>
      <c r="J1186" s="163">
        <v>0.33333333333333331</v>
      </c>
      <c r="K1186" s="162" t="s">
        <v>749</v>
      </c>
      <c r="L1186" s="166"/>
      <c r="M1186" s="166"/>
      <c r="N1186" s="164"/>
      <c r="O1186" s="166"/>
      <c r="P1186" s="165"/>
    </row>
    <row r="1187" spans="1:16" ht="15" hidden="1" customHeight="1" x14ac:dyDescent="0.25">
      <c r="A1187" s="168"/>
      <c r="B1187" s="167"/>
      <c r="C1187" s="168"/>
      <c r="D1187" s="167"/>
      <c r="E1187" s="167"/>
      <c r="F1187" s="167"/>
      <c r="G1187" s="167"/>
      <c r="H1187" s="167"/>
      <c r="I1187" s="164">
        <f t="shared" ca="1" si="19"/>
        <v>44939</v>
      </c>
      <c r="J1187" s="163">
        <v>0.33333333333333331</v>
      </c>
      <c r="K1187" s="162" t="s">
        <v>749</v>
      </c>
      <c r="L1187" s="166"/>
      <c r="M1187" s="166"/>
      <c r="N1187" s="164"/>
      <c r="O1187" s="166"/>
      <c r="P1187" s="165"/>
    </row>
    <row r="1188" spans="1:16" ht="15" hidden="1" customHeight="1" x14ac:dyDescent="0.25">
      <c r="A1188" s="168"/>
      <c r="B1188" s="167"/>
      <c r="C1188" s="168"/>
      <c r="D1188" s="167"/>
      <c r="E1188" s="167"/>
      <c r="F1188" s="167"/>
      <c r="G1188" s="167"/>
      <c r="H1188" s="167"/>
      <c r="I1188" s="164">
        <f t="shared" ca="1" si="19"/>
        <v>44939</v>
      </c>
      <c r="J1188" s="163">
        <v>0.33333333333333331</v>
      </c>
      <c r="K1188" s="162" t="s">
        <v>749</v>
      </c>
      <c r="L1188" s="166"/>
      <c r="M1188" s="166"/>
      <c r="N1188" s="164"/>
      <c r="O1188" s="166"/>
      <c r="P1188" s="165"/>
    </row>
    <row r="1189" spans="1:16" ht="15" hidden="1" customHeight="1" x14ac:dyDescent="0.25">
      <c r="A1189" s="167"/>
      <c r="B1189" s="167"/>
      <c r="C1189" s="167"/>
      <c r="D1189" s="167"/>
      <c r="E1189" s="167"/>
      <c r="F1189" s="167"/>
      <c r="G1189" s="167"/>
      <c r="H1189" s="167"/>
      <c r="I1189" s="164">
        <f t="shared" ca="1" si="19"/>
        <v>44939</v>
      </c>
      <c r="J1189" s="163">
        <v>0.33333333333333331</v>
      </c>
      <c r="K1189" s="162" t="s">
        <v>749</v>
      </c>
      <c r="L1189" s="166"/>
      <c r="M1189" s="166"/>
      <c r="N1189" s="164"/>
      <c r="O1189" s="166"/>
      <c r="P1189" s="165"/>
    </row>
    <row r="1190" spans="1:16" ht="15" hidden="1" customHeight="1" x14ac:dyDescent="0.25">
      <c r="A1190" s="167"/>
      <c r="B1190" s="167"/>
      <c r="C1190" s="167"/>
      <c r="D1190" s="167"/>
      <c r="E1190" s="167"/>
      <c r="F1190" s="167"/>
      <c r="G1190" s="167"/>
      <c r="H1190" s="167"/>
      <c r="I1190" s="164">
        <f t="shared" ca="1" si="19"/>
        <v>44939</v>
      </c>
      <c r="J1190" s="163">
        <v>0.33333333333333331</v>
      </c>
      <c r="K1190" s="162" t="s">
        <v>749</v>
      </c>
      <c r="L1190" s="166"/>
      <c r="M1190" s="166"/>
      <c r="N1190" s="164"/>
      <c r="O1190" s="166"/>
      <c r="P1190" s="165"/>
    </row>
    <row r="1191" spans="1:16" ht="15" hidden="1" customHeight="1" x14ac:dyDescent="0.25">
      <c r="A1191" s="167"/>
      <c r="B1191" s="167"/>
      <c r="C1191" s="167"/>
      <c r="D1191" s="167"/>
      <c r="E1191" s="167"/>
      <c r="F1191" s="167"/>
      <c r="G1191" s="167"/>
      <c r="H1191" s="167"/>
      <c r="I1191" s="164">
        <f t="shared" ca="1" si="19"/>
        <v>44939</v>
      </c>
      <c r="J1191" s="163">
        <v>0.33333333333333331</v>
      </c>
      <c r="K1191" s="162" t="s">
        <v>749</v>
      </c>
      <c r="L1191" s="166"/>
      <c r="M1191" s="166"/>
      <c r="N1191" s="164"/>
      <c r="O1191" s="166"/>
      <c r="P1191" s="165"/>
    </row>
    <row r="1192" spans="1:16" ht="15" hidden="1" customHeight="1" x14ac:dyDescent="0.25">
      <c r="A1192" s="167"/>
      <c r="B1192" s="167"/>
      <c r="C1192" s="167"/>
      <c r="D1192" s="167"/>
      <c r="E1192" s="167"/>
      <c r="F1192" s="167"/>
      <c r="G1192" s="167"/>
      <c r="H1192" s="167"/>
      <c r="I1192" s="164">
        <f t="shared" ca="1" si="19"/>
        <v>44939</v>
      </c>
      <c r="J1192" s="163">
        <v>0.33333333333333331</v>
      </c>
      <c r="K1192" s="162" t="s">
        <v>749</v>
      </c>
      <c r="L1192" s="166"/>
      <c r="M1192" s="166"/>
      <c r="N1192" s="164"/>
      <c r="O1192" s="166"/>
      <c r="P1192" s="165"/>
    </row>
    <row r="1193" spans="1:16" ht="15" hidden="1" customHeight="1" x14ac:dyDescent="0.25">
      <c r="A1193" s="167"/>
      <c r="B1193" s="167"/>
      <c r="C1193" s="167"/>
      <c r="D1193" s="167"/>
      <c r="E1193" s="167"/>
      <c r="F1193" s="167"/>
      <c r="G1193" s="167"/>
      <c r="H1193" s="167"/>
      <c r="I1193" s="164">
        <f t="shared" ca="1" si="19"/>
        <v>44939</v>
      </c>
      <c r="J1193" s="163">
        <v>0.33333333333333331</v>
      </c>
      <c r="K1193" s="162" t="s">
        <v>749</v>
      </c>
      <c r="L1193" s="166"/>
      <c r="M1193" s="166"/>
      <c r="N1193" s="164"/>
      <c r="O1193" s="166"/>
      <c r="P1193" s="165"/>
    </row>
    <row r="1194" spans="1:16" ht="15" hidden="1" customHeight="1" x14ac:dyDescent="0.25">
      <c r="A1194" s="167"/>
      <c r="B1194" s="167"/>
      <c r="C1194" s="167"/>
      <c r="D1194" s="167"/>
      <c r="E1194" s="167"/>
      <c r="F1194" s="167"/>
      <c r="G1194" s="167"/>
      <c r="H1194" s="167"/>
      <c r="I1194" s="164">
        <f t="shared" ca="1" si="19"/>
        <v>44939</v>
      </c>
      <c r="J1194" s="163">
        <v>0.33333333333333331</v>
      </c>
      <c r="K1194" s="162" t="s">
        <v>749</v>
      </c>
      <c r="L1194" s="166"/>
      <c r="M1194" s="166"/>
      <c r="N1194" s="164"/>
      <c r="O1194" s="166"/>
      <c r="P1194" s="165"/>
    </row>
    <row r="1195" spans="1:16" ht="15" hidden="1" customHeight="1" x14ac:dyDescent="0.25">
      <c r="A1195" s="168"/>
      <c r="B1195" s="167"/>
      <c r="C1195" s="167"/>
      <c r="D1195" s="167"/>
      <c r="E1195" s="167"/>
      <c r="F1195" s="167"/>
      <c r="G1195" s="167"/>
      <c r="H1195" s="167"/>
      <c r="I1195" s="164">
        <f t="shared" ca="1" si="19"/>
        <v>44939</v>
      </c>
      <c r="J1195" s="163">
        <v>0.33333333333333331</v>
      </c>
      <c r="K1195" s="162" t="s">
        <v>749</v>
      </c>
      <c r="L1195" s="166"/>
      <c r="M1195" s="166"/>
      <c r="N1195" s="164"/>
      <c r="O1195" s="166"/>
      <c r="P1195" s="165"/>
    </row>
    <row r="1196" spans="1:16" ht="15" hidden="1" customHeight="1" x14ac:dyDescent="0.25">
      <c r="A1196" s="168"/>
      <c r="B1196" s="167"/>
      <c r="C1196" s="167"/>
      <c r="D1196" s="167"/>
      <c r="E1196" s="167"/>
      <c r="F1196" s="167"/>
      <c r="G1196" s="167"/>
      <c r="H1196" s="167"/>
      <c r="I1196" s="164">
        <f t="shared" ca="1" si="19"/>
        <v>44939</v>
      </c>
      <c r="J1196" s="163">
        <v>0.33333333333333331</v>
      </c>
      <c r="K1196" s="162" t="s">
        <v>749</v>
      </c>
      <c r="L1196" s="166"/>
      <c r="M1196" s="166"/>
      <c r="N1196" s="164"/>
      <c r="O1196" s="166"/>
      <c r="P1196" s="165"/>
    </row>
    <row r="1197" spans="1:16" ht="15" hidden="1" customHeight="1" x14ac:dyDescent="0.25">
      <c r="A1197" s="167"/>
      <c r="B1197" s="167"/>
      <c r="C1197" s="167"/>
      <c r="D1197" s="167"/>
      <c r="E1197" s="167"/>
      <c r="F1197" s="167"/>
      <c r="G1197" s="167"/>
      <c r="H1197" s="167"/>
      <c r="I1197" s="164">
        <f t="shared" ca="1" si="19"/>
        <v>44939</v>
      </c>
      <c r="J1197" s="163">
        <v>0.33333333333333331</v>
      </c>
      <c r="K1197" s="162" t="s">
        <v>749</v>
      </c>
      <c r="L1197" s="166"/>
      <c r="M1197" s="166"/>
      <c r="N1197" s="164"/>
      <c r="O1197" s="166"/>
      <c r="P1197" s="165"/>
    </row>
    <row r="1198" spans="1:16" ht="15" hidden="1" customHeight="1" x14ac:dyDescent="0.25">
      <c r="A1198" s="168"/>
      <c r="B1198" s="167"/>
      <c r="C1198" s="167"/>
      <c r="D1198" s="167"/>
      <c r="E1198" s="167"/>
      <c r="F1198" s="167"/>
      <c r="G1198" s="167"/>
      <c r="H1198" s="167"/>
      <c r="I1198" s="164">
        <f t="shared" ca="1" si="19"/>
        <v>44939</v>
      </c>
      <c r="J1198" s="163">
        <v>0.33333333333333331</v>
      </c>
      <c r="K1198" s="162" t="s">
        <v>749</v>
      </c>
      <c r="L1198" s="166"/>
      <c r="M1198" s="166"/>
      <c r="N1198" s="164"/>
      <c r="O1198" s="166"/>
      <c r="P1198" s="165"/>
    </row>
    <row r="1199" spans="1:16" ht="15" hidden="1" customHeight="1" x14ac:dyDescent="0.25">
      <c r="A1199" s="168"/>
      <c r="B1199" s="167"/>
      <c r="C1199" s="167"/>
      <c r="D1199" s="167"/>
      <c r="E1199" s="167"/>
      <c r="F1199" s="167"/>
      <c r="G1199" s="167"/>
      <c r="H1199" s="167"/>
      <c r="I1199" s="164">
        <f t="shared" ca="1" si="19"/>
        <v>44939</v>
      </c>
      <c r="J1199" s="163">
        <v>0.33333333333333331</v>
      </c>
      <c r="K1199" s="162" t="s">
        <v>749</v>
      </c>
      <c r="L1199" s="166"/>
      <c r="M1199" s="166"/>
      <c r="N1199" s="164"/>
      <c r="O1199" s="166"/>
      <c r="P1199" s="165"/>
    </row>
    <row r="1200" spans="1:16" ht="15" hidden="1" customHeight="1" x14ac:dyDescent="0.25">
      <c r="A1200" s="168"/>
      <c r="B1200" s="167"/>
      <c r="C1200" s="167"/>
      <c r="D1200" s="167"/>
      <c r="E1200" s="167"/>
      <c r="F1200" s="167"/>
      <c r="G1200" s="167"/>
      <c r="H1200" s="167"/>
      <c r="I1200" s="164">
        <f t="shared" ca="1" si="19"/>
        <v>44939</v>
      </c>
      <c r="J1200" s="163">
        <v>0.33333333333333331</v>
      </c>
      <c r="K1200" s="162" t="s">
        <v>749</v>
      </c>
      <c r="L1200" s="166"/>
      <c r="M1200" s="166"/>
      <c r="N1200" s="164"/>
      <c r="O1200" s="166"/>
      <c r="P1200" s="165"/>
    </row>
    <row r="1201" spans="1:16" ht="15" hidden="1" customHeight="1" x14ac:dyDescent="0.25">
      <c r="A1201" s="168"/>
      <c r="B1201" s="167"/>
      <c r="C1201" s="167"/>
      <c r="D1201" s="167"/>
      <c r="E1201" s="167"/>
      <c r="F1201" s="167"/>
      <c r="G1201" s="167"/>
      <c r="H1201" s="167"/>
      <c r="I1201" s="164">
        <f t="shared" ca="1" si="19"/>
        <v>44939</v>
      </c>
      <c r="J1201" s="163">
        <v>0.33333333333333331</v>
      </c>
      <c r="K1201" s="162" t="s">
        <v>749</v>
      </c>
      <c r="L1201" s="166"/>
      <c r="M1201" s="166"/>
      <c r="N1201" s="164"/>
      <c r="O1201" s="166"/>
      <c r="P1201" s="165"/>
    </row>
    <row r="1202" spans="1:16" ht="15" hidden="1" customHeight="1" x14ac:dyDescent="0.25">
      <c r="A1202" s="168"/>
      <c r="B1202" s="167"/>
      <c r="C1202" s="167"/>
      <c r="D1202" s="167"/>
      <c r="E1202" s="167"/>
      <c r="F1202" s="167"/>
      <c r="G1202" s="167"/>
      <c r="H1202" s="167"/>
      <c r="I1202" s="164">
        <f t="shared" ca="1" si="19"/>
        <v>44939</v>
      </c>
      <c r="J1202" s="163">
        <v>0.33333333333333331</v>
      </c>
      <c r="K1202" s="162" t="s">
        <v>749</v>
      </c>
      <c r="L1202" s="166"/>
      <c r="M1202" s="166"/>
      <c r="N1202" s="164"/>
      <c r="O1202" s="166"/>
      <c r="P1202" s="165"/>
    </row>
    <row r="1203" spans="1:16" ht="15" hidden="1" customHeight="1" x14ac:dyDescent="0.25">
      <c r="A1203" s="167"/>
      <c r="B1203" s="167"/>
      <c r="C1203" s="167"/>
      <c r="D1203" s="167"/>
      <c r="E1203" s="167"/>
      <c r="F1203" s="167"/>
      <c r="G1203" s="167"/>
      <c r="H1203" s="167"/>
      <c r="I1203" s="164">
        <f t="shared" ca="1" si="19"/>
        <v>44939</v>
      </c>
      <c r="J1203" s="163">
        <v>0.33333333333333331</v>
      </c>
      <c r="K1203" s="162" t="s">
        <v>749</v>
      </c>
      <c r="L1203" s="166"/>
      <c r="M1203" s="166"/>
      <c r="N1203" s="164"/>
      <c r="O1203" s="166"/>
      <c r="P1203" s="165"/>
    </row>
    <row r="1204" spans="1:16" ht="15" hidden="1" customHeight="1" x14ac:dyDescent="0.25">
      <c r="A1204" s="167"/>
      <c r="B1204" s="167"/>
      <c r="C1204" s="167"/>
      <c r="D1204" s="167"/>
      <c r="E1204" s="167"/>
      <c r="F1204" s="167"/>
      <c r="G1204" s="167"/>
      <c r="H1204" s="167"/>
      <c r="I1204" s="164">
        <f t="shared" ca="1" si="19"/>
        <v>44939</v>
      </c>
      <c r="J1204" s="163">
        <v>0.33333333333333331</v>
      </c>
      <c r="K1204" s="162" t="s">
        <v>749</v>
      </c>
      <c r="L1204" s="166"/>
      <c r="M1204" s="166"/>
      <c r="N1204" s="164"/>
      <c r="O1204" s="166"/>
      <c r="P1204" s="165"/>
    </row>
    <row r="1205" spans="1:16" ht="15" hidden="1" customHeight="1" x14ac:dyDescent="0.25">
      <c r="A1205" s="168"/>
      <c r="B1205" s="167"/>
      <c r="C1205" s="168"/>
      <c r="D1205" s="167"/>
      <c r="E1205" s="167"/>
      <c r="F1205" s="167"/>
      <c r="G1205" s="167"/>
      <c r="H1205" s="167"/>
      <c r="I1205" s="164">
        <f t="shared" ca="1" si="19"/>
        <v>44939</v>
      </c>
      <c r="J1205" s="163">
        <v>0.33333333333333331</v>
      </c>
      <c r="K1205" s="162" t="s">
        <v>749</v>
      </c>
      <c r="L1205" s="166"/>
      <c r="M1205" s="166"/>
      <c r="N1205" s="164"/>
      <c r="O1205" s="166"/>
      <c r="P1205" s="165"/>
    </row>
    <row r="1206" spans="1:16" ht="15" hidden="1" customHeight="1" x14ac:dyDescent="0.25">
      <c r="A1206" s="167"/>
      <c r="B1206" s="167"/>
      <c r="C1206" s="167"/>
      <c r="D1206" s="167"/>
      <c r="E1206" s="167"/>
      <c r="F1206" s="167"/>
      <c r="G1206" s="167"/>
      <c r="H1206" s="167"/>
      <c r="I1206" s="164">
        <f t="shared" ca="1" si="19"/>
        <v>44939</v>
      </c>
      <c r="J1206" s="163">
        <v>0.33333333333333331</v>
      </c>
      <c r="K1206" s="162" t="s">
        <v>749</v>
      </c>
      <c r="L1206" s="166"/>
      <c r="M1206" s="166"/>
      <c r="N1206" s="164"/>
      <c r="O1206" s="166"/>
      <c r="P1206" s="165"/>
    </row>
    <row r="1207" spans="1:16" ht="15" hidden="1" customHeight="1" x14ac:dyDescent="0.25">
      <c r="A1207" s="167"/>
      <c r="B1207" s="167"/>
      <c r="C1207" s="167"/>
      <c r="D1207" s="167"/>
      <c r="E1207" s="167"/>
      <c r="F1207" s="167"/>
      <c r="G1207" s="167"/>
      <c r="H1207" s="167"/>
      <c r="I1207" s="164">
        <f t="shared" ca="1" si="19"/>
        <v>44939</v>
      </c>
      <c r="J1207" s="163">
        <v>0.33333333333333331</v>
      </c>
      <c r="K1207" s="162" t="s">
        <v>749</v>
      </c>
      <c r="L1207" s="166"/>
      <c r="M1207" s="166"/>
      <c r="N1207" s="164"/>
      <c r="O1207" s="166"/>
      <c r="P1207" s="165"/>
    </row>
    <row r="1208" spans="1:16" ht="15" hidden="1" customHeight="1" x14ac:dyDescent="0.25">
      <c r="A1208" s="168"/>
      <c r="B1208" s="167"/>
      <c r="C1208" s="168"/>
      <c r="D1208" s="167"/>
      <c r="E1208" s="167"/>
      <c r="F1208" s="167"/>
      <c r="G1208" s="167"/>
      <c r="H1208" s="167"/>
      <c r="I1208" s="164">
        <f t="shared" ca="1" si="19"/>
        <v>44939</v>
      </c>
      <c r="J1208" s="163">
        <v>0.33333333333333331</v>
      </c>
      <c r="K1208" s="162" t="s">
        <v>749</v>
      </c>
      <c r="L1208" s="166"/>
      <c r="M1208" s="166"/>
      <c r="N1208" s="164"/>
      <c r="O1208" s="166"/>
      <c r="P1208" s="165"/>
    </row>
    <row r="1209" spans="1:16" ht="15" hidden="1" customHeight="1" x14ac:dyDescent="0.25">
      <c r="A1209" s="168"/>
      <c r="B1209" s="167"/>
      <c r="C1209" s="168"/>
      <c r="D1209" s="167"/>
      <c r="E1209" s="167"/>
      <c r="F1209" s="167"/>
      <c r="G1209" s="167"/>
      <c r="H1209" s="167"/>
      <c r="I1209" s="164">
        <f t="shared" ca="1" si="19"/>
        <v>44939</v>
      </c>
      <c r="J1209" s="163">
        <v>0.33333333333333331</v>
      </c>
      <c r="K1209" s="162" t="s">
        <v>749</v>
      </c>
      <c r="L1209" s="166"/>
      <c r="M1209" s="166"/>
      <c r="N1209" s="164"/>
      <c r="O1209" s="166"/>
      <c r="P1209" s="165"/>
    </row>
    <row r="1210" spans="1:16" ht="15" hidden="1" customHeight="1" x14ac:dyDescent="0.25">
      <c r="A1210" s="167"/>
      <c r="B1210" s="167"/>
      <c r="C1210" s="167"/>
      <c r="D1210" s="167"/>
      <c r="E1210" s="167"/>
      <c r="F1210" s="167"/>
      <c r="G1210" s="167"/>
      <c r="H1210" s="167"/>
      <c r="I1210" s="164">
        <f t="shared" ca="1" si="19"/>
        <v>44939</v>
      </c>
      <c r="J1210" s="163">
        <v>0.33333333333333331</v>
      </c>
      <c r="K1210" s="162" t="s">
        <v>749</v>
      </c>
      <c r="L1210" s="166"/>
      <c r="M1210" s="166"/>
      <c r="N1210" s="164"/>
      <c r="O1210" s="166"/>
      <c r="P1210" s="165"/>
    </row>
    <row r="1211" spans="1:16" ht="15" hidden="1" customHeight="1" x14ac:dyDescent="0.25">
      <c r="A1211" s="167"/>
      <c r="B1211" s="167"/>
      <c r="C1211" s="167"/>
      <c r="D1211" s="167"/>
      <c r="E1211" s="167"/>
      <c r="F1211" s="167"/>
      <c r="G1211" s="167"/>
      <c r="H1211" s="167"/>
      <c r="I1211" s="164">
        <f t="shared" ca="1" si="19"/>
        <v>44939</v>
      </c>
      <c r="J1211" s="163">
        <v>0.33333333333333331</v>
      </c>
      <c r="K1211" s="162" t="s">
        <v>749</v>
      </c>
      <c r="L1211" s="166"/>
      <c r="M1211" s="166"/>
      <c r="N1211" s="164"/>
      <c r="O1211" s="166"/>
      <c r="P1211" s="165"/>
    </row>
    <row r="1212" spans="1:16" ht="15" hidden="1" customHeight="1" x14ac:dyDescent="0.25">
      <c r="A1212" s="167"/>
      <c r="B1212" s="167"/>
      <c r="C1212" s="167"/>
      <c r="D1212" s="167"/>
      <c r="E1212" s="167"/>
      <c r="F1212" s="167"/>
      <c r="G1212" s="167"/>
      <c r="H1212" s="167"/>
      <c r="I1212" s="164">
        <f t="shared" ca="1" si="19"/>
        <v>44939</v>
      </c>
      <c r="J1212" s="163">
        <v>0.33333333333333331</v>
      </c>
      <c r="K1212" s="162" t="s">
        <v>749</v>
      </c>
      <c r="L1212" s="166"/>
      <c r="M1212" s="166"/>
      <c r="N1212" s="164"/>
      <c r="O1212" s="166"/>
      <c r="P1212" s="165"/>
    </row>
    <row r="1213" spans="1:16" ht="15" hidden="1" customHeight="1" x14ac:dyDescent="0.25">
      <c r="A1213" s="168"/>
      <c r="B1213" s="167"/>
      <c r="C1213" s="168"/>
      <c r="D1213" s="167"/>
      <c r="E1213" s="167"/>
      <c r="F1213" s="167"/>
      <c r="G1213" s="167"/>
      <c r="H1213" s="167"/>
      <c r="I1213" s="164">
        <f t="shared" ca="1" si="19"/>
        <v>44939</v>
      </c>
      <c r="J1213" s="163">
        <v>0.33333333333333331</v>
      </c>
      <c r="K1213" s="162" t="s">
        <v>749</v>
      </c>
      <c r="L1213" s="166"/>
      <c r="M1213" s="166"/>
      <c r="N1213" s="164"/>
      <c r="O1213" s="166"/>
      <c r="P1213" s="165"/>
    </row>
    <row r="1214" spans="1:16" ht="15" hidden="1" customHeight="1" x14ac:dyDescent="0.25">
      <c r="A1214" s="167"/>
      <c r="B1214" s="167"/>
      <c r="C1214" s="167"/>
      <c r="D1214" s="167"/>
      <c r="E1214" s="167"/>
      <c r="F1214" s="167"/>
      <c r="G1214" s="167"/>
      <c r="H1214" s="167"/>
      <c r="I1214" s="164">
        <f t="shared" ca="1" si="19"/>
        <v>44939</v>
      </c>
      <c r="J1214" s="163">
        <v>0.33333333333333331</v>
      </c>
      <c r="K1214" s="162" t="s">
        <v>749</v>
      </c>
      <c r="L1214" s="166"/>
      <c r="M1214" s="166"/>
      <c r="N1214" s="164"/>
      <c r="O1214" s="166"/>
      <c r="P1214" s="165"/>
    </row>
    <row r="1215" spans="1:16" ht="15" hidden="1" customHeight="1" x14ac:dyDescent="0.25">
      <c r="A1215" s="167"/>
      <c r="B1215" s="167"/>
      <c r="C1215" s="167"/>
      <c r="D1215" s="167"/>
      <c r="E1215" s="167"/>
      <c r="F1215" s="167"/>
      <c r="G1215" s="167"/>
      <c r="H1215" s="167"/>
      <c r="I1215" s="164">
        <f t="shared" ca="1" si="19"/>
        <v>44939</v>
      </c>
      <c r="J1215" s="163">
        <v>0.33333333333333331</v>
      </c>
      <c r="K1215" s="162" t="s">
        <v>749</v>
      </c>
      <c r="L1215" s="166"/>
      <c r="M1215" s="166"/>
      <c r="N1215" s="164"/>
      <c r="O1215" s="166"/>
      <c r="P1215" s="165"/>
    </row>
    <row r="1216" spans="1:16" ht="15" hidden="1" customHeight="1" x14ac:dyDescent="0.25">
      <c r="A1216" s="167"/>
      <c r="B1216" s="167"/>
      <c r="C1216" s="167"/>
      <c r="D1216" s="167"/>
      <c r="E1216" s="167"/>
      <c r="F1216" s="167"/>
      <c r="G1216" s="167"/>
      <c r="H1216" s="167"/>
      <c r="I1216" s="164">
        <f t="shared" ca="1" si="19"/>
        <v>44939</v>
      </c>
      <c r="J1216" s="163">
        <v>0.33333333333333331</v>
      </c>
      <c r="K1216" s="162" t="s">
        <v>749</v>
      </c>
      <c r="L1216" s="166"/>
      <c r="M1216" s="166"/>
      <c r="N1216" s="164"/>
      <c r="O1216" s="166"/>
      <c r="P1216" s="165"/>
    </row>
    <row r="1217" spans="1:16" ht="15" hidden="1" customHeight="1" x14ac:dyDescent="0.25">
      <c r="A1217" s="167"/>
      <c r="B1217" s="167"/>
      <c r="C1217" s="167"/>
      <c r="D1217" s="167"/>
      <c r="E1217" s="167"/>
      <c r="F1217" s="167"/>
      <c r="G1217" s="167"/>
      <c r="H1217" s="167"/>
      <c r="I1217" s="164">
        <f t="shared" ca="1" si="19"/>
        <v>44939</v>
      </c>
      <c r="J1217" s="163">
        <v>0.33333333333333331</v>
      </c>
      <c r="K1217" s="162" t="s">
        <v>749</v>
      </c>
      <c r="L1217" s="166"/>
      <c r="M1217" s="166"/>
      <c r="N1217" s="164"/>
      <c r="O1217" s="166"/>
      <c r="P1217" s="165"/>
    </row>
    <row r="1218" spans="1:16" ht="15" hidden="1" customHeight="1" x14ac:dyDescent="0.25">
      <c r="A1218" s="167"/>
      <c r="B1218" s="167"/>
      <c r="C1218" s="167"/>
      <c r="D1218" s="167"/>
      <c r="E1218" s="167"/>
      <c r="F1218" s="167"/>
      <c r="G1218" s="167"/>
      <c r="H1218" s="167"/>
      <c r="I1218" s="164">
        <f t="shared" ca="1" si="19"/>
        <v>44939</v>
      </c>
      <c r="J1218" s="163">
        <v>0.33333333333333331</v>
      </c>
      <c r="K1218" s="162" t="s">
        <v>749</v>
      </c>
      <c r="L1218" s="166"/>
      <c r="M1218" s="166"/>
      <c r="N1218" s="164"/>
      <c r="O1218" s="166"/>
      <c r="P1218" s="165"/>
    </row>
    <row r="1219" spans="1:16" ht="15" hidden="1" customHeight="1" x14ac:dyDescent="0.25">
      <c r="A1219" s="167"/>
      <c r="B1219" s="167"/>
      <c r="C1219" s="167"/>
      <c r="D1219" s="167"/>
      <c r="E1219" s="167"/>
      <c r="F1219" s="167"/>
      <c r="G1219" s="167"/>
      <c r="H1219" s="167"/>
      <c r="I1219" s="164">
        <f t="shared" ca="1" si="19"/>
        <v>44939</v>
      </c>
      <c r="J1219" s="163">
        <v>0.33333333333333331</v>
      </c>
      <c r="K1219" s="162" t="s">
        <v>749</v>
      </c>
      <c r="L1219" s="166"/>
      <c r="M1219" s="166"/>
      <c r="N1219" s="164"/>
      <c r="O1219" s="166"/>
      <c r="P1219" s="165"/>
    </row>
    <row r="1220" spans="1:16" ht="15" hidden="1" customHeight="1" x14ac:dyDescent="0.25">
      <c r="A1220" s="167"/>
      <c r="B1220" s="167"/>
      <c r="C1220" s="167"/>
      <c r="D1220" s="167"/>
      <c r="E1220" s="167"/>
      <c r="F1220" s="167"/>
      <c r="G1220" s="167"/>
      <c r="H1220" s="167"/>
      <c r="I1220" s="164">
        <f t="shared" ca="1" si="19"/>
        <v>44939</v>
      </c>
      <c r="J1220" s="163">
        <v>0.33333333333333331</v>
      </c>
      <c r="K1220" s="162" t="s">
        <v>749</v>
      </c>
      <c r="L1220" s="166"/>
      <c r="M1220" s="166"/>
      <c r="N1220" s="164"/>
      <c r="O1220" s="166"/>
      <c r="P1220" s="165"/>
    </row>
    <row r="1221" spans="1:16" ht="15" hidden="1" customHeight="1" x14ac:dyDescent="0.25">
      <c r="A1221" s="167"/>
      <c r="B1221" s="167"/>
      <c r="C1221" s="167"/>
      <c r="D1221" s="167"/>
      <c r="E1221" s="167"/>
      <c r="F1221" s="167"/>
      <c r="G1221" s="167"/>
      <c r="H1221" s="167"/>
      <c r="I1221" s="164">
        <f t="shared" ca="1" si="19"/>
        <v>44939</v>
      </c>
      <c r="J1221" s="163">
        <v>0.33333333333333331</v>
      </c>
      <c r="K1221" s="162" t="s">
        <v>749</v>
      </c>
      <c r="L1221" s="166"/>
      <c r="M1221" s="166"/>
      <c r="N1221" s="164"/>
      <c r="O1221" s="166"/>
      <c r="P1221" s="165"/>
    </row>
    <row r="1222" spans="1:16" ht="15" hidden="1" customHeight="1" x14ac:dyDescent="0.25">
      <c r="A1222" s="167"/>
      <c r="B1222" s="167"/>
      <c r="C1222" s="167"/>
      <c r="D1222" s="167"/>
      <c r="E1222" s="167"/>
      <c r="F1222" s="167"/>
      <c r="G1222" s="167"/>
      <c r="H1222" s="167"/>
      <c r="I1222" s="164">
        <f t="shared" ca="1" si="19"/>
        <v>44939</v>
      </c>
      <c r="J1222" s="163">
        <v>0.33333333333333331</v>
      </c>
      <c r="K1222" s="162" t="s">
        <v>749</v>
      </c>
      <c r="L1222" s="166"/>
      <c r="M1222" s="166"/>
      <c r="N1222" s="164"/>
      <c r="O1222" s="166"/>
      <c r="P1222" s="165"/>
    </row>
    <row r="1223" spans="1:16" ht="15" hidden="1" customHeight="1" x14ac:dyDescent="0.25">
      <c r="A1223" s="168"/>
      <c r="B1223" s="167"/>
      <c r="C1223" s="168"/>
      <c r="D1223" s="167"/>
      <c r="E1223" s="167"/>
      <c r="F1223" s="167"/>
      <c r="G1223" s="167"/>
      <c r="H1223" s="167"/>
      <c r="I1223" s="164">
        <f t="shared" ca="1" si="19"/>
        <v>44939</v>
      </c>
      <c r="J1223" s="163">
        <v>0.33333333333333331</v>
      </c>
      <c r="K1223" s="162" t="s">
        <v>749</v>
      </c>
      <c r="L1223" s="166"/>
      <c r="M1223" s="166"/>
      <c r="N1223" s="164"/>
      <c r="O1223" s="166"/>
      <c r="P1223" s="165"/>
    </row>
    <row r="1224" spans="1:16" ht="15" hidden="1" customHeight="1" x14ac:dyDescent="0.25">
      <c r="A1224" s="168"/>
      <c r="B1224" s="167"/>
      <c r="C1224" s="168"/>
      <c r="D1224" s="167"/>
      <c r="E1224" s="167"/>
      <c r="F1224" s="167"/>
      <c r="G1224" s="167"/>
      <c r="H1224" s="167"/>
      <c r="I1224" s="164">
        <f t="shared" ca="1" si="19"/>
        <v>44939</v>
      </c>
      <c r="J1224" s="163">
        <v>0.33333333333333331</v>
      </c>
      <c r="K1224" s="162" t="s">
        <v>749</v>
      </c>
      <c r="L1224" s="166"/>
      <c r="M1224" s="166"/>
      <c r="N1224" s="164"/>
      <c r="O1224" s="166"/>
      <c r="P1224" s="165"/>
    </row>
    <row r="1225" spans="1:16" ht="15" hidden="1" customHeight="1" x14ac:dyDescent="0.25">
      <c r="A1225" s="168"/>
      <c r="B1225" s="167"/>
      <c r="C1225" s="168"/>
      <c r="D1225" s="167"/>
      <c r="E1225" s="167"/>
      <c r="F1225" s="167"/>
      <c r="G1225" s="167"/>
      <c r="H1225" s="167"/>
      <c r="I1225" s="164">
        <f t="shared" ca="1" si="19"/>
        <v>44939</v>
      </c>
      <c r="J1225" s="163">
        <v>0.33333333333333331</v>
      </c>
      <c r="K1225" s="162" t="s">
        <v>749</v>
      </c>
      <c r="L1225" s="166"/>
      <c r="M1225" s="166"/>
      <c r="N1225" s="164"/>
      <c r="O1225" s="166"/>
      <c r="P1225" s="165"/>
    </row>
    <row r="1226" spans="1:16" ht="15" hidden="1" customHeight="1" x14ac:dyDescent="0.25">
      <c r="A1226" s="168"/>
      <c r="B1226" s="167"/>
      <c r="C1226" s="168"/>
      <c r="D1226" s="167"/>
      <c r="E1226" s="167"/>
      <c r="F1226" s="167"/>
      <c r="G1226" s="167"/>
      <c r="H1226" s="167"/>
      <c r="I1226" s="164">
        <f t="shared" ca="1" si="19"/>
        <v>44939</v>
      </c>
      <c r="J1226" s="163">
        <v>0.33333333333333331</v>
      </c>
      <c r="K1226" s="162" t="s">
        <v>749</v>
      </c>
      <c r="L1226" s="166"/>
      <c r="M1226" s="166"/>
      <c r="N1226" s="164"/>
      <c r="O1226" s="166"/>
      <c r="P1226" s="165"/>
    </row>
    <row r="1227" spans="1:16" ht="15" hidden="1" customHeight="1" x14ac:dyDescent="0.25">
      <c r="A1227" s="167"/>
      <c r="B1227" s="167"/>
      <c r="C1227" s="167"/>
      <c r="D1227" s="167"/>
      <c r="E1227" s="167"/>
      <c r="F1227" s="167"/>
      <c r="G1227" s="167"/>
      <c r="H1227" s="167"/>
      <c r="I1227" s="164">
        <f t="shared" ca="1" si="19"/>
        <v>44939</v>
      </c>
      <c r="J1227" s="163">
        <v>0.33333333333333331</v>
      </c>
      <c r="K1227" s="162" t="s">
        <v>749</v>
      </c>
      <c r="L1227" s="166"/>
      <c r="M1227" s="166"/>
      <c r="N1227" s="164"/>
      <c r="O1227" s="166"/>
      <c r="P1227" s="165"/>
    </row>
    <row r="1228" spans="1:16" ht="15" hidden="1" customHeight="1" x14ac:dyDescent="0.25">
      <c r="A1228" s="168"/>
      <c r="B1228" s="167"/>
      <c r="C1228" s="168"/>
      <c r="D1228" s="167"/>
      <c r="E1228" s="167"/>
      <c r="F1228" s="167"/>
      <c r="G1228" s="167"/>
      <c r="H1228" s="167"/>
      <c r="I1228" s="164">
        <f t="shared" ca="1" si="19"/>
        <v>44939</v>
      </c>
      <c r="J1228" s="163">
        <v>0.33333333333333331</v>
      </c>
      <c r="K1228" s="162" t="s">
        <v>749</v>
      </c>
      <c r="L1228" s="166"/>
      <c r="M1228" s="166"/>
      <c r="N1228" s="164"/>
      <c r="O1228" s="166"/>
      <c r="P1228" s="165"/>
    </row>
    <row r="1229" spans="1:16" ht="15" hidden="1" customHeight="1" x14ac:dyDescent="0.25">
      <c r="A1229" s="168"/>
      <c r="B1229" s="167"/>
      <c r="C1229" s="168"/>
      <c r="D1229" s="167"/>
      <c r="E1229" s="167"/>
      <c r="F1229" s="167"/>
      <c r="G1229" s="167"/>
      <c r="H1229" s="167"/>
      <c r="I1229" s="164">
        <f t="shared" ca="1" si="19"/>
        <v>44939</v>
      </c>
      <c r="J1229" s="163">
        <v>0.33333333333333331</v>
      </c>
      <c r="K1229" s="162" t="s">
        <v>749</v>
      </c>
      <c r="L1229" s="166"/>
      <c r="M1229" s="166"/>
      <c r="N1229" s="164"/>
      <c r="O1229" s="166"/>
      <c r="P1229" s="165"/>
    </row>
    <row r="1230" spans="1:16" ht="15" hidden="1" customHeight="1" x14ac:dyDescent="0.25">
      <c r="A1230" s="168"/>
      <c r="B1230" s="167"/>
      <c r="C1230" s="168"/>
      <c r="D1230" s="167"/>
      <c r="E1230" s="167"/>
      <c r="F1230" s="167"/>
      <c r="G1230" s="167"/>
      <c r="H1230" s="167"/>
      <c r="I1230" s="164">
        <f t="shared" ca="1" si="19"/>
        <v>44939</v>
      </c>
      <c r="J1230" s="163">
        <v>0.33333333333333331</v>
      </c>
      <c r="K1230" s="162" t="s">
        <v>749</v>
      </c>
      <c r="L1230" s="166"/>
      <c r="M1230" s="166"/>
      <c r="N1230" s="164"/>
      <c r="O1230" s="166"/>
      <c r="P1230" s="165"/>
    </row>
    <row r="1231" spans="1:16" ht="15" hidden="1" customHeight="1" x14ac:dyDescent="0.25">
      <c r="A1231" s="167"/>
      <c r="B1231" s="167"/>
      <c r="C1231" s="167"/>
      <c r="D1231" s="167"/>
      <c r="E1231" s="167"/>
      <c r="F1231" s="167"/>
      <c r="G1231" s="167"/>
      <c r="H1231" s="167"/>
      <c r="I1231" s="164">
        <f t="shared" ca="1" si="19"/>
        <v>44939</v>
      </c>
      <c r="J1231" s="163">
        <v>0.33333333333333331</v>
      </c>
      <c r="K1231" s="162" t="s">
        <v>749</v>
      </c>
      <c r="L1231" s="166"/>
      <c r="M1231" s="166"/>
      <c r="N1231" s="164"/>
      <c r="O1231" s="166"/>
      <c r="P1231" s="165"/>
    </row>
    <row r="1232" spans="1:16" ht="15" hidden="1" customHeight="1" x14ac:dyDescent="0.25">
      <c r="A1232" s="167"/>
      <c r="B1232" s="167"/>
      <c r="C1232" s="167"/>
      <c r="D1232" s="167"/>
      <c r="E1232" s="167"/>
      <c r="F1232" s="167"/>
      <c r="G1232" s="167"/>
      <c r="H1232" s="167"/>
      <c r="I1232" s="164">
        <f t="shared" ca="1" si="19"/>
        <v>44939</v>
      </c>
      <c r="J1232" s="163">
        <v>0.33333333333333331</v>
      </c>
      <c r="K1232" s="162" t="s">
        <v>749</v>
      </c>
      <c r="L1232" s="166"/>
      <c r="M1232" s="166"/>
      <c r="N1232" s="164"/>
      <c r="O1232" s="166"/>
      <c r="P1232" s="165"/>
    </row>
    <row r="1233" spans="1:16" ht="15" hidden="1" customHeight="1" x14ac:dyDescent="0.25">
      <c r="A1233" s="168"/>
      <c r="B1233" s="167"/>
      <c r="C1233" s="168"/>
      <c r="D1233" s="167"/>
      <c r="E1233" s="167"/>
      <c r="F1233" s="167"/>
      <c r="G1233" s="167"/>
      <c r="H1233" s="167"/>
      <c r="I1233" s="164">
        <f t="shared" ca="1" si="19"/>
        <v>44939</v>
      </c>
      <c r="J1233" s="163">
        <v>0.33333333333333331</v>
      </c>
      <c r="K1233" s="162" t="s">
        <v>749</v>
      </c>
      <c r="L1233" s="166"/>
      <c r="M1233" s="166"/>
      <c r="N1233" s="164"/>
      <c r="O1233" s="166"/>
      <c r="P1233" s="165"/>
    </row>
    <row r="1234" spans="1:16" ht="15" hidden="1" customHeight="1" x14ac:dyDescent="0.25">
      <c r="A1234" s="168"/>
      <c r="B1234" s="167"/>
      <c r="C1234" s="168"/>
      <c r="D1234" s="167"/>
      <c r="E1234" s="167"/>
      <c r="F1234" s="167"/>
      <c r="G1234" s="167"/>
      <c r="H1234" s="167"/>
      <c r="I1234" s="164">
        <f t="shared" ca="1" si="19"/>
        <v>44939</v>
      </c>
      <c r="J1234" s="163">
        <v>0.33333333333333331</v>
      </c>
      <c r="K1234" s="162" t="s">
        <v>749</v>
      </c>
      <c r="L1234" s="166"/>
      <c r="M1234" s="166"/>
      <c r="N1234" s="164"/>
      <c r="O1234" s="166"/>
      <c r="P1234" s="165"/>
    </row>
    <row r="1235" spans="1:16" ht="15" hidden="1" customHeight="1" x14ac:dyDescent="0.25">
      <c r="A1235" s="168"/>
      <c r="B1235" s="167"/>
      <c r="C1235" s="168"/>
      <c r="D1235" s="167"/>
      <c r="E1235" s="167"/>
      <c r="F1235" s="167"/>
      <c r="G1235" s="167"/>
      <c r="H1235" s="167"/>
      <c r="I1235" s="164">
        <f t="shared" ca="1" si="19"/>
        <v>44939</v>
      </c>
      <c r="J1235" s="163">
        <v>0.33333333333333331</v>
      </c>
      <c r="K1235" s="162" t="s">
        <v>749</v>
      </c>
      <c r="L1235" s="166"/>
      <c r="M1235" s="166"/>
      <c r="N1235" s="164"/>
      <c r="O1235" s="166"/>
      <c r="P1235" s="165"/>
    </row>
    <row r="1236" spans="1:16" ht="15" hidden="1" customHeight="1" x14ac:dyDescent="0.25">
      <c r="A1236" s="168"/>
      <c r="B1236" s="167"/>
      <c r="C1236" s="168"/>
      <c r="D1236" s="167"/>
      <c r="E1236" s="167"/>
      <c r="F1236" s="167"/>
      <c r="G1236" s="167"/>
      <c r="H1236" s="167"/>
      <c r="I1236" s="164">
        <f t="shared" ca="1" si="19"/>
        <v>44939</v>
      </c>
      <c r="J1236" s="163">
        <v>0.33333333333333331</v>
      </c>
      <c r="K1236" s="162" t="s">
        <v>749</v>
      </c>
      <c r="L1236" s="166"/>
      <c r="M1236" s="166"/>
      <c r="N1236" s="164"/>
      <c r="O1236" s="166"/>
      <c r="P1236" s="165"/>
    </row>
    <row r="1237" spans="1:16" ht="15" hidden="1" customHeight="1" x14ac:dyDescent="0.25">
      <c r="A1237" s="168"/>
      <c r="B1237" s="167"/>
      <c r="C1237" s="168"/>
      <c r="D1237" s="167"/>
      <c r="E1237" s="167"/>
      <c r="F1237" s="167"/>
      <c r="G1237" s="167"/>
      <c r="H1237" s="167"/>
      <c r="I1237" s="164">
        <f t="shared" ca="1" si="19"/>
        <v>44939</v>
      </c>
      <c r="J1237" s="163">
        <v>0.33333333333333331</v>
      </c>
      <c r="K1237" s="162" t="s">
        <v>749</v>
      </c>
      <c r="L1237" s="166"/>
      <c r="M1237" s="166"/>
      <c r="N1237" s="164"/>
      <c r="O1237" s="166"/>
      <c r="P1237" s="165"/>
    </row>
    <row r="1238" spans="1:16" ht="15" hidden="1" customHeight="1" x14ac:dyDescent="0.25">
      <c r="A1238" s="168"/>
      <c r="B1238" s="167"/>
      <c r="C1238" s="168"/>
      <c r="D1238" s="167"/>
      <c r="E1238" s="167"/>
      <c r="F1238" s="167"/>
      <c r="G1238" s="167"/>
      <c r="H1238" s="167"/>
      <c r="I1238" s="164">
        <f t="shared" ca="1" si="19"/>
        <v>44939</v>
      </c>
      <c r="J1238" s="163">
        <v>0.33333333333333331</v>
      </c>
      <c r="K1238" s="162" t="s">
        <v>749</v>
      </c>
      <c r="L1238" s="166"/>
      <c r="M1238" s="166"/>
      <c r="N1238" s="164"/>
      <c r="O1238" s="166"/>
      <c r="P1238" s="165"/>
    </row>
    <row r="1239" spans="1:16" ht="15" hidden="1" customHeight="1" x14ac:dyDescent="0.25">
      <c r="A1239" s="167"/>
      <c r="B1239" s="167"/>
      <c r="C1239" s="167"/>
      <c r="D1239" s="167"/>
      <c r="E1239" s="167"/>
      <c r="F1239" s="167"/>
      <c r="G1239" s="167"/>
      <c r="H1239" s="167"/>
      <c r="I1239" s="164">
        <f t="shared" ca="1" si="19"/>
        <v>44939</v>
      </c>
      <c r="J1239" s="163">
        <v>0.33333333333333331</v>
      </c>
      <c r="K1239" s="162" t="s">
        <v>749</v>
      </c>
      <c r="L1239" s="166"/>
      <c r="M1239" s="166"/>
      <c r="N1239" s="164"/>
      <c r="O1239" s="166"/>
      <c r="P1239" s="165"/>
    </row>
    <row r="1240" spans="1:16" ht="15" hidden="1" customHeight="1" x14ac:dyDescent="0.25">
      <c r="A1240" s="167"/>
      <c r="B1240" s="167"/>
      <c r="C1240" s="167"/>
      <c r="D1240" s="167"/>
      <c r="E1240" s="167"/>
      <c r="F1240" s="167"/>
      <c r="G1240" s="167"/>
      <c r="H1240" s="167"/>
      <c r="I1240" s="164">
        <f t="shared" ref="I1240:I1303" ca="1" si="20">TODAY()</f>
        <v>44939</v>
      </c>
      <c r="J1240" s="163">
        <v>0.33333333333333331</v>
      </c>
      <c r="K1240" s="162" t="s">
        <v>749</v>
      </c>
      <c r="L1240" s="166"/>
      <c r="M1240" s="166"/>
      <c r="N1240" s="164"/>
      <c r="O1240" s="166"/>
      <c r="P1240" s="165"/>
    </row>
    <row r="1241" spans="1:16" ht="15" hidden="1" customHeight="1" x14ac:dyDescent="0.25">
      <c r="A1241" s="167"/>
      <c r="B1241" s="167"/>
      <c r="C1241" s="167"/>
      <c r="D1241" s="167"/>
      <c r="E1241" s="167"/>
      <c r="F1241" s="167"/>
      <c r="G1241" s="167"/>
      <c r="H1241" s="167"/>
      <c r="I1241" s="164">
        <f t="shared" ca="1" si="20"/>
        <v>44939</v>
      </c>
      <c r="J1241" s="163">
        <v>0.33333333333333331</v>
      </c>
      <c r="K1241" s="162" t="s">
        <v>749</v>
      </c>
      <c r="L1241" s="166"/>
      <c r="M1241" s="166"/>
      <c r="N1241" s="164"/>
      <c r="O1241" s="166"/>
      <c r="P1241" s="165"/>
    </row>
    <row r="1242" spans="1:16" ht="15" hidden="1" customHeight="1" x14ac:dyDescent="0.25">
      <c r="A1242" s="167"/>
      <c r="B1242" s="167"/>
      <c r="C1242" s="167"/>
      <c r="D1242" s="167"/>
      <c r="E1242" s="167"/>
      <c r="F1242" s="167"/>
      <c r="G1242" s="167"/>
      <c r="H1242" s="167"/>
      <c r="I1242" s="164">
        <f t="shared" ca="1" si="20"/>
        <v>44939</v>
      </c>
      <c r="J1242" s="163">
        <v>0.33333333333333331</v>
      </c>
      <c r="K1242" s="162" t="s">
        <v>749</v>
      </c>
      <c r="L1242" s="166"/>
      <c r="M1242" s="166"/>
      <c r="N1242" s="164"/>
      <c r="O1242" s="166"/>
      <c r="P1242" s="165"/>
    </row>
    <row r="1243" spans="1:16" ht="15" hidden="1" customHeight="1" x14ac:dyDescent="0.25">
      <c r="A1243" s="168"/>
      <c r="B1243" s="167"/>
      <c r="C1243" s="168"/>
      <c r="D1243" s="167"/>
      <c r="E1243" s="167"/>
      <c r="F1243" s="167"/>
      <c r="G1243" s="167"/>
      <c r="H1243" s="167"/>
      <c r="I1243" s="164">
        <f t="shared" ca="1" si="20"/>
        <v>44939</v>
      </c>
      <c r="J1243" s="163">
        <v>0.33333333333333331</v>
      </c>
      <c r="K1243" s="162" t="s">
        <v>749</v>
      </c>
      <c r="L1243" s="166"/>
      <c r="M1243" s="166"/>
      <c r="N1243" s="164"/>
      <c r="O1243" s="166"/>
      <c r="P1243" s="165"/>
    </row>
    <row r="1244" spans="1:16" ht="15" hidden="1" customHeight="1" x14ac:dyDescent="0.25">
      <c r="A1244" s="168"/>
      <c r="B1244" s="167"/>
      <c r="C1244" s="168"/>
      <c r="D1244" s="167"/>
      <c r="E1244" s="167"/>
      <c r="F1244" s="167"/>
      <c r="G1244" s="167"/>
      <c r="H1244" s="167"/>
      <c r="I1244" s="164">
        <f t="shared" ca="1" si="20"/>
        <v>44939</v>
      </c>
      <c r="J1244" s="163">
        <v>0.33333333333333331</v>
      </c>
      <c r="K1244" s="162" t="s">
        <v>749</v>
      </c>
      <c r="L1244" s="166"/>
      <c r="M1244" s="166"/>
      <c r="N1244" s="164"/>
      <c r="O1244" s="166"/>
      <c r="P1244" s="165"/>
    </row>
    <row r="1245" spans="1:16" ht="15" hidden="1" customHeight="1" x14ac:dyDescent="0.25">
      <c r="A1245" s="168"/>
      <c r="B1245" s="167"/>
      <c r="C1245" s="168"/>
      <c r="D1245" s="167"/>
      <c r="E1245" s="167"/>
      <c r="F1245" s="167"/>
      <c r="G1245" s="167"/>
      <c r="H1245" s="167"/>
      <c r="I1245" s="164">
        <f t="shared" ca="1" si="20"/>
        <v>44939</v>
      </c>
      <c r="J1245" s="163">
        <v>0.33333333333333331</v>
      </c>
      <c r="K1245" s="162" t="s">
        <v>749</v>
      </c>
      <c r="L1245" s="166"/>
      <c r="M1245" s="166"/>
      <c r="N1245" s="164"/>
      <c r="O1245" s="166"/>
      <c r="P1245" s="165"/>
    </row>
    <row r="1246" spans="1:16" ht="15" hidden="1" customHeight="1" x14ac:dyDescent="0.25">
      <c r="A1246" s="167"/>
      <c r="B1246" s="167"/>
      <c r="C1246" s="167"/>
      <c r="D1246" s="167"/>
      <c r="E1246" s="167"/>
      <c r="F1246" s="167"/>
      <c r="G1246" s="167"/>
      <c r="H1246" s="167"/>
      <c r="I1246" s="164">
        <f t="shared" ca="1" si="20"/>
        <v>44939</v>
      </c>
      <c r="J1246" s="163">
        <v>0.33333333333333331</v>
      </c>
      <c r="K1246" s="162" t="s">
        <v>749</v>
      </c>
      <c r="L1246" s="166"/>
      <c r="M1246" s="166"/>
      <c r="N1246" s="164"/>
      <c r="O1246" s="166"/>
      <c r="P1246" s="165"/>
    </row>
    <row r="1247" spans="1:16" ht="15" hidden="1" customHeight="1" x14ac:dyDescent="0.25">
      <c r="A1247" s="168"/>
      <c r="B1247" s="167"/>
      <c r="C1247" s="168"/>
      <c r="D1247" s="167"/>
      <c r="E1247" s="167"/>
      <c r="F1247" s="167"/>
      <c r="G1247" s="167"/>
      <c r="H1247" s="167"/>
      <c r="I1247" s="164">
        <f t="shared" ca="1" si="20"/>
        <v>44939</v>
      </c>
      <c r="J1247" s="163">
        <v>0.33333333333333331</v>
      </c>
      <c r="K1247" s="162" t="s">
        <v>749</v>
      </c>
      <c r="L1247" s="166"/>
      <c r="M1247" s="166"/>
      <c r="N1247" s="164"/>
      <c r="O1247" s="166"/>
      <c r="P1247" s="165"/>
    </row>
    <row r="1248" spans="1:16" ht="15" hidden="1" customHeight="1" x14ac:dyDescent="0.25">
      <c r="A1248" s="168"/>
      <c r="B1248" s="167"/>
      <c r="C1248" s="168"/>
      <c r="D1248" s="167"/>
      <c r="E1248" s="167"/>
      <c r="F1248" s="167"/>
      <c r="G1248" s="167"/>
      <c r="H1248" s="167"/>
      <c r="I1248" s="164">
        <f t="shared" ca="1" si="20"/>
        <v>44939</v>
      </c>
      <c r="J1248" s="163">
        <v>0.33333333333333331</v>
      </c>
      <c r="K1248" s="162" t="s">
        <v>749</v>
      </c>
      <c r="L1248" s="166"/>
      <c r="M1248" s="166"/>
      <c r="N1248" s="164"/>
      <c r="O1248" s="166"/>
      <c r="P1248" s="165"/>
    </row>
    <row r="1249" spans="1:16" ht="15" hidden="1" customHeight="1" x14ac:dyDescent="0.25">
      <c r="A1249" s="168"/>
      <c r="B1249" s="167"/>
      <c r="C1249" s="168"/>
      <c r="D1249" s="167"/>
      <c r="E1249" s="167"/>
      <c r="F1249" s="167"/>
      <c r="G1249" s="167"/>
      <c r="H1249" s="167"/>
      <c r="I1249" s="164">
        <f t="shared" ca="1" si="20"/>
        <v>44939</v>
      </c>
      <c r="J1249" s="163">
        <v>0.33333333333333331</v>
      </c>
      <c r="K1249" s="162" t="s">
        <v>749</v>
      </c>
      <c r="L1249" s="166"/>
      <c r="M1249" s="166"/>
      <c r="N1249" s="164"/>
      <c r="O1249" s="166"/>
      <c r="P1249" s="165"/>
    </row>
    <row r="1250" spans="1:16" ht="15" hidden="1" customHeight="1" x14ac:dyDescent="0.25">
      <c r="A1250" s="168"/>
      <c r="B1250" s="167"/>
      <c r="C1250" s="168"/>
      <c r="D1250" s="167"/>
      <c r="E1250" s="167"/>
      <c r="F1250" s="167"/>
      <c r="G1250" s="167"/>
      <c r="H1250" s="167"/>
      <c r="I1250" s="164">
        <f t="shared" ca="1" si="20"/>
        <v>44939</v>
      </c>
      <c r="J1250" s="163">
        <v>0.33333333333333331</v>
      </c>
      <c r="K1250" s="162" t="s">
        <v>749</v>
      </c>
      <c r="L1250" s="166"/>
      <c r="M1250" s="166"/>
      <c r="N1250" s="164"/>
      <c r="O1250" s="166"/>
      <c r="P1250" s="165"/>
    </row>
    <row r="1251" spans="1:16" ht="15" hidden="1" customHeight="1" x14ac:dyDescent="0.25">
      <c r="A1251" s="167"/>
      <c r="B1251" s="167"/>
      <c r="C1251" s="167"/>
      <c r="D1251" s="167"/>
      <c r="E1251" s="167"/>
      <c r="F1251" s="167"/>
      <c r="G1251" s="167"/>
      <c r="H1251" s="167"/>
      <c r="I1251" s="164">
        <f t="shared" ca="1" si="20"/>
        <v>44939</v>
      </c>
      <c r="J1251" s="163">
        <v>0.33333333333333331</v>
      </c>
      <c r="K1251" s="162" t="s">
        <v>749</v>
      </c>
      <c r="L1251" s="166"/>
      <c r="M1251" s="166"/>
      <c r="N1251" s="164"/>
      <c r="O1251" s="166"/>
      <c r="P1251" s="165"/>
    </row>
    <row r="1252" spans="1:16" ht="15" hidden="1" customHeight="1" x14ac:dyDescent="0.25">
      <c r="A1252" s="167"/>
      <c r="B1252" s="167"/>
      <c r="C1252" s="167"/>
      <c r="D1252" s="167"/>
      <c r="E1252" s="167"/>
      <c r="F1252" s="167"/>
      <c r="G1252" s="167"/>
      <c r="H1252" s="167"/>
      <c r="I1252" s="164">
        <f t="shared" ca="1" si="20"/>
        <v>44939</v>
      </c>
      <c r="J1252" s="163">
        <v>0.33333333333333331</v>
      </c>
      <c r="K1252" s="162" t="s">
        <v>749</v>
      </c>
      <c r="L1252" s="166"/>
      <c r="M1252" s="166"/>
      <c r="N1252" s="164"/>
      <c r="O1252" s="166"/>
      <c r="P1252" s="165"/>
    </row>
    <row r="1253" spans="1:16" ht="15" hidden="1" customHeight="1" x14ac:dyDescent="0.25">
      <c r="A1253" s="167"/>
      <c r="B1253" s="167"/>
      <c r="C1253" s="167"/>
      <c r="D1253" s="167"/>
      <c r="E1253" s="167"/>
      <c r="F1253" s="167"/>
      <c r="G1253" s="167"/>
      <c r="H1253" s="167"/>
      <c r="I1253" s="164">
        <f t="shared" ca="1" si="20"/>
        <v>44939</v>
      </c>
      <c r="J1253" s="163">
        <v>0.33333333333333331</v>
      </c>
      <c r="K1253" s="162" t="s">
        <v>749</v>
      </c>
      <c r="L1253" s="166"/>
      <c r="M1253" s="166"/>
      <c r="N1253" s="164"/>
      <c r="O1253" s="166"/>
      <c r="P1253" s="165"/>
    </row>
    <row r="1254" spans="1:16" ht="15" hidden="1" customHeight="1" x14ac:dyDescent="0.25">
      <c r="A1254" s="167"/>
      <c r="B1254" s="167"/>
      <c r="C1254" s="167"/>
      <c r="D1254" s="167"/>
      <c r="E1254" s="167"/>
      <c r="F1254" s="167"/>
      <c r="G1254" s="167"/>
      <c r="H1254" s="167"/>
      <c r="I1254" s="164">
        <f t="shared" ca="1" si="20"/>
        <v>44939</v>
      </c>
      <c r="J1254" s="163">
        <v>0.33333333333333331</v>
      </c>
      <c r="K1254" s="162" t="s">
        <v>749</v>
      </c>
      <c r="L1254" s="166"/>
      <c r="M1254" s="166"/>
      <c r="N1254" s="164"/>
      <c r="O1254" s="166"/>
      <c r="P1254" s="165"/>
    </row>
    <row r="1255" spans="1:16" ht="15" hidden="1" customHeight="1" x14ac:dyDescent="0.25">
      <c r="A1255" s="167"/>
      <c r="B1255" s="167"/>
      <c r="C1255" s="167"/>
      <c r="D1255" s="167"/>
      <c r="E1255" s="167"/>
      <c r="F1255" s="167"/>
      <c r="G1255" s="167"/>
      <c r="H1255" s="167"/>
      <c r="I1255" s="164">
        <f t="shared" ca="1" si="20"/>
        <v>44939</v>
      </c>
      <c r="J1255" s="163">
        <v>0.33333333333333331</v>
      </c>
      <c r="K1255" s="162" t="s">
        <v>749</v>
      </c>
      <c r="L1255" s="166"/>
      <c r="M1255" s="166"/>
      <c r="N1255" s="164"/>
      <c r="O1255" s="166"/>
      <c r="P1255" s="165"/>
    </row>
    <row r="1256" spans="1:16" ht="15" hidden="1" customHeight="1" x14ac:dyDescent="0.25">
      <c r="A1256" s="167"/>
      <c r="B1256" s="167"/>
      <c r="C1256" s="167"/>
      <c r="D1256" s="167"/>
      <c r="E1256" s="167"/>
      <c r="F1256" s="167"/>
      <c r="G1256" s="167"/>
      <c r="H1256" s="167"/>
      <c r="I1256" s="164">
        <f t="shared" ca="1" si="20"/>
        <v>44939</v>
      </c>
      <c r="J1256" s="163">
        <v>0.33333333333333331</v>
      </c>
      <c r="K1256" s="162" t="s">
        <v>749</v>
      </c>
      <c r="L1256" s="166"/>
      <c r="M1256" s="166"/>
      <c r="N1256" s="164"/>
      <c r="O1256" s="166"/>
      <c r="P1256" s="165"/>
    </row>
    <row r="1257" spans="1:16" ht="15" hidden="1" customHeight="1" x14ac:dyDescent="0.25">
      <c r="A1257" s="167"/>
      <c r="B1257" s="167"/>
      <c r="C1257" s="167"/>
      <c r="D1257" s="167"/>
      <c r="E1257" s="167"/>
      <c r="F1257" s="167"/>
      <c r="G1257" s="167"/>
      <c r="H1257" s="167"/>
      <c r="I1257" s="164">
        <f t="shared" ca="1" si="20"/>
        <v>44939</v>
      </c>
      <c r="J1257" s="163">
        <v>0.33333333333333331</v>
      </c>
      <c r="K1257" s="162" t="s">
        <v>749</v>
      </c>
      <c r="L1257" s="166"/>
      <c r="M1257" s="166"/>
      <c r="N1257" s="164"/>
      <c r="O1257" s="166"/>
      <c r="P1257" s="165"/>
    </row>
    <row r="1258" spans="1:16" ht="15" hidden="1" customHeight="1" x14ac:dyDescent="0.25">
      <c r="A1258" s="168"/>
      <c r="B1258" s="167"/>
      <c r="C1258" s="168"/>
      <c r="D1258" s="167"/>
      <c r="E1258" s="167"/>
      <c r="F1258" s="167"/>
      <c r="G1258" s="167"/>
      <c r="H1258" s="167"/>
      <c r="I1258" s="164">
        <f t="shared" ca="1" si="20"/>
        <v>44939</v>
      </c>
      <c r="J1258" s="163">
        <v>0.33333333333333331</v>
      </c>
      <c r="K1258" s="162" t="s">
        <v>749</v>
      </c>
      <c r="L1258" s="166"/>
      <c r="M1258" s="166"/>
      <c r="N1258" s="164"/>
      <c r="O1258" s="166"/>
      <c r="P1258" s="165"/>
    </row>
    <row r="1259" spans="1:16" ht="15" hidden="1" customHeight="1" x14ac:dyDescent="0.25">
      <c r="A1259" s="168"/>
      <c r="B1259" s="167"/>
      <c r="C1259" s="168"/>
      <c r="D1259" s="167"/>
      <c r="E1259" s="167"/>
      <c r="F1259" s="167"/>
      <c r="G1259" s="167"/>
      <c r="H1259" s="167"/>
      <c r="I1259" s="164">
        <f t="shared" ca="1" si="20"/>
        <v>44939</v>
      </c>
      <c r="J1259" s="163">
        <v>0.33333333333333331</v>
      </c>
      <c r="K1259" s="162" t="s">
        <v>749</v>
      </c>
      <c r="L1259" s="166"/>
      <c r="M1259" s="166"/>
      <c r="N1259" s="164"/>
      <c r="O1259" s="166"/>
      <c r="P1259" s="165"/>
    </row>
    <row r="1260" spans="1:16" ht="15" hidden="1" customHeight="1" x14ac:dyDescent="0.25">
      <c r="A1260" s="167"/>
      <c r="B1260" s="167"/>
      <c r="C1260" s="167"/>
      <c r="D1260" s="167"/>
      <c r="E1260" s="167"/>
      <c r="F1260" s="167"/>
      <c r="G1260" s="167"/>
      <c r="H1260" s="167"/>
      <c r="I1260" s="164">
        <f t="shared" ca="1" si="20"/>
        <v>44939</v>
      </c>
      <c r="J1260" s="163">
        <v>0.33333333333333331</v>
      </c>
      <c r="K1260" s="162" t="s">
        <v>749</v>
      </c>
      <c r="L1260" s="166"/>
      <c r="M1260" s="166"/>
      <c r="N1260" s="164"/>
      <c r="O1260" s="166"/>
      <c r="P1260" s="165"/>
    </row>
    <row r="1261" spans="1:16" ht="15" hidden="1" customHeight="1" x14ac:dyDescent="0.25">
      <c r="A1261" s="167"/>
      <c r="B1261" s="167"/>
      <c r="C1261" s="167"/>
      <c r="D1261" s="167"/>
      <c r="E1261" s="167"/>
      <c r="F1261" s="167"/>
      <c r="G1261" s="167"/>
      <c r="H1261" s="167"/>
      <c r="I1261" s="164">
        <f t="shared" ca="1" si="20"/>
        <v>44939</v>
      </c>
      <c r="J1261" s="163">
        <v>0.33333333333333331</v>
      </c>
      <c r="K1261" s="162" t="s">
        <v>749</v>
      </c>
      <c r="L1261" s="166"/>
      <c r="M1261" s="166"/>
      <c r="N1261" s="164"/>
      <c r="O1261" s="166"/>
      <c r="P1261" s="165"/>
    </row>
    <row r="1262" spans="1:16" ht="15" hidden="1" customHeight="1" x14ac:dyDescent="0.25">
      <c r="A1262" s="167"/>
      <c r="B1262" s="167"/>
      <c r="C1262" s="167"/>
      <c r="D1262" s="167"/>
      <c r="E1262" s="167"/>
      <c r="F1262" s="167"/>
      <c r="G1262" s="167"/>
      <c r="H1262" s="167"/>
      <c r="I1262" s="164">
        <f t="shared" ca="1" si="20"/>
        <v>44939</v>
      </c>
      <c r="J1262" s="163">
        <v>0.33333333333333331</v>
      </c>
      <c r="K1262" s="162" t="s">
        <v>749</v>
      </c>
      <c r="L1262" s="166"/>
      <c r="M1262" s="166"/>
      <c r="N1262" s="164"/>
      <c r="O1262" s="166"/>
      <c r="P1262" s="165"/>
    </row>
    <row r="1263" spans="1:16" ht="15" hidden="1" customHeight="1" x14ac:dyDescent="0.25">
      <c r="A1263" s="167"/>
      <c r="B1263" s="167"/>
      <c r="C1263" s="167"/>
      <c r="D1263" s="167"/>
      <c r="E1263" s="167"/>
      <c r="F1263" s="167"/>
      <c r="G1263" s="167"/>
      <c r="H1263" s="167"/>
      <c r="I1263" s="164">
        <f t="shared" ca="1" si="20"/>
        <v>44939</v>
      </c>
      <c r="J1263" s="163">
        <v>0.33333333333333331</v>
      </c>
      <c r="K1263" s="162" t="s">
        <v>749</v>
      </c>
      <c r="L1263" s="166"/>
      <c r="M1263" s="166"/>
      <c r="N1263" s="164"/>
      <c r="O1263" s="166"/>
      <c r="P1263" s="165"/>
    </row>
    <row r="1264" spans="1:16" ht="15" hidden="1" customHeight="1" x14ac:dyDescent="0.25">
      <c r="A1264" s="167"/>
      <c r="B1264" s="167"/>
      <c r="C1264" s="167"/>
      <c r="D1264" s="167"/>
      <c r="E1264" s="167"/>
      <c r="F1264" s="167"/>
      <c r="G1264" s="167"/>
      <c r="H1264" s="167"/>
      <c r="I1264" s="164">
        <f t="shared" ca="1" si="20"/>
        <v>44939</v>
      </c>
      <c r="J1264" s="163">
        <v>0.33333333333333331</v>
      </c>
      <c r="K1264" s="162" t="s">
        <v>749</v>
      </c>
      <c r="L1264" s="166"/>
      <c r="M1264" s="166"/>
      <c r="N1264" s="164"/>
      <c r="O1264" s="166"/>
      <c r="P1264" s="165"/>
    </row>
    <row r="1265" spans="1:16" ht="15" hidden="1" customHeight="1" x14ac:dyDescent="0.25">
      <c r="A1265" s="167"/>
      <c r="B1265" s="167"/>
      <c r="C1265" s="167"/>
      <c r="D1265" s="167"/>
      <c r="E1265" s="167"/>
      <c r="F1265" s="167"/>
      <c r="G1265" s="167"/>
      <c r="H1265" s="167"/>
      <c r="I1265" s="164">
        <f t="shared" ca="1" si="20"/>
        <v>44939</v>
      </c>
      <c r="J1265" s="163">
        <v>0.33333333333333331</v>
      </c>
      <c r="K1265" s="162" t="s">
        <v>749</v>
      </c>
      <c r="L1265" s="166"/>
      <c r="M1265" s="166"/>
      <c r="N1265" s="164"/>
      <c r="O1265" s="166"/>
      <c r="P1265" s="165"/>
    </row>
    <row r="1266" spans="1:16" ht="15" hidden="1" customHeight="1" x14ac:dyDescent="0.25">
      <c r="A1266" s="168"/>
      <c r="B1266" s="167"/>
      <c r="C1266" s="168"/>
      <c r="D1266" s="167"/>
      <c r="E1266" s="167"/>
      <c r="F1266" s="167"/>
      <c r="G1266" s="167"/>
      <c r="H1266" s="167"/>
      <c r="I1266" s="164">
        <f t="shared" ca="1" si="20"/>
        <v>44939</v>
      </c>
      <c r="J1266" s="163">
        <v>0.33333333333333331</v>
      </c>
      <c r="K1266" s="162" t="s">
        <v>749</v>
      </c>
      <c r="L1266" s="166"/>
      <c r="M1266" s="166"/>
      <c r="N1266" s="164"/>
      <c r="O1266" s="166"/>
      <c r="P1266" s="165"/>
    </row>
    <row r="1267" spans="1:16" ht="15" hidden="1" customHeight="1" x14ac:dyDescent="0.25">
      <c r="A1267" s="167"/>
      <c r="B1267" s="167"/>
      <c r="C1267" s="167"/>
      <c r="D1267" s="167"/>
      <c r="E1267" s="167"/>
      <c r="F1267" s="167"/>
      <c r="G1267" s="167"/>
      <c r="H1267" s="167"/>
      <c r="I1267" s="164">
        <f t="shared" ca="1" si="20"/>
        <v>44939</v>
      </c>
      <c r="J1267" s="163">
        <v>0.33333333333333331</v>
      </c>
      <c r="K1267" s="162" t="s">
        <v>749</v>
      </c>
      <c r="L1267" s="166"/>
      <c r="M1267" s="166"/>
      <c r="N1267" s="164"/>
      <c r="O1267" s="166"/>
      <c r="P1267" s="165"/>
    </row>
    <row r="1268" spans="1:16" ht="15" hidden="1" customHeight="1" x14ac:dyDescent="0.25">
      <c r="A1268" s="167"/>
      <c r="B1268" s="167"/>
      <c r="C1268" s="167"/>
      <c r="D1268" s="167"/>
      <c r="E1268" s="167"/>
      <c r="F1268" s="167"/>
      <c r="G1268" s="167"/>
      <c r="H1268" s="167"/>
      <c r="I1268" s="164">
        <f t="shared" ca="1" si="20"/>
        <v>44939</v>
      </c>
      <c r="J1268" s="163">
        <v>0.33333333333333331</v>
      </c>
      <c r="K1268" s="162" t="s">
        <v>749</v>
      </c>
      <c r="L1268" s="166"/>
      <c r="M1268" s="166"/>
      <c r="N1268" s="164"/>
      <c r="O1268" s="166"/>
      <c r="P1268" s="165"/>
    </row>
    <row r="1269" spans="1:16" ht="15" hidden="1" customHeight="1" x14ac:dyDescent="0.25">
      <c r="A1269" s="167"/>
      <c r="B1269" s="167"/>
      <c r="C1269" s="167"/>
      <c r="D1269" s="167"/>
      <c r="E1269" s="167"/>
      <c r="F1269" s="167"/>
      <c r="G1269" s="167"/>
      <c r="H1269" s="167"/>
      <c r="I1269" s="164">
        <f t="shared" ca="1" si="20"/>
        <v>44939</v>
      </c>
      <c r="J1269" s="163">
        <v>0.33333333333333331</v>
      </c>
      <c r="K1269" s="162" t="s">
        <v>749</v>
      </c>
      <c r="L1269" s="166"/>
      <c r="M1269" s="166"/>
      <c r="N1269" s="164"/>
      <c r="O1269" s="166"/>
      <c r="P1269" s="165"/>
    </row>
    <row r="1270" spans="1:16" ht="15" hidden="1" customHeight="1" x14ac:dyDescent="0.25">
      <c r="A1270" s="167"/>
      <c r="B1270" s="167"/>
      <c r="C1270" s="167"/>
      <c r="D1270" s="167"/>
      <c r="E1270" s="167"/>
      <c r="F1270" s="167"/>
      <c r="G1270" s="167"/>
      <c r="H1270" s="167"/>
      <c r="I1270" s="164">
        <f t="shared" ca="1" si="20"/>
        <v>44939</v>
      </c>
      <c r="J1270" s="163">
        <v>0.33333333333333331</v>
      </c>
      <c r="K1270" s="162" t="s">
        <v>749</v>
      </c>
      <c r="L1270" s="166"/>
      <c r="M1270" s="166"/>
      <c r="N1270" s="164"/>
      <c r="O1270" s="166"/>
      <c r="P1270" s="165"/>
    </row>
    <row r="1271" spans="1:16" ht="15" hidden="1" customHeight="1" x14ac:dyDescent="0.25">
      <c r="A1271" s="167"/>
      <c r="B1271" s="167"/>
      <c r="C1271" s="167"/>
      <c r="D1271" s="167"/>
      <c r="E1271" s="167"/>
      <c r="F1271" s="167"/>
      <c r="G1271" s="167"/>
      <c r="H1271" s="167"/>
      <c r="I1271" s="164">
        <f t="shared" ca="1" si="20"/>
        <v>44939</v>
      </c>
      <c r="J1271" s="163">
        <v>0.33333333333333331</v>
      </c>
      <c r="K1271" s="162" t="s">
        <v>749</v>
      </c>
      <c r="L1271" s="166"/>
      <c r="M1271" s="166"/>
      <c r="N1271" s="164"/>
      <c r="O1271" s="166"/>
      <c r="P1271" s="165"/>
    </row>
    <row r="1272" spans="1:16" ht="15" hidden="1" customHeight="1" x14ac:dyDescent="0.25">
      <c r="A1272" s="168"/>
      <c r="B1272" s="167"/>
      <c r="C1272" s="168"/>
      <c r="D1272" s="167"/>
      <c r="E1272" s="167"/>
      <c r="F1272" s="167"/>
      <c r="G1272" s="167"/>
      <c r="H1272" s="167"/>
      <c r="I1272" s="164">
        <f t="shared" ca="1" si="20"/>
        <v>44939</v>
      </c>
      <c r="J1272" s="163">
        <v>0.33333333333333331</v>
      </c>
      <c r="K1272" s="162" t="s">
        <v>749</v>
      </c>
      <c r="L1272" s="166"/>
      <c r="M1272" s="166"/>
      <c r="N1272" s="164"/>
      <c r="O1272" s="166"/>
      <c r="P1272" s="165"/>
    </row>
    <row r="1273" spans="1:16" ht="15" hidden="1" customHeight="1" x14ac:dyDescent="0.25">
      <c r="A1273" s="168"/>
      <c r="B1273" s="167"/>
      <c r="C1273" s="168"/>
      <c r="D1273" s="167"/>
      <c r="E1273" s="167"/>
      <c r="F1273" s="167"/>
      <c r="G1273" s="167"/>
      <c r="H1273" s="167"/>
      <c r="I1273" s="164">
        <f t="shared" ca="1" si="20"/>
        <v>44939</v>
      </c>
      <c r="J1273" s="163">
        <v>0.33333333333333331</v>
      </c>
      <c r="K1273" s="162" t="s">
        <v>749</v>
      </c>
      <c r="L1273" s="166"/>
      <c r="M1273" s="166"/>
      <c r="N1273" s="164"/>
      <c r="O1273" s="166"/>
      <c r="P1273" s="165"/>
    </row>
    <row r="1274" spans="1:16" ht="15" hidden="1" customHeight="1" x14ac:dyDescent="0.25">
      <c r="A1274" s="168"/>
      <c r="B1274" s="167"/>
      <c r="C1274" s="168"/>
      <c r="D1274" s="167"/>
      <c r="E1274" s="167"/>
      <c r="F1274" s="167"/>
      <c r="G1274" s="167"/>
      <c r="H1274" s="167"/>
      <c r="I1274" s="164">
        <f t="shared" ca="1" si="20"/>
        <v>44939</v>
      </c>
      <c r="J1274" s="163">
        <v>0.33333333333333331</v>
      </c>
      <c r="K1274" s="162" t="s">
        <v>749</v>
      </c>
      <c r="L1274" s="166"/>
      <c r="M1274" s="166"/>
      <c r="N1274" s="164"/>
      <c r="O1274" s="166"/>
      <c r="P1274" s="165"/>
    </row>
    <row r="1275" spans="1:16" ht="15" hidden="1" customHeight="1" x14ac:dyDescent="0.25">
      <c r="A1275" s="168"/>
      <c r="B1275" s="167"/>
      <c r="C1275" s="168"/>
      <c r="D1275" s="167"/>
      <c r="E1275" s="167"/>
      <c r="F1275" s="167"/>
      <c r="G1275" s="167"/>
      <c r="H1275" s="167"/>
      <c r="I1275" s="164">
        <f t="shared" ca="1" si="20"/>
        <v>44939</v>
      </c>
      <c r="J1275" s="163">
        <v>0.33333333333333331</v>
      </c>
      <c r="K1275" s="162" t="s">
        <v>749</v>
      </c>
      <c r="L1275" s="166"/>
      <c r="M1275" s="166"/>
      <c r="N1275" s="164"/>
      <c r="O1275" s="166"/>
      <c r="P1275" s="165"/>
    </row>
    <row r="1276" spans="1:16" ht="15" hidden="1" customHeight="1" x14ac:dyDescent="0.25">
      <c r="A1276" s="168"/>
      <c r="B1276" s="167"/>
      <c r="C1276" s="168"/>
      <c r="D1276" s="167"/>
      <c r="E1276" s="167"/>
      <c r="F1276" s="167"/>
      <c r="G1276" s="167"/>
      <c r="H1276" s="167"/>
      <c r="I1276" s="164">
        <f t="shared" ca="1" si="20"/>
        <v>44939</v>
      </c>
      <c r="J1276" s="163">
        <v>0.33333333333333331</v>
      </c>
      <c r="K1276" s="162" t="s">
        <v>749</v>
      </c>
      <c r="L1276" s="166"/>
      <c r="M1276" s="166"/>
      <c r="N1276" s="164"/>
      <c r="O1276" s="166"/>
      <c r="P1276" s="165"/>
    </row>
    <row r="1277" spans="1:16" ht="15" hidden="1" customHeight="1" x14ac:dyDescent="0.25">
      <c r="A1277" s="167"/>
      <c r="B1277" s="167"/>
      <c r="C1277" s="167"/>
      <c r="D1277" s="167"/>
      <c r="E1277" s="167"/>
      <c r="F1277" s="167"/>
      <c r="G1277" s="167"/>
      <c r="H1277" s="167"/>
      <c r="I1277" s="164">
        <f t="shared" ca="1" si="20"/>
        <v>44939</v>
      </c>
      <c r="J1277" s="163">
        <v>0.33333333333333331</v>
      </c>
      <c r="K1277" s="162" t="s">
        <v>749</v>
      </c>
      <c r="L1277" s="166"/>
      <c r="M1277" s="166"/>
      <c r="N1277" s="164"/>
      <c r="O1277" s="166"/>
      <c r="P1277" s="165"/>
    </row>
    <row r="1278" spans="1:16" ht="15" hidden="1" customHeight="1" x14ac:dyDescent="0.25">
      <c r="A1278" s="168"/>
      <c r="B1278" s="167"/>
      <c r="C1278" s="168"/>
      <c r="D1278" s="167"/>
      <c r="E1278" s="167"/>
      <c r="F1278" s="167"/>
      <c r="G1278" s="167"/>
      <c r="H1278" s="167"/>
      <c r="I1278" s="164">
        <f t="shared" ca="1" si="20"/>
        <v>44939</v>
      </c>
      <c r="J1278" s="163">
        <v>0.33333333333333331</v>
      </c>
      <c r="K1278" s="162" t="s">
        <v>749</v>
      </c>
      <c r="L1278" s="166"/>
      <c r="M1278" s="166"/>
      <c r="N1278" s="164"/>
      <c r="O1278" s="166"/>
      <c r="P1278" s="165"/>
    </row>
    <row r="1279" spans="1:16" ht="15" hidden="1" customHeight="1" x14ac:dyDescent="0.25">
      <c r="A1279" s="168"/>
      <c r="B1279" s="167"/>
      <c r="C1279" s="168"/>
      <c r="D1279" s="167"/>
      <c r="E1279" s="167"/>
      <c r="F1279" s="167"/>
      <c r="G1279" s="167"/>
      <c r="H1279" s="167"/>
      <c r="I1279" s="164">
        <f t="shared" ca="1" si="20"/>
        <v>44939</v>
      </c>
      <c r="J1279" s="163">
        <v>0.33333333333333331</v>
      </c>
      <c r="K1279" s="162" t="s">
        <v>749</v>
      </c>
      <c r="L1279" s="166"/>
      <c r="M1279" s="166"/>
      <c r="N1279" s="164"/>
      <c r="O1279" s="166"/>
      <c r="P1279" s="165"/>
    </row>
    <row r="1280" spans="1:16" ht="15" hidden="1" customHeight="1" x14ac:dyDescent="0.25">
      <c r="A1280" s="168"/>
      <c r="B1280" s="167"/>
      <c r="C1280" s="168"/>
      <c r="D1280" s="167"/>
      <c r="E1280" s="167"/>
      <c r="F1280" s="167"/>
      <c r="G1280" s="167"/>
      <c r="H1280" s="167"/>
      <c r="I1280" s="164">
        <f t="shared" ca="1" si="20"/>
        <v>44939</v>
      </c>
      <c r="J1280" s="163">
        <v>0.33333333333333331</v>
      </c>
      <c r="K1280" s="162" t="s">
        <v>749</v>
      </c>
      <c r="L1280" s="166"/>
      <c r="M1280" s="166"/>
      <c r="N1280" s="164"/>
      <c r="O1280" s="166"/>
      <c r="P1280" s="165"/>
    </row>
    <row r="1281" spans="1:16" ht="15" hidden="1" customHeight="1" x14ac:dyDescent="0.25">
      <c r="A1281" s="167"/>
      <c r="B1281" s="167"/>
      <c r="C1281" s="167"/>
      <c r="D1281" s="167"/>
      <c r="E1281" s="167"/>
      <c r="F1281" s="167"/>
      <c r="G1281" s="167"/>
      <c r="H1281" s="167"/>
      <c r="I1281" s="164">
        <f t="shared" ca="1" si="20"/>
        <v>44939</v>
      </c>
      <c r="J1281" s="163">
        <v>0.33333333333333331</v>
      </c>
      <c r="K1281" s="162" t="s">
        <v>749</v>
      </c>
      <c r="L1281" s="166"/>
      <c r="M1281" s="166"/>
      <c r="N1281" s="164"/>
      <c r="O1281" s="166"/>
      <c r="P1281" s="165"/>
    </row>
    <row r="1282" spans="1:16" ht="15" hidden="1" customHeight="1" x14ac:dyDescent="0.25">
      <c r="A1282" s="168"/>
      <c r="B1282" s="167"/>
      <c r="C1282" s="168"/>
      <c r="D1282" s="167"/>
      <c r="E1282" s="167"/>
      <c r="F1282" s="167"/>
      <c r="G1282" s="167"/>
      <c r="H1282" s="167"/>
      <c r="I1282" s="164">
        <f t="shared" ca="1" si="20"/>
        <v>44939</v>
      </c>
      <c r="J1282" s="163">
        <v>0.33333333333333331</v>
      </c>
      <c r="K1282" s="162" t="s">
        <v>749</v>
      </c>
      <c r="L1282" s="166"/>
      <c r="M1282" s="166"/>
      <c r="N1282" s="164"/>
      <c r="O1282" s="166"/>
      <c r="P1282" s="165"/>
    </row>
    <row r="1283" spans="1:16" ht="15" hidden="1" customHeight="1" x14ac:dyDescent="0.25">
      <c r="A1283" s="168"/>
      <c r="B1283" s="167"/>
      <c r="C1283" s="168"/>
      <c r="D1283" s="167"/>
      <c r="E1283" s="167"/>
      <c r="F1283" s="167"/>
      <c r="G1283" s="167"/>
      <c r="H1283" s="167"/>
      <c r="I1283" s="164">
        <f t="shared" ca="1" si="20"/>
        <v>44939</v>
      </c>
      <c r="J1283" s="163">
        <v>0.33333333333333331</v>
      </c>
      <c r="K1283" s="162" t="s">
        <v>749</v>
      </c>
      <c r="L1283" s="166"/>
      <c r="M1283" s="166"/>
      <c r="N1283" s="164"/>
      <c r="O1283" s="166"/>
      <c r="P1283" s="165"/>
    </row>
    <row r="1284" spans="1:16" ht="15" hidden="1" customHeight="1" x14ac:dyDescent="0.25">
      <c r="A1284" s="168"/>
      <c r="B1284" s="167"/>
      <c r="C1284" s="168"/>
      <c r="D1284" s="167"/>
      <c r="E1284" s="167"/>
      <c r="F1284" s="167"/>
      <c r="G1284" s="167"/>
      <c r="H1284" s="167"/>
      <c r="I1284" s="164">
        <f t="shared" ca="1" si="20"/>
        <v>44939</v>
      </c>
      <c r="J1284" s="163">
        <v>0.33333333333333331</v>
      </c>
      <c r="K1284" s="162" t="s">
        <v>749</v>
      </c>
      <c r="L1284" s="166"/>
      <c r="M1284" s="166"/>
      <c r="N1284" s="164"/>
      <c r="O1284" s="166"/>
      <c r="P1284" s="165"/>
    </row>
    <row r="1285" spans="1:16" ht="15" hidden="1" customHeight="1" x14ac:dyDescent="0.25">
      <c r="A1285" s="168"/>
      <c r="B1285" s="167"/>
      <c r="C1285" s="168"/>
      <c r="D1285" s="167"/>
      <c r="E1285" s="167"/>
      <c r="F1285" s="167"/>
      <c r="G1285" s="167"/>
      <c r="H1285" s="167"/>
      <c r="I1285" s="164">
        <f t="shared" ca="1" si="20"/>
        <v>44939</v>
      </c>
      <c r="J1285" s="163">
        <v>0.33333333333333331</v>
      </c>
      <c r="K1285" s="162" t="s">
        <v>749</v>
      </c>
      <c r="L1285" s="166"/>
      <c r="M1285" s="166"/>
      <c r="N1285" s="164"/>
      <c r="O1285" s="166"/>
      <c r="P1285" s="165"/>
    </row>
    <row r="1286" spans="1:16" ht="15" hidden="1" customHeight="1" x14ac:dyDescent="0.25">
      <c r="A1286" s="168"/>
      <c r="B1286" s="167"/>
      <c r="C1286" s="168"/>
      <c r="D1286" s="167"/>
      <c r="E1286" s="167"/>
      <c r="F1286" s="167"/>
      <c r="G1286" s="167"/>
      <c r="H1286" s="167"/>
      <c r="I1286" s="164">
        <f t="shared" ca="1" si="20"/>
        <v>44939</v>
      </c>
      <c r="J1286" s="163">
        <v>0.33333333333333331</v>
      </c>
      <c r="K1286" s="162" t="s">
        <v>749</v>
      </c>
      <c r="L1286" s="166"/>
      <c r="M1286" s="166"/>
      <c r="N1286" s="164"/>
      <c r="O1286" s="166"/>
      <c r="P1286" s="165"/>
    </row>
    <row r="1287" spans="1:16" ht="15" hidden="1" customHeight="1" x14ac:dyDescent="0.25">
      <c r="A1287" s="167"/>
      <c r="B1287" s="167"/>
      <c r="C1287" s="167"/>
      <c r="D1287" s="167"/>
      <c r="E1287" s="167"/>
      <c r="F1287" s="167"/>
      <c r="G1287" s="167"/>
      <c r="H1287" s="167"/>
      <c r="I1287" s="164">
        <f t="shared" ca="1" si="20"/>
        <v>44939</v>
      </c>
      <c r="J1287" s="163">
        <v>0.33333333333333331</v>
      </c>
      <c r="K1287" s="162" t="s">
        <v>749</v>
      </c>
      <c r="L1287" s="166"/>
      <c r="M1287" s="166"/>
      <c r="N1287" s="164"/>
      <c r="O1287" s="166"/>
      <c r="P1287" s="165"/>
    </row>
    <row r="1288" spans="1:16" ht="15" hidden="1" customHeight="1" x14ac:dyDescent="0.25">
      <c r="A1288" s="167"/>
      <c r="B1288" s="167"/>
      <c r="C1288" s="167"/>
      <c r="D1288" s="167"/>
      <c r="E1288" s="167"/>
      <c r="F1288" s="167"/>
      <c r="G1288" s="167"/>
      <c r="H1288" s="167"/>
      <c r="I1288" s="164">
        <f t="shared" ca="1" si="20"/>
        <v>44939</v>
      </c>
      <c r="J1288" s="163">
        <v>0.33333333333333331</v>
      </c>
      <c r="K1288" s="162" t="s">
        <v>749</v>
      </c>
      <c r="L1288" s="166"/>
      <c r="M1288" s="166"/>
      <c r="N1288" s="164"/>
      <c r="O1288" s="166"/>
      <c r="P1288" s="165"/>
    </row>
    <row r="1289" spans="1:16" ht="15" hidden="1" customHeight="1" x14ac:dyDescent="0.25">
      <c r="A1289" s="167"/>
      <c r="B1289" s="167"/>
      <c r="C1289" s="167"/>
      <c r="D1289" s="167"/>
      <c r="E1289" s="167"/>
      <c r="F1289" s="167"/>
      <c r="G1289" s="167"/>
      <c r="H1289" s="167"/>
      <c r="I1289" s="164">
        <f t="shared" ca="1" si="20"/>
        <v>44939</v>
      </c>
      <c r="J1289" s="163">
        <v>0.33333333333333331</v>
      </c>
      <c r="K1289" s="162" t="s">
        <v>749</v>
      </c>
      <c r="L1289" s="166"/>
      <c r="M1289" s="166"/>
      <c r="N1289" s="164"/>
      <c r="O1289" s="166"/>
      <c r="P1289" s="165"/>
    </row>
    <row r="1290" spans="1:16" ht="15" hidden="1" customHeight="1" x14ac:dyDescent="0.25">
      <c r="A1290" s="167"/>
      <c r="B1290" s="167"/>
      <c r="C1290" s="167"/>
      <c r="D1290" s="167"/>
      <c r="E1290" s="167"/>
      <c r="F1290" s="167"/>
      <c r="G1290" s="167"/>
      <c r="H1290" s="167"/>
      <c r="I1290" s="164">
        <f t="shared" ca="1" si="20"/>
        <v>44939</v>
      </c>
      <c r="J1290" s="163">
        <v>0.33333333333333331</v>
      </c>
      <c r="K1290" s="162" t="s">
        <v>749</v>
      </c>
      <c r="L1290" s="166"/>
      <c r="M1290" s="166"/>
      <c r="N1290" s="164"/>
      <c r="O1290" s="166"/>
      <c r="P1290" s="165"/>
    </row>
    <row r="1291" spans="1:16" ht="15" hidden="1" customHeight="1" x14ac:dyDescent="0.25">
      <c r="A1291" s="168"/>
      <c r="B1291" s="167"/>
      <c r="C1291" s="168"/>
      <c r="D1291" s="167"/>
      <c r="E1291" s="167"/>
      <c r="F1291" s="167"/>
      <c r="G1291" s="167"/>
      <c r="H1291" s="167"/>
      <c r="I1291" s="164">
        <f t="shared" ca="1" si="20"/>
        <v>44939</v>
      </c>
      <c r="J1291" s="163">
        <v>0.33333333333333331</v>
      </c>
      <c r="K1291" s="162" t="s">
        <v>749</v>
      </c>
      <c r="L1291" s="166"/>
      <c r="M1291" s="166"/>
      <c r="N1291" s="164"/>
      <c r="O1291" s="166"/>
      <c r="P1291" s="165"/>
    </row>
    <row r="1292" spans="1:16" ht="15" hidden="1" customHeight="1" x14ac:dyDescent="0.25">
      <c r="A1292" s="168"/>
      <c r="B1292" s="167"/>
      <c r="C1292" s="168"/>
      <c r="D1292" s="167"/>
      <c r="E1292" s="167"/>
      <c r="F1292" s="167"/>
      <c r="G1292" s="167"/>
      <c r="H1292" s="167"/>
      <c r="I1292" s="164">
        <f t="shared" ca="1" si="20"/>
        <v>44939</v>
      </c>
      <c r="J1292" s="163">
        <v>0.33333333333333331</v>
      </c>
      <c r="K1292" s="162" t="s">
        <v>749</v>
      </c>
      <c r="L1292" s="166"/>
      <c r="M1292" s="166"/>
      <c r="N1292" s="164"/>
      <c r="O1292" s="166"/>
      <c r="P1292" s="165"/>
    </row>
    <row r="1293" spans="1:16" ht="15" hidden="1" customHeight="1" x14ac:dyDescent="0.25">
      <c r="A1293" s="168"/>
      <c r="B1293" s="167"/>
      <c r="C1293" s="168"/>
      <c r="D1293" s="167"/>
      <c r="E1293" s="167"/>
      <c r="F1293" s="167"/>
      <c r="G1293" s="167"/>
      <c r="H1293" s="167"/>
      <c r="I1293" s="164">
        <f t="shared" ca="1" si="20"/>
        <v>44939</v>
      </c>
      <c r="J1293" s="163">
        <v>0.33333333333333331</v>
      </c>
      <c r="K1293" s="162" t="s">
        <v>749</v>
      </c>
      <c r="L1293" s="166"/>
      <c r="M1293" s="166"/>
      <c r="N1293" s="164"/>
      <c r="O1293" s="166"/>
      <c r="P1293" s="165"/>
    </row>
    <row r="1294" spans="1:16" ht="15" hidden="1" customHeight="1" x14ac:dyDescent="0.25">
      <c r="A1294" s="168"/>
      <c r="B1294" s="167"/>
      <c r="C1294" s="168"/>
      <c r="D1294" s="167"/>
      <c r="E1294" s="167"/>
      <c r="F1294" s="167"/>
      <c r="G1294" s="167"/>
      <c r="H1294" s="167"/>
      <c r="I1294" s="164">
        <f t="shared" ca="1" si="20"/>
        <v>44939</v>
      </c>
      <c r="J1294" s="163">
        <v>0.33333333333333331</v>
      </c>
      <c r="K1294" s="162" t="s">
        <v>749</v>
      </c>
      <c r="L1294" s="166"/>
      <c r="M1294" s="166"/>
      <c r="N1294" s="164"/>
      <c r="O1294" s="166"/>
      <c r="P1294" s="165"/>
    </row>
    <row r="1295" spans="1:16" ht="15" hidden="1" customHeight="1" x14ac:dyDescent="0.25">
      <c r="A1295" s="167"/>
      <c r="B1295" s="167"/>
      <c r="C1295" s="167"/>
      <c r="D1295" s="167"/>
      <c r="E1295" s="167"/>
      <c r="F1295" s="167"/>
      <c r="G1295" s="167"/>
      <c r="H1295" s="167"/>
      <c r="I1295" s="164">
        <f t="shared" ca="1" si="20"/>
        <v>44939</v>
      </c>
      <c r="J1295" s="163">
        <v>0.33333333333333331</v>
      </c>
      <c r="K1295" s="162" t="s">
        <v>749</v>
      </c>
      <c r="L1295" s="166"/>
      <c r="M1295" s="166"/>
      <c r="N1295" s="164"/>
      <c r="O1295" s="166"/>
      <c r="P1295" s="165"/>
    </row>
    <row r="1296" spans="1:16" ht="15" hidden="1" customHeight="1" x14ac:dyDescent="0.25">
      <c r="A1296" s="167"/>
      <c r="B1296" s="167"/>
      <c r="C1296" s="167"/>
      <c r="D1296" s="167"/>
      <c r="E1296" s="167"/>
      <c r="F1296" s="167"/>
      <c r="G1296" s="167"/>
      <c r="H1296" s="167"/>
      <c r="I1296" s="164">
        <f t="shared" ca="1" si="20"/>
        <v>44939</v>
      </c>
      <c r="J1296" s="163">
        <v>0.33333333333333331</v>
      </c>
      <c r="K1296" s="162" t="s">
        <v>749</v>
      </c>
      <c r="L1296" s="166"/>
      <c r="M1296" s="166"/>
      <c r="N1296" s="164"/>
      <c r="O1296" s="166"/>
      <c r="P1296" s="165"/>
    </row>
    <row r="1297" spans="1:16" ht="15" hidden="1" customHeight="1" x14ac:dyDescent="0.25">
      <c r="A1297" s="167"/>
      <c r="B1297" s="167"/>
      <c r="C1297" s="167"/>
      <c r="D1297" s="167"/>
      <c r="E1297" s="167"/>
      <c r="F1297" s="167"/>
      <c r="G1297" s="167"/>
      <c r="H1297" s="167"/>
      <c r="I1297" s="164">
        <f t="shared" ca="1" si="20"/>
        <v>44939</v>
      </c>
      <c r="J1297" s="163">
        <v>0.33333333333333331</v>
      </c>
      <c r="K1297" s="162" t="s">
        <v>749</v>
      </c>
      <c r="L1297" s="166"/>
      <c r="M1297" s="166"/>
      <c r="N1297" s="164"/>
      <c r="O1297" s="166"/>
      <c r="P1297" s="165"/>
    </row>
    <row r="1298" spans="1:16" ht="15" hidden="1" customHeight="1" x14ac:dyDescent="0.25">
      <c r="A1298" s="167"/>
      <c r="B1298" s="167"/>
      <c r="C1298" s="167"/>
      <c r="D1298" s="167"/>
      <c r="E1298" s="167"/>
      <c r="F1298" s="167"/>
      <c r="G1298" s="167"/>
      <c r="H1298" s="167"/>
      <c r="I1298" s="164">
        <f t="shared" ca="1" si="20"/>
        <v>44939</v>
      </c>
      <c r="J1298" s="163">
        <v>0.33333333333333331</v>
      </c>
      <c r="K1298" s="162" t="s">
        <v>749</v>
      </c>
      <c r="L1298" s="166"/>
      <c r="M1298" s="166"/>
      <c r="N1298" s="164"/>
      <c r="O1298" s="166"/>
      <c r="P1298" s="165"/>
    </row>
    <row r="1299" spans="1:16" ht="15" hidden="1" customHeight="1" x14ac:dyDescent="0.25">
      <c r="A1299" s="167"/>
      <c r="B1299" s="167"/>
      <c r="C1299" s="167"/>
      <c r="D1299" s="167"/>
      <c r="E1299" s="167"/>
      <c r="F1299" s="167"/>
      <c r="G1299" s="167"/>
      <c r="H1299" s="167"/>
      <c r="I1299" s="164">
        <f t="shared" ca="1" si="20"/>
        <v>44939</v>
      </c>
      <c r="J1299" s="163">
        <v>0.33333333333333331</v>
      </c>
      <c r="K1299" s="162" t="s">
        <v>749</v>
      </c>
      <c r="L1299" s="166"/>
      <c r="M1299" s="166"/>
      <c r="N1299" s="164"/>
      <c r="O1299" s="166"/>
      <c r="P1299" s="165"/>
    </row>
    <row r="1300" spans="1:16" ht="15" hidden="1" customHeight="1" x14ac:dyDescent="0.25">
      <c r="A1300" s="168"/>
      <c r="B1300" s="167"/>
      <c r="C1300" s="168"/>
      <c r="D1300" s="167"/>
      <c r="E1300" s="167"/>
      <c r="F1300" s="167"/>
      <c r="G1300" s="167"/>
      <c r="H1300" s="167"/>
      <c r="I1300" s="164">
        <f t="shared" ca="1" si="20"/>
        <v>44939</v>
      </c>
      <c r="J1300" s="163">
        <v>0.33333333333333331</v>
      </c>
      <c r="K1300" s="162" t="s">
        <v>749</v>
      </c>
      <c r="L1300" s="166"/>
      <c r="M1300" s="166"/>
      <c r="N1300" s="164"/>
      <c r="O1300" s="166"/>
      <c r="P1300" s="165"/>
    </row>
    <row r="1301" spans="1:16" ht="15" hidden="1" customHeight="1" x14ac:dyDescent="0.25">
      <c r="A1301" s="167"/>
      <c r="B1301" s="167"/>
      <c r="C1301" s="167"/>
      <c r="D1301" s="167"/>
      <c r="E1301" s="167"/>
      <c r="F1301" s="167"/>
      <c r="G1301" s="167"/>
      <c r="H1301" s="167"/>
      <c r="I1301" s="164">
        <f t="shared" ca="1" si="20"/>
        <v>44939</v>
      </c>
      <c r="J1301" s="163">
        <v>0.33333333333333331</v>
      </c>
      <c r="K1301" s="162" t="s">
        <v>749</v>
      </c>
      <c r="L1301" s="166"/>
      <c r="M1301" s="166"/>
      <c r="N1301" s="164"/>
      <c r="O1301" s="166"/>
      <c r="P1301" s="165"/>
    </row>
    <row r="1302" spans="1:16" ht="15" hidden="1" customHeight="1" x14ac:dyDescent="0.25">
      <c r="A1302" s="167"/>
      <c r="B1302" s="167"/>
      <c r="C1302" s="167"/>
      <c r="D1302" s="167"/>
      <c r="E1302" s="167"/>
      <c r="F1302" s="167"/>
      <c r="G1302" s="167"/>
      <c r="H1302" s="167"/>
      <c r="I1302" s="164">
        <f t="shared" ca="1" si="20"/>
        <v>44939</v>
      </c>
      <c r="J1302" s="163">
        <v>0.33333333333333331</v>
      </c>
      <c r="K1302" s="162" t="s">
        <v>749</v>
      </c>
      <c r="L1302" s="166"/>
      <c r="M1302" s="166"/>
      <c r="N1302" s="164"/>
      <c r="O1302" s="166"/>
      <c r="P1302" s="165"/>
    </row>
    <row r="1303" spans="1:16" ht="15" hidden="1" customHeight="1" x14ac:dyDescent="0.25">
      <c r="A1303" s="167"/>
      <c r="B1303" s="167"/>
      <c r="C1303" s="167"/>
      <c r="D1303" s="167"/>
      <c r="E1303" s="167"/>
      <c r="F1303" s="167"/>
      <c r="G1303" s="167"/>
      <c r="H1303" s="167"/>
      <c r="I1303" s="164">
        <f t="shared" ca="1" si="20"/>
        <v>44939</v>
      </c>
      <c r="J1303" s="163">
        <v>0.33333333333333331</v>
      </c>
      <c r="K1303" s="162" t="s">
        <v>749</v>
      </c>
      <c r="L1303" s="166"/>
      <c r="M1303" s="166"/>
      <c r="N1303" s="164"/>
      <c r="O1303" s="166"/>
      <c r="P1303" s="165"/>
    </row>
    <row r="1304" spans="1:16" ht="15" hidden="1" customHeight="1" x14ac:dyDescent="0.25">
      <c r="A1304" s="167"/>
      <c r="B1304" s="167"/>
      <c r="C1304" s="167"/>
      <c r="D1304" s="160"/>
      <c r="E1304" s="167"/>
      <c r="F1304" s="167"/>
      <c r="G1304" s="167"/>
      <c r="H1304" s="167"/>
      <c r="I1304" s="164">
        <f t="shared" ref="I1304:I1367" ca="1" si="21">TODAY()</f>
        <v>44939</v>
      </c>
      <c r="J1304" s="163">
        <v>0.33333333333333331</v>
      </c>
      <c r="K1304" s="162" t="s">
        <v>749</v>
      </c>
      <c r="L1304" s="166"/>
      <c r="M1304" s="166"/>
      <c r="N1304" s="164"/>
      <c r="O1304" s="166"/>
      <c r="P1304" s="165"/>
    </row>
    <row r="1305" spans="1:16" ht="15" hidden="1" customHeight="1" x14ac:dyDescent="0.25">
      <c r="A1305" s="167"/>
      <c r="B1305" s="167"/>
      <c r="C1305" s="167"/>
      <c r="D1305" s="167"/>
      <c r="E1305" s="167"/>
      <c r="F1305" s="167"/>
      <c r="G1305" s="167"/>
      <c r="H1305" s="167"/>
      <c r="I1305" s="164">
        <f t="shared" ca="1" si="21"/>
        <v>44939</v>
      </c>
      <c r="J1305" s="163">
        <v>0.33333333333333331</v>
      </c>
      <c r="K1305" s="162" t="s">
        <v>749</v>
      </c>
      <c r="L1305" s="166"/>
      <c r="M1305" s="166"/>
      <c r="N1305" s="164"/>
      <c r="O1305" s="166"/>
      <c r="P1305" s="165"/>
    </row>
    <row r="1306" spans="1:16" ht="15" hidden="1" customHeight="1" x14ac:dyDescent="0.25">
      <c r="A1306" s="167"/>
      <c r="B1306" s="167"/>
      <c r="C1306" s="167"/>
      <c r="D1306" s="167"/>
      <c r="E1306" s="167"/>
      <c r="F1306" s="167"/>
      <c r="G1306" s="167"/>
      <c r="H1306" s="167"/>
      <c r="I1306" s="164">
        <f t="shared" ca="1" si="21"/>
        <v>44939</v>
      </c>
      <c r="J1306" s="163">
        <v>0.33333333333333331</v>
      </c>
      <c r="K1306" s="162" t="s">
        <v>749</v>
      </c>
      <c r="L1306" s="166"/>
      <c r="M1306" s="166"/>
      <c r="N1306" s="164"/>
      <c r="O1306" s="166"/>
      <c r="P1306" s="165"/>
    </row>
    <row r="1307" spans="1:16" ht="15" hidden="1" customHeight="1" x14ac:dyDescent="0.25">
      <c r="A1307" s="167"/>
      <c r="B1307" s="167"/>
      <c r="C1307" s="167"/>
      <c r="D1307" s="167"/>
      <c r="E1307" s="167"/>
      <c r="F1307" s="167"/>
      <c r="G1307" s="167"/>
      <c r="H1307" s="167"/>
      <c r="I1307" s="164">
        <f t="shared" ca="1" si="21"/>
        <v>44939</v>
      </c>
      <c r="J1307" s="163">
        <v>0.33333333333333331</v>
      </c>
      <c r="K1307" s="162" t="s">
        <v>749</v>
      </c>
      <c r="L1307" s="166"/>
      <c r="M1307" s="166"/>
      <c r="N1307" s="164"/>
      <c r="O1307" s="166"/>
      <c r="P1307" s="165"/>
    </row>
    <row r="1308" spans="1:16" ht="15" hidden="1" customHeight="1" x14ac:dyDescent="0.25">
      <c r="A1308" s="167"/>
      <c r="B1308" s="167"/>
      <c r="C1308" s="167"/>
      <c r="D1308" s="167"/>
      <c r="E1308" s="167"/>
      <c r="F1308" s="167"/>
      <c r="G1308" s="167"/>
      <c r="H1308" s="167"/>
      <c r="I1308" s="164">
        <f t="shared" ca="1" si="21"/>
        <v>44939</v>
      </c>
      <c r="J1308" s="163">
        <v>0.33333333333333331</v>
      </c>
      <c r="K1308" s="162" t="s">
        <v>749</v>
      </c>
      <c r="L1308" s="166"/>
      <c r="M1308" s="166"/>
      <c r="N1308" s="164"/>
      <c r="O1308" s="166"/>
      <c r="P1308" s="165"/>
    </row>
    <row r="1309" spans="1:16" ht="15" hidden="1" customHeight="1" x14ac:dyDescent="0.25">
      <c r="A1309" s="167"/>
      <c r="B1309" s="167"/>
      <c r="C1309" s="167"/>
      <c r="D1309" s="167"/>
      <c r="E1309" s="167"/>
      <c r="F1309" s="167"/>
      <c r="G1309" s="167"/>
      <c r="H1309" s="167"/>
      <c r="I1309" s="164">
        <f t="shared" ca="1" si="21"/>
        <v>44939</v>
      </c>
      <c r="J1309" s="163">
        <v>0.33333333333333331</v>
      </c>
      <c r="K1309" s="162" t="s">
        <v>749</v>
      </c>
      <c r="L1309" s="166"/>
      <c r="M1309" s="166"/>
      <c r="N1309" s="164"/>
      <c r="O1309" s="166"/>
      <c r="P1309" s="165"/>
    </row>
    <row r="1310" spans="1:16" ht="15" hidden="1" customHeight="1" x14ac:dyDescent="0.25">
      <c r="A1310" s="168"/>
      <c r="B1310" s="167"/>
      <c r="C1310" s="168"/>
      <c r="D1310" s="167"/>
      <c r="E1310" s="167"/>
      <c r="F1310" s="167"/>
      <c r="G1310" s="167"/>
      <c r="H1310" s="167"/>
      <c r="I1310" s="164">
        <f t="shared" ca="1" si="21"/>
        <v>44939</v>
      </c>
      <c r="J1310" s="163">
        <v>0.33333333333333331</v>
      </c>
      <c r="K1310" s="162" t="s">
        <v>749</v>
      </c>
      <c r="L1310" s="166"/>
      <c r="M1310" s="166"/>
      <c r="N1310" s="164"/>
      <c r="O1310" s="166"/>
      <c r="P1310" s="165"/>
    </row>
    <row r="1311" spans="1:16" ht="15" hidden="1" customHeight="1" x14ac:dyDescent="0.25">
      <c r="A1311" s="168"/>
      <c r="B1311" s="167"/>
      <c r="C1311" s="168"/>
      <c r="D1311" s="167"/>
      <c r="E1311" s="167"/>
      <c r="F1311" s="167"/>
      <c r="G1311" s="167"/>
      <c r="H1311" s="167"/>
      <c r="I1311" s="164">
        <f t="shared" ca="1" si="21"/>
        <v>44939</v>
      </c>
      <c r="J1311" s="163">
        <v>0.33333333333333331</v>
      </c>
      <c r="K1311" s="162" t="s">
        <v>749</v>
      </c>
      <c r="L1311" s="166"/>
      <c r="M1311" s="166"/>
      <c r="N1311" s="164"/>
      <c r="O1311" s="166"/>
      <c r="P1311" s="165"/>
    </row>
    <row r="1312" spans="1:16" ht="15" hidden="1" customHeight="1" x14ac:dyDescent="0.25">
      <c r="A1312" s="168"/>
      <c r="B1312" s="167"/>
      <c r="C1312" s="168"/>
      <c r="D1312" s="167"/>
      <c r="E1312" s="167"/>
      <c r="F1312" s="167"/>
      <c r="G1312" s="167"/>
      <c r="H1312" s="167"/>
      <c r="I1312" s="164">
        <f t="shared" ca="1" si="21"/>
        <v>44939</v>
      </c>
      <c r="J1312" s="163">
        <v>0.33333333333333331</v>
      </c>
      <c r="K1312" s="162" t="s">
        <v>749</v>
      </c>
      <c r="L1312" s="166"/>
      <c r="M1312" s="166"/>
      <c r="N1312" s="164"/>
      <c r="O1312" s="166"/>
      <c r="P1312" s="165"/>
    </row>
    <row r="1313" spans="1:16" ht="15" hidden="1" customHeight="1" x14ac:dyDescent="0.25">
      <c r="A1313" s="168"/>
      <c r="B1313" s="167"/>
      <c r="C1313" s="168"/>
      <c r="D1313" s="167"/>
      <c r="E1313" s="167"/>
      <c r="F1313" s="167"/>
      <c r="G1313" s="167"/>
      <c r="H1313" s="167"/>
      <c r="I1313" s="164">
        <f t="shared" ca="1" si="21"/>
        <v>44939</v>
      </c>
      <c r="J1313" s="163">
        <v>0.33333333333333331</v>
      </c>
      <c r="K1313" s="162" t="s">
        <v>749</v>
      </c>
      <c r="L1313" s="166"/>
      <c r="M1313" s="166"/>
      <c r="N1313" s="164"/>
      <c r="O1313" s="166"/>
      <c r="P1313" s="165"/>
    </row>
    <row r="1314" spans="1:16" ht="15" hidden="1" customHeight="1" x14ac:dyDescent="0.25">
      <c r="A1314" s="167"/>
      <c r="B1314" s="167"/>
      <c r="C1314" s="167"/>
      <c r="D1314" s="167"/>
      <c r="E1314" s="167"/>
      <c r="F1314" s="167"/>
      <c r="G1314" s="167"/>
      <c r="H1314" s="167"/>
      <c r="I1314" s="164">
        <f t="shared" ca="1" si="21"/>
        <v>44939</v>
      </c>
      <c r="J1314" s="163">
        <v>0.33333333333333331</v>
      </c>
      <c r="K1314" s="162" t="s">
        <v>749</v>
      </c>
      <c r="L1314" s="166"/>
      <c r="M1314" s="166"/>
      <c r="N1314" s="164"/>
      <c r="O1314" s="166"/>
      <c r="P1314" s="165"/>
    </row>
    <row r="1315" spans="1:16" ht="15" hidden="1" customHeight="1" x14ac:dyDescent="0.25">
      <c r="A1315" s="168"/>
      <c r="B1315" s="167"/>
      <c r="C1315" s="168"/>
      <c r="D1315" s="167"/>
      <c r="E1315" s="167"/>
      <c r="F1315" s="167"/>
      <c r="G1315" s="167"/>
      <c r="H1315" s="167"/>
      <c r="I1315" s="164">
        <f t="shared" ca="1" si="21"/>
        <v>44939</v>
      </c>
      <c r="J1315" s="163">
        <v>0.33333333333333331</v>
      </c>
      <c r="K1315" s="162" t="s">
        <v>749</v>
      </c>
      <c r="L1315" s="166"/>
      <c r="M1315" s="166"/>
      <c r="N1315" s="164"/>
      <c r="O1315" s="166"/>
      <c r="P1315" s="165"/>
    </row>
    <row r="1316" spans="1:16" ht="15" hidden="1" customHeight="1" x14ac:dyDescent="0.25">
      <c r="A1316" s="168"/>
      <c r="B1316" s="167"/>
      <c r="C1316" s="168"/>
      <c r="D1316" s="167"/>
      <c r="E1316" s="167"/>
      <c r="F1316" s="167"/>
      <c r="G1316" s="167"/>
      <c r="H1316" s="167"/>
      <c r="I1316" s="164">
        <f t="shared" ca="1" si="21"/>
        <v>44939</v>
      </c>
      <c r="J1316" s="163">
        <v>0.33333333333333331</v>
      </c>
      <c r="K1316" s="162" t="s">
        <v>749</v>
      </c>
      <c r="L1316" s="166"/>
      <c r="M1316" s="166"/>
      <c r="N1316" s="164"/>
      <c r="O1316" s="166"/>
      <c r="P1316" s="165"/>
    </row>
    <row r="1317" spans="1:16" ht="15" hidden="1" customHeight="1" x14ac:dyDescent="0.25">
      <c r="A1317" s="168"/>
      <c r="B1317" s="167"/>
      <c r="C1317" s="168"/>
      <c r="D1317" s="167"/>
      <c r="E1317" s="167"/>
      <c r="F1317" s="167"/>
      <c r="G1317" s="167"/>
      <c r="H1317" s="167"/>
      <c r="I1317" s="164">
        <f t="shared" ca="1" si="21"/>
        <v>44939</v>
      </c>
      <c r="J1317" s="163">
        <v>0.33333333333333331</v>
      </c>
      <c r="K1317" s="162" t="s">
        <v>749</v>
      </c>
      <c r="L1317" s="166"/>
      <c r="M1317" s="166"/>
      <c r="N1317" s="164"/>
      <c r="O1317" s="166"/>
      <c r="P1317" s="165"/>
    </row>
    <row r="1318" spans="1:16" ht="15" hidden="1" customHeight="1" x14ac:dyDescent="0.25">
      <c r="A1318" s="167"/>
      <c r="B1318" s="167"/>
      <c r="C1318" s="167"/>
      <c r="D1318" s="167"/>
      <c r="E1318" s="167"/>
      <c r="F1318" s="167"/>
      <c r="G1318" s="167"/>
      <c r="H1318" s="167"/>
      <c r="I1318" s="164">
        <f t="shared" ca="1" si="21"/>
        <v>44939</v>
      </c>
      <c r="J1318" s="163">
        <v>0.33333333333333331</v>
      </c>
      <c r="K1318" s="162" t="s">
        <v>749</v>
      </c>
      <c r="L1318" s="166"/>
      <c r="M1318" s="166"/>
      <c r="N1318" s="164"/>
      <c r="O1318" s="166"/>
      <c r="P1318" s="165"/>
    </row>
    <row r="1319" spans="1:16" ht="15" hidden="1" customHeight="1" x14ac:dyDescent="0.25">
      <c r="A1319" s="168"/>
      <c r="B1319" s="167"/>
      <c r="C1319" s="168"/>
      <c r="D1319" s="167"/>
      <c r="E1319" s="167"/>
      <c r="F1319" s="167"/>
      <c r="G1319" s="167"/>
      <c r="H1319" s="167"/>
      <c r="I1319" s="164">
        <f t="shared" ca="1" si="21"/>
        <v>44939</v>
      </c>
      <c r="J1319" s="163">
        <v>0.33333333333333331</v>
      </c>
      <c r="K1319" s="162" t="s">
        <v>749</v>
      </c>
      <c r="L1319" s="166"/>
      <c r="M1319" s="166"/>
      <c r="N1319" s="164"/>
      <c r="O1319" s="166"/>
      <c r="P1319" s="165"/>
    </row>
    <row r="1320" spans="1:16" ht="15" hidden="1" customHeight="1" x14ac:dyDescent="0.25">
      <c r="A1320" s="168"/>
      <c r="B1320" s="167"/>
      <c r="C1320" s="168"/>
      <c r="D1320" s="167"/>
      <c r="E1320" s="167"/>
      <c r="F1320" s="167"/>
      <c r="G1320" s="167"/>
      <c r="H1320" s="167"/>
      <c r="I1320" s="164">
        <f t="shared" ca="1" si="21"/>
        <v>44939</v>
      </c>
      <c r="J1320" s="163">
        <v>0.33333333333333331</v>
      </c>
      <c r="K1320" s="162" t="s">
        <v>749</v>
      </c>
      <c r="L1320" s="166"/>
      <c r="M1320" s="166"/>
      <c r="N1320" s="164"/>
      <c r="O1320" s="166"/>
      <c r="P1320" s="165"/>
    </row>
    <row r="1321" spans="1:16" ht="15" hidden="1" customHeight="1" x14ac:dyDescent="0.25">
      <c r="A1321" s="168"/>
      <c r="B1321" s="167"/>
      <c r="C1321" s="168"/>
      <c r="D1321" s="167"/>
      <c r="E1321" s="167"/>
      <c r="F1321" s="167"/>
      <c r="G1321" s="167"/>
      <c r="H1321" s="167"/>
      <c r="I1321" s="164">
        <f t="shared" ca="1" si="21"/>
        <v>44939</v>
      </c>
      <c r="J1321" s="163">
        <v>0.33333333333333331</v>
      </c>
      <c r="K1321" s="162" t="s">
        <v>749</v>
      </c>
      <c r="L1321" s="166"/>
      <c r="M1321" s="166"/>
      <c r="N1321" s="164"/>
      <c r="O1321" s="166"/>
      <c r="P1321" s="165"/>
    </row>
    <row r="1322" spans="1:16" ht="15" hidden="1" customHeight="1" x14ac:dyDescent="0.25">
      <c r="A1322" s="168"/>
      <c r="B1322" s="167"/>
      <c r="C1322" s="168"/>
      <c r="D1322" s="167"/>
      <c r="E1322" s="167"/>
      <c r="F1322" s="167"/>
      <c r="G1322" s="167"/>
      <c r="H1322" s="167"/>
      <c r="I1322" s="164">
        <f t="shared" ca="1" si="21"/>
        <v>44939</v>
      </c>
      <c r="J1322" s="163">
        <v>0.33333333333333331</v>
      </c>
      <c r="K1322" s="162" t="s">
        <v>749</v>
      </c>
      <c r="L1322" s="166"/>
      <c r="M1322" s="166"/>
      <c r="N1322" s="164"/>
      <c r="O1322" s="166"/>
      <c r="P1322" s="165"/>
    </row>
    <row r="1323" spans="1:16" ht="15" hidden="1" customHeight="1" x14ac:dyDescent="0.25">
      <c r="A1323" s="168"/>
      <c r="B1323" s="167"/>
      <c r="C1323" s="168"/>
      <c r="D1323" s="167"/>
      <c r="E1323" s="167"/>
      <c r="F1323" s="167"/>
      <c r="G1323" s="167"/>
      <c r="H1323" s="167"/>
      <c r="I1323" s="164">
        <f t="shared" ca="1" si="21"/>
        <v>44939</v>
      </c>
      <c r="J1323" s="163">
        <v>0.33333333333333331</v>
      </c>
      <c r="K1323" s="162" t="s">
        <v>749</v>
      </c>
      <c r="L1323" s="166"/>
      <c r="M1323" s="166"/>
      <c r="N1323" s="164"/>
      <c r="O1323" s="166"/>
      <c r="P1323" s="165"/>
    </row>
    <row r="1324" spans="1:16" ht="15" hidden="1" customHeight="1" x14ac:dyDescent="0.25">
      <c r="A1324" s="167"/>
      <c r="B1324" s="167"/>
      <c r="C1324" s="167"/>
      <c r="D1324" s="167"/>
      <c r="E1324" s="167"/>
      <c r="F1324" s="167"/>
      <c r="G1324" s="167"/>
      <c r="H1324" s="167"/>
      <c r="I1324" s="164">
        <f t="shared" ca="1" si="21"/>
        <v>44939</v>
      </c>
      <c r="J1324" s="163">
        <v>0.33333333333333331</v>
      </c>
      <c r="K1324" s="162" t="s">
        <v>749</v>
      </c>
      <c r="L1324" s="166"/>
      <c r="M1324" s="166"/>
      <c r="N1324" s="164"/>
      <c r="O1324" s="166"/>
      <c r="P1324" s="165"/>
    </row>
    <row r="1325" spans="1:16" ht="15" hidden="1" customHeight="1" x14ac:dyDescent="0.25">
      <c r="A1325" s="167"/>
      <c r="B1325" s="167"/>
      <c r="C1325" s="167"/>
      <c r="D1325" s="167"/>
      <c r="E1325" s="167"/>
      <c r="F1325" s="167"/>
      <c r="G1325" s="167"/>
      <c r="H1325" s="167"/>
      <c r="I1325" s="164">
        <f t="shared" ca="1" si="21"/>
        <v>44939</v>
      </c>
      <c r="J1325" s="163">
        <v>0.33333333333333331</v>
      </c>
      <c r="K1325" s="162" t="s">
        <v>749</v>
      </c>
      <c r="L1325" s="166"/>
      <c r="M1325" s="166"/>
      <c r="N1325" s="164"/>
      <c r="O1325" s="166"/>
      <c r="P1325" s="165"/>
    </row>
    <row r="1326" spans="1:16" ht="15" hidden="1" customHeight="1" x14ac:dyDescent="0.25">
      <c r="A1326" s="167"/>
      <c r="B1326" s="167"/>
      <c r="C1326" s="167"/>
      <c r="D1326" s="167"/>
      <c r="E1326" s="167"/>
      <c r="F1326" s="167"/>
      <c r="G1326" s="167"/>
      <c r="H1326" s="167"/>
      <c r="I1326" s="164">
        <f t="shared" ca="1" si="21"/>
        <v>44939</v>
      </c>
      <c r="J1326" s="163">
        <v>0.33333333333333331</v>
      </c>
      <c r="K1326" s="162" t="s">
        <v>749</v>
      </c>
      <c r="L1326" s="166"/>
      <c r="M1326" s="166"/>
      <c r="N1326" s="164"/>
      <c r="O1326" s="166"/>
      <c r="P1326" s="165"/>
    </row>
    <row r="1327" spans="1:16" ht="15" hidden="1" customHeight="1" x14ac:dyDescent="0.25">
      <c r="A1327" s="167"/>
      <c r="B1327" s="167"/>
      <c r="C1327" s="167"/>
      <c r="D1327" s="167"/>
      <c r="E1327" s="167"/>
      <c r="F1327" s="167"/>
      <c r="G1327" s="167"/>
      <c r="H1327" s="167"/>
      <c r="I1327" s="164">
        <f t="shared" ca="1" si="21"/>
        <v>44939</v>
      </c>
      <c r="J1327" s="163">
        <v>0.33333333333333331</v>
      </c>
      <c r="K1327" s="162" t="s">
        <v>749</v>
      </c>
      <c r="L1327" s="166"/>
      <c r="M1327" s="166"/>
      <c r="N1327" s="164"/>
      <c r="O1327" s="166"/>
      <c r="P1327" s="165"/>
    </row>
    <row r="1328" spans="1:16" ht="15" hidden="1" customHeight="1" x14ac:dyDescent="0.25">
      <c r="A1328" s="167"/>
      <c r="B1328" s="167"/>
      <c r="C1328" s="167"/>
      <c r="D1328" s="167"/>
      <c r="E1328" s="167"/>
      <c r="F1328" s="167"/>
      <c r="G1328" s="167"/>
      <c r="H1328" s="167"/>
      <c r="I1328" s="164">
        <f t="shared" ca="1" si="21"/>
        <v>44939</v>
      </c>
      <c r="J1328" s="163">
        <v>0.33333333333333331</v>
      </c>
      <c r="K1328" s="162" t="s">
        <v>749</v>
      </c>
      <c r="L1328" s="166"/>
      <c r="M1328" s="166"/>
      <c r="N1328" s="164"/>
      <c r="O1328" s="166"/>
      <c r="P1328" s="165"/>
    </row>
    <row r="1329" spans="1:16" ht="15" hidden="1" customHeight="1" x14ac:dyDescent="0.25">
      <c r="A1329" s="167"/>
      <c r="B1329" s="167"/>
      <c r="C1329" s="167"/>
      <c r="D1329" s="167"/>
      <c r="E1329" s="167"/>
      <c r="F1329" s="167"/>
      <c r="G1329" s="167"/>
      <c r="H1329" s="167"/>
      <c r="I1329" s="164">
        <f t="shared" ca="1" si="21"/>
        <v>44939</v>
      </c>
      <c r="J1329" s="163">
        <v>0.33333333333333331</v>
      </c>
      <c r="K1329" s="162" t="s">
        <v>749</v>
      </c>
      <c r="L1329" s="166"/>
      <c r="M1329" s="166"/>
      <c r="N1329" s="164"/>
      <c r="O1329" s="166"/>
      <c r="P1329" s="165"/>
    </row>
    <row r="1330" spans="1:16" ht="15" hidden="1" customHeight="1" x14ac:dyDescent="0.25">
      <c r="A1330" s="167"/>
      <c r="B1330" s="167"/>
      <c r="C1330" s="167"/>
      <c r="D1330" s="167"/>
      <c r="E1330" s="167"/>
      <c r="F1330" s="167"/>
      <c r="G1330" s="167"/>
      <c r="H1330" s="167"/>
      <c r="I1330" s="164">
        <f t="shared" ca="1" si="21"/>
        <v>44939</v>
      </c>
      <c r="J1330" s="163">
        <v>0.33333333333333331</v>
      </c>
      <c r="K1330" s="162" t="s">
        <v>749</v>
      </c>
      <c r="L1330" s="166"/>
      <c r="M1330" s="166"/>
      <c r="N1330" s="164"/>
      <c r="O1330" s="166"/>
      <c r="P1330" s="165"/>
    </row>
    <row r="1331" spans="1:16" ht="15" hidden="1" customHeight="1" x14ac:dyDescent="0.25">
      <c r="A1331" s="167"/>
      <c r="B1331" s="167"/>
      <c r="C1331" s="167"/>
      <c r="D1331" s="167"/>
      <c r="E1331" s="167"/>
      <c r="F1331" s="167"/>
      <c r="G1331" s="167"/>
      <c r="H1331" s="167"/>
      <c r="I1331" s="164">
        <f t="shared" ca="1" si="21"/>
        <v>44939</v>
      </c>
      <c r="J1331" s="163">
        <v>0.33333333333333331</v>
      </c>
      <c r="K1331" s="162" t="s">
        <v>749</v>
      </c>
      <c r="L1331" s="166"/>
      <c r="M1331" s="166"/>
      <c r="N1331" s="164"/>
      <c r="O1331" s="166"/>
      <c r="P1331" s="165"/>
    </row>
    <row r="1332" spans="1:16" ht="15" hidden="1" customHeight="1" x14ac:dyDescent="0.25">
      <c r="A1332" s="167"/>
      <c r="B1332" s="167"/>
      <c r="C1332" s="167"/>
      <c r="D1332" s="167"/>
      <c r="E1332" s="167"/>
      <c r="F1332" s="167"/>
      <c r="G1332" s="167"/>
      <c r="H1332" s="167"/>
      <c r="I1332" s="164">
        <f t="shared" ca="1" si="21"/>
        <v>44939</v>
      </c>
      <c r="J1332" s="163">
        <v>0.33333333333333331</v>
      </c>
      <c r="K1332" s="162" t="s">
        <v>749</v>
      </c>
      <c r="L1332" s="166"/>
      <c r="M1332" s="166"/>
      <c r="N1332" s="164"/>
      <c r="O1332" s="166"/>
      <c r="P1332" s="165"/>
    </row>
    <row r="1333" spans="1:16" ht="15" hidden="1" customHeight="1" x14ac:dyDescent="0.25">
      <c r="A1333" s="167"/>
      <c r="B1333" s="167"/>
      <c r="C1333" s="167"/>
      <c r="D1333" s="167"/>
      <c r="E1333" s="167"/>
      <c r="F1333" s="167"/>
      <c r="G1333" s="167"/>
      <c r="H1333" s="167"/>
      <c r="I1333" s="164">
        <f t="shared" ca="1" si="21"/>
        <v>44939</v>
      </c>
      <c r="J1333" s="163">
        <v>0.33333333333333331</v>
      </c>
      <c r="K1333" s="162" t="s">
        <v>749</v>
      </c>
      <c r="L1333" s="166"/>
      <c r="M1333" s="166"/>
      <c r="N1333" s="164"/>
      <c r="O1333" s="166"/>
      <c r="P1333" s="165"/>
    </row>
    <row r="1334" spans="1:16" ht="15" hidden="1" customHeight="1" x14ac:dyDescent="0.25">
      <c r="A1334" s="167"/>
      <c r="B1334" s="167"/>
      <c r="C1334" s="167"/>
      <c r="D1334" s="167"/>
      <c r="E1334" s="167"/>
      <c r="F1334" s="167"/>
      <c r="G1334" s="167"/>
      <c r="H1334" s="167"/>
      <c r="I1334" s="164">
        <f t="shared" ca="1" si="21"/>
        <v>44939</v>
      </c>
      <c r="J1334" s="163">
        <v>0.33333333333333331</v>
      </c>
      <c r="K1334" s="162" t="s">
        <v>749</v>
      </c>
      <c r="L1334" s="166"/>
      <c r="M1334" s="166"/>
      <c r="N1334" s="164"/>
      <c r="O1334" s="166"/>
      <c r="P1334" s="165"/>
    </row>
    <row r="1335" spans="1:16" ht="15" hidden="1" customHeight="1" x14ac:dyDescent="0.25">
      <c r="A1335" s="167"/>
      <c r="B1335" s="167"/>
      <c r="C1335" s="167"/>
      <c r="D1335" s="167"/>
      <c r="E1335" s="167"/>
      <c r="F1335" s="167"/>
      <c r="G1335" s="167"/>
      <c r="H1335" s="167"/>
      <c r="I1335" s="164">
        <f t="shared" ca="1" si="21"/>
        <v>44939</v>
      </c>
      <c r="J1335" s="163">
        <v>0.33333333333333331</v>
      </c>
      <c r="K1335" s="162" t="s">
        <v>749</v>
      </c>
      <c r="L1335" s="166"/>
      <c r="M1335" s="166"/>
      <c r="N1335" s="164"/>
      <c r="O1335" s="166"/>
      <c r="P1335" s="165"/>
    </row>
    <row r="1336" spans="1:16" ht="15" hidden="1" customHeight="1" x14ac:dyDescent="0.25">
      <c r="A1336" s="167"/>
      <c r="B1336" s="167"/>
      <c r="C1336" s="167"/>
      <c r="D1336" s="167"/>
      <c r="E1336" s="167"/>
      <c r="F1336" s="167"/>
      <c r="G1336" s="167"/>
      <c r="H1336" s="167"/>
      <c r="I1336" s="164">
        <f t="shared" ca="1" si="21"/>
        <v>44939</v>
      </c>
      <c r="J1336" s="163">
        <v>0.33333333333333331</v>
      </c>
      <c r="K1336" s="162" t="s">
        <v>749</v>
      </c>
      <c r="L1336" s="166"/>
      <c r="M1336" s="166"/>
      <c r="N1336" s="164"/>
      <c r="O1336" s="166"/>
      <c r="P1336" s="165"/>
    </row>
    <row r="1337" spans="1:16" ht="15" hidden="1" customHeight="1" x14ac:dyDescent="0.25">
      <c r="A1337" s="167"/>
      <c r="B1337" s="167"/>
      <c r="C1337" s="167"/>
      <c r="D1337" s="167"/>
      <c r="E1337" s="167"/>
      <c r="F1337" s="167"/>
      <c r="G1337" s="167"/>
      <c r="H1337" s="167"/>
      <c r="I1337" s="164">
        <f t="shared" ca="1" si="21"/>
        <v>44939</v>
      </c>
      <c r="J1337" s="163">
        <v>0.33333333333333331</v>
      </c>
      <c r="K1337" s="162" t="s">
        <v>749</v>
      </c>
      <c r="L1337" s="166"/>
      <c r="M1337" s="166"/>
      <c r="N1337" s="164"/>
      <c r="O1337" s="166"/>
      <c r="P1337" s="165"/>
    </row>
    <row r="1338" spans="1:16" ht="15" hidden="1" customHeight="1" x14ac:dyDescent="0.25">
      <c r="A1338" s="167"/>
      <c r="B1338" s="167"/>
      <c r="C1338" s="167"/>
      <c r="D1338" s="167"/>
      <c r="E1338" s="167"/>
      <c r="F1338" s="167"/>
      <c r="G1338" s="167"/>
      <c r="H1338" s="167"/>
      <c r="I1338" s="164">
        <f t="shared" ca="1" si="21"/>
        <v>44939</v>
      </c>
      <c r="J1338" s="163">
        <v>0.33333333333333331</v>
      </c>
      <c r="K1338" s="162" t="s">
        <v>749</v>
      </c>
      <c r="L1338" s="166"/>
      <c r="M1338" s="166"/>
      <c r="N1338" s="164"/>
      <c r="O1338" s="166"/>
      <c r="P1338" s="165"/>
    </row>
    <row r="1339" spans="1:16" ht="15" hidden="1" customHeight="1" x14ac:dyDescent="0.25">
      <c r="A1339" s="167"/>
      <c r="B1339" s="167"/>
      <c r="C1339" s="167"/>
      <c r="D1339" s="167"/>
      <c r="E1339" s="167"/>
      <c r="F1339" s="167"/>
      <c r="G1339" s="167"/>
      <c r="H1339" s="167"/>
      <c r="I1339" s="164">
        <f t="shared" ca="1" si="21"/>
        <v>44939</v>
      </c>
      <c r="J1339" s="163">
        <v>0.33333333333333331</v>
      </c>
      <c r="K1339" s="162" t="s">
        <v>749</v>
      </c>
      <c r="L1339" s="166"/>
      <c r="M1339" s="166"/>
      <c r="N1339" s="164"/>
      <c r="O1339" s="166"/>
      <c r="P1339" s="165"/>
    </row>
    <row r="1340" spans="1:16" ht="15" hidden="1" customHeight="1" x14ac:dyDescent="0.25">
      <c r="A1340" s="167"/>
      <c r="B1340" s="167"/>
      <c r="C1340" s="167"/>
      <c r="D1340" s="167"/>
      <c r="E1340" s="167"/>
      <c r="F1340" s="167"/>
      <c r="G1340" s="167"/>
      <c r="H1340" s="167"/>
      <c r="I1340" s="164">
        <f t="shared" ca="1" si="21"/>
        <v>44939</v>
      </c>
      <c r="J1340" s="163">
        <v>0.33333333333333331</v>
      </c>
      <c r="K1340" s="162" t="s">
        <v>749</v>
      </c>
      <c r="L1340" s="166"/>
      <c r="M1340" s="166"/>
      <c r="N1340" s="164"/>
      <c r="O1340" s="166"/>
      <c r="P1340" s="165"/>
    </row>
    <row r="1341" spans="1:16" ht="15" hidden="1" customHeight="1" x14ac:dyDescent="0.25">
      <c r="A1341" s="168"/>
      <c r="B1341" s="167"/>
      <c r="C1341" s="168"/>
      <c r="D1341" s="167"/>
      <c r="E1341" s="167"/>
      <c r="F1341" s="167"/>
      <c r="G1341" s="167"/>
      <c r="H1341" s="167"/>
      <c r="I1341" s="164">
        <f t="shared" ca="1" si="21"/>
        <v>44939</v>
      </c>
      <c r="J1341" s="163">
        <v>0.33333333333333331</v>
      </c>
      <c r="K1341" s="162" t="s">
        <v>749</v>
      </c>
      <c r="L1341" s="166"/>
      <c r="M1341" s="166"/>
      <c r="N1341" s="164"/>
      <c r="O1341" s="166"/>
      <c r="P1341" s="165"/>
    </row>
    <row r="1342" spans="1:16" ht="15" hidden="1" customHeight="1" x14ac:dyDescent="0.25">
      <c r="A1342" s="168"/>
      <c r="B1342" s="167"/>
      <c r="C1342" s="168"/>
      <c r="D1342" s="167"/>
      <c r="E1342" s="167"/>
      <c r="F1342" s="167"/>
      <c r="G1342" s="167"/>
      <c r="H1342" s="167"/>
      <c r="I1342" s="164">
        <f t="shared" ca="1" si="21"/>
        <v>44939</v>
      </c>
      <c r="J1342" s="163">
        <v>0.33333333333333331</v>
      </c>
      <c r="K1342" s="162" t="s">
        <v>749</v>
      </c>
      <c r="L1342" s="166"/>
      <c r="M1342" s="166"/>
      <c r="N1342" s="164"/>
      <c r="O1342" s="166"/>
      <c r="P1342" s="165"/>
    </row>
    <row r="1343" spans="1:16" ht="15" hidden="1" customHeight="1" x14ac:dyDescent="0.25">
      <c r="A1343" s="168"/>
      <c r="B1343" s="167"/>
      <c r="C1343" s="168"/>
      <c r="D1343" s="167"/>
      <c r="E1343" s="167"/>
      <c r="F1343" s="167"/>
      <c r="G1343" s="167"/>
      <c r="H1343" s="167"/>
      <c r="I1343" s="164">
        <f t="shared" ca="1" si="21"/>
        <v>44939</v>
      </c>
      <c r="J1343" s="163">
        <v>0.33333333333333331</v>
      </c>
      <c r="K1343" s="162" t="s">
        <v>749</v>
      </c>
      <c r="L1343" s="166"/>
      <c r="M1343" s="166"/>
      <c r="N1343" s="164"/>
      <c r="O1343" s="166"/>
      <c r="P1343" s="165"/>
    </row>
    <row r="1344" spans="1:16" ht="15" hidden="1" customHeight="1" x14ac:dyDescent="0.25">
      <c r="A1344" s="168"/>
      <c r="B1344" s="167"/>
      <c r="C1344" s="168"/>
      <c r="D1344" s="167"/>
      <c r="E1344" s="167"/>
      <c r="F1344" s="167"/>
      <c r="G1344" s="167"/>
      <c r="H1344" s="167"/>
      <c r="I1344" s="164">
        <f t="shared" ca="1" si="21"/>
        <v>44939</v>
      </c>
      <c r="J1344" s="163">
        <v>0.33333333333333331</v>
      </c>
      <c r="K1344" s="162" t="s">
        <v>749</v>
      </c>
      <c r="L1344" s="166"/>
      <c r="M1344" s="166"/>
      <c r="N1344" s="164"/>
      <c r="O1344" s="166"/>
      <c r="P1344" s="165"/>
    </row>
    <row r="1345" spans="1:16" ht="15" hidden="1" customHeight="1" x14ac:dyDescent="0.25">
      <c r="A1345" s="168"/>
      <c r="B1345" s="167"/>
      <c r="C1345" s="168"/>
      <c r="D1345" s="167"/>
      <c r="E1345" s="167"/>
      <c r="F1345" s="167"/>
      <c r="G1345" s="167"/>
      <c r="H1345" s="167"/>
      <c r="I1345" s="164">
        <f t="shared" ca="1" si="21"/>
        <v>44939</v>
      </c>
      <c r="J1345" s="163">
        <v>0.33333333333333331</v>
      </c>
      <c r="K1345" s="162" t="s">
        <v>749</v>
      </c>
      <c r="L1345" s="166"/>
      <c r="M1345" s="166"/>
      <c r="N1345" s="164"/>
      <c r="O1345" s="166"/>
      <c r="P1345" s="165"/>
    </row>
    <row r="1346" spans="1:16" ht="15" hidden="1" customHeight="1" x14ac:dyDescent="0.25">
      <c r="A1346" s="168"/>
      <c r="B1346" s="167"/>
      <c r="C1346" s="168"/>
      <c r="D1346" s="167"/>
      <c r="E1346" s="167"/>
      <c r="F1346" s="167"/>
      <c r="G1346" s="167"/>
      <c r="H1346" s="167"/>
      <c r="I1346" s="164">
        <f t="shared" ca="1" si="21"/>
        <v>44939</v>
      </c>
      <c r="J1346" s="163">
        <v>0.33333333333333331</v>
      </c>
      <c r="K1346" s="162" t="s">
        <v>749</v>
      </c>
      <c r="L1346" s="166"/>
      <c r="M1346" s="166"/>
      <c r="N1346" s="164"/>
      <c r="O1346" s="166"/>
      <c r="P1346" s="165"/>
    </row>
    <row r="1347" spans="1:16" ht="15" hidden="1" customHeight="1" x14ac:dyDescent="0.25">
      <c r="A1347" s="168"/>
      <c r="B1347" s="167"/>
      <c r="C1347" s="168"/>
      <c r="D1347" s="167"/>
      <c r="E1347" s="167"/>
      <c r="F1347" s="167"/>
      <c r="G1347" s="167"/>
      <c r="H1347" s="167"/>
      <c r="I1347" s="164">
        <f t="shared" ca="1" si="21"/>
        <v>44939</v>
      </c>
      <c r="J1347" s="163">
        <v>0.33333333333333331</v>
      </c>
      <c r="K1347" s="162" t="s">
        <v>749</v>
      </c>
      <c r="L1347" s="166"/>
      <c r="M1347" s="166"/>
      <c r="N1347" s="164"/>
      <c r="O1347" s="166"/>
      <c r="P1347" s="165"/>
    </row>
    <row r="1348" spans="1:16" ht="15" hidden="1" customHeight="1" x14ac:dyDescent="0.25">
      <c r="A1348" s="168"/>
      <c r="B1348" s="167"/>
      <c r="C1348" s="168"/>
      <c r="D1348" s="167"/>
      <c r="E1348" s="167"/>
      <c r="F1348" s="167"/>
      <c r="G1348" s="167"/>
      <c r="H1348" s="167"/>
      <c r="I1348" s="164">
        <f t="shared" ca="1" si="21"/>
        <v>44939</v>
      </c>
      <c r="J1348" s="163">
        <v>0.33333333333333331</v>
      </c>
      <c r="K1348" s="162" t="s">
        <v>749</v>
      </c>
      <c r="L1348" s="166"/>
      <c r="M1348" s="166"/>
      <c r="N1348" s="164"/>
      <c r="O1348" s="166"/>
      <c r="P1348" s="165"/>
    </row>
    <row r="1349" spans="1:16" ht="15" hidden="1" customHeight="1" x14ac:dyDescent="0.25">
      <c r="A1349" s="168"/>
      <c r="B1349" s="167"/>
      <c r="C1349" s="168"/>
      <c r="D1349" s="167"/>
      <c r="E1349" s="167"/>
      <c r="F1349" s="167"/>
      <c r="G1349" s="167"/>
      <c r="H1349" s="167"/>
      <c r="I1349" s="164">
        <f t="shared" ca="1" si="21"/>
        <v>44939</v>
      </c>
      <c r="J1349" s="163">
        <v>0.33333333333333331</v>
      </c>
      <c r="K1349" s="162" t="s">
        <v>749</v>
      </c>
      <c r="L1349" s="166"/>
      <c r="M1349" s="166"/>
      <c r="N1349" s="164"/>
      <c r="O1349" s="166"/>
      <c r="P1349" s="165"/>
    </row>
    <row r="1350" spans="1:16" ht="15" hidden="1" customHeight="1" x14ac:dyDescent="0.25">
      <c r="A1350" s="168"/>
      <c r="B1350" s="167"/>
      <c r="C1350" s="168"/>
      <c r="D1350" s="167"/>
      <c r="E1350" s="167"/>
      <c r="F1350" s="167"/>
      <c r="G1350" s="167"/>
      <c r="H1350" s="167"/>
      <c r="I1350" s="164">
        <f t="shared" ca="1" si="21"/>
        <v>44939</v>
      </c>
      <c r="J1350" s="163">
        <v>0.33333333333333331</v>
      </c>
      <c r="K1350" s="162" t="s">
        <v>749</v>
      </c>
      <c r="L1350" s="166"/>
      <c r="M1350" s="166"/>
      <c r="N1350" s="164"/>
      <c r="O1350" s="166"/>
      <c r="P1350" s="165"/>
    </row>
    <row r="1351" spans="1:16" ht="15" hidden="1" customHeight="1" x14ac:dyDescent="0.25">
      <c r="A1351" s="168"/>
      <c r="B1351" s="167"/>
      <c r="C1351" s="168"/>
      <c r="D1351" s="167"/>
      <c r="E1351" s="167"/>
      <c r="F1351" s="167"/>
      <c r="G1351" s="167"/>
      <c r="H1351" s="167"/>
      <c r="I1351" s="164">
        <f t="shared" ca="1" si="21"/>
        <v>44939</v>
      </c>
      <c r="J1351" s="163">
        <v>0.33333333333333331</v>
      </c>
      <c r="K1351" s="162" t="s">
        <v>749</v>
      </c>
      <c r="L1351" s="166"/>
      <c r="M1351" s="166"/>
      <c r="N1351" s="164"/>
      <c r="O1351" s="166"/>
      <c r="P1351" s="165"/>
    </row>
    <row r="1352" spans="1:16" ht="15" hidden="1" customHeight="1" x14ac:dyDescent="0.25">
      <c r="A1352" s="168"/>
      <c r="B1352" s="167"/>
      <c r="C1352" s="168"/>
      <c r="D1352" s="167"/>
      <c r="E1352" s="167"/>
      <c r="F1352" s="167"/>
      <c r="G1352" s="167"/>
      <c r="H1352" s="167"/>
      <c r="I1352" s="164">
        <f t="shared" ca="1" si="21"/>
        <v>44939</v>
      </c>
      <c r="J1352" s="163">
        <v>0.33333333333333331</v>
      </c>
      <c r="K1352" s="162" t="s">
        <v>749</v>
      </c>
      <c r="L1352" s="166"/>
      <c r="M1352" s="166"/>
      <c r="N1352" s="164"/>
      <c r="O1352" s="166"/>
      <c r="P1352" s="165"/>
    </row>
    <row r="1353" spans="1:16" ht="15" hidden="1" customHeight="1" x14ac:dyDescent="0.25">
      <c r="A1353" s="168"/>
      <c r="B1353" s="167"/>
      <c r="C1353" s="168"/>
      <c r="D1353" s="167"/>
      <c r="E1353" s="167"/>
      <c r="F1353" s="167"/>
      <c r="G1353" s="167"/>
      <c r="H1353" s="167"/>
      <c r="I1353" s="164">
        <f t="shared" ca="1" si="21"/>
        <v>44939</v>
      </c>
      <c r="J1353" s="163">
        <v>0.33333333333333331</v>
      </c>
      <c r="K1353" s="162" t="s">
        <v>749</v>
      </c>
      <c r="L1353" s="166"/>
      <c r="M1353" s="166"/>
      <c r="N1353" s="164"/>
      <c r="O1353" s="166"/>
      <c r="P1353" s="165"/>
    </row>
    <row r="1354" spans="1:16" ht="15" hidden="1" customHeight="1" x14ac:dyDescent="0.25">
      <c r="A1354" s="168"/>
      <c r="B1354" s="167"/>
      <c r="C1354" s="168"/>
      <c r="D1354" s="167"/>
      <c r="E1354" s="167"/>
      <c r="F1354" s="167"/>
      <c r="G1354" s="167"/>
      <c r="H1354" s="167"/>
      <c r="I1354" s="164">
        <f t="shared" ca="1" si="21"/>
        <v>44939</v>
      </c>
      <c r="J1354" s="163">
        <v>0.33333333333333331</v>
      </c>
      <c r="K1354" s="162" t="s">
        <v>749</v>
      </c>
      <c r="L1354" s="166"/>
      <c r="M1354" s="166"/>
      <c r="N1354" s="164"/>
      <c r="O1354" s="166"/>
      <c r="P1354" s="165"/>
    </row>
    <row r="1355" spans="1:16" ht="15" hidden="1" customHeight="1" x14ac:dyDescent="0.25">
      <c r="A1355" s="168"/>
      <c r="B1355" s="167"/>
      <c r="C1355" s="168"/>
      <c r="D1355" s="167"/>
      <c r="E1355" s="167"/>
      <c r="F1355" s="167"/>
      <c r="G1355" s="167"/>
      <c r="H1355" s="167"/>
      <c r="I1355" s="164">
        <f t="shared" ca="1" si="21"/>
        <v>44939</v>
      </c>
      <c r="J1355" s="163">
        <v>0.33333333333333331</v>
      </c>
      <c r="K1355" s="162" t="s">
        <v>749</v>
      </c>
      <c r="L1355" s="166"/>
      <c r="M1355" s="166"/>
      <c r="N1355" s="164"/>
      <c r="O1355" s="166"/>
      <c r="P1355" s="165"/>
    </row>
    <row r="1356" spans="1:16" ht="15" hidden="1" customHeight="1" x14ac:dyDescent="0.25">
      <c r="A1356" s="168"/>
      <c r="B1356" s="167"/>
      <c r="C1356" s="168"/>
      <c r="D1356" s="167"/>
      <c r="E1356" s="167"/>
      <c r="F1356" s="167"/>
      <c r="G1356" s="167"/>
      <c r="H1356" s="167"/>
      <c r="I1356" s="164">
        <f t="shared" ca="1" si="21"/>
        <v>44939</v>
      </c>
      <c r="J1356" s="163">
        <v>0.33333333333333331</v>
      </c>
      <c r="K1356" s="162" t="s">
        <v>749</v>
      </c>
      <c r="L1356" s="166"/>
      <c r="M1356" s="166"/>
      <c r="N1356" s="164"/>
      <c r="O1356" s="166"/>
      <c r="P1356" s="165"/>
    </row>
    <row r="1357" spans="1:16" ht="15" hidden="1" customHeight="1" x14ac:dyDescent="0.25">
      <c r="A1357" s="168"/>
      <c r="B1357" s="167"/>
      <c r="C1357" s="168"/>
      <c r="D1357" s="167"/>
      <c r="E1357" s="167"/>
      <c r="F1357" s="167"/>
      <c r="G1357" s="167"/>
      <c r="H1357" s="167"/>
      <c r="I1357" s="164">
        <f t="shared" ca="1" si="21"/>
        <v>44939</v>
      </c>
      <c r="J1357" s="163">
        <v>0.33333333333333331</v>
      </c>
      <c r="K1357" s="162" t="s">
        <v>749</v>
      </c>
      <c r="L1357" s="166"/>
      <c r="M1357" s="166"/>
      <c r="N1357" s="164"/>
      <c r="O1357" s="166"/>
      <c r="P1357" s="165"/>
    </row>
    <row r="1358" spans="1:16" ht="15" hidden="1" customHeight="1" x14ac:dyDescent="0.25">
      <c r="A1358" s="168"/>
      <c r="B1358" s="167"/>
      <c r="C1358" s="168"/>
      <c r="D1358" s="167"/>
      <c r="E1358" s="167"/>
      <c r="F1358" s="167"/>
      <c r="G1358" s="167"/>
      <c r="H1358" s="167"/>
      <c r="I1358" s="164">
        <f t="shared" ca="1" si="21"/>
        <v>44939</v>
      </c>
      <c r="J1358" s="163">
        <v>0.33333333333333331</v>
      </c>
      <c r="K1358" s="162" t="s">
        <v>749</v>
      </c>
      <c r="L1358" s="166"/>
      <c r="M1358" s="166"/>
      <c r="N1358" s="164"/>
      <c r="O1358" s="166"/>
      <c r="P1358" s="165"/>
    </row>
    <row r="1359" spans="1:16" ht="15" hidden="1" customHeight="1" x14ac:dyDescent="0.25">
      <c r="A1359" s="168"/>
      <c r="B1359" s="167"/>
      <c r="C1359" s="168"/>
      <c r="D1359" s="167"/>
      <c r="E1359" s="167"/>
      <c r="F1359" s="167"/>
      <c r="G1359" s="167"/>
      <c r="H1359" s="167"/>
      <c r="I1359" s="164">
        <f t="shared" ca="1" si="21"/>
        <v>44939</v>
      </c>
      <c r="J1359" s="163">
        <v>0.33333333333333331</v>
      </c>
      <c r="K1359" s="162" t="s">
        <v>749</v>
      </c>
      <c r="L1359" s="166"/>
      <c r="M1359" s="166"/>
      <c r="N1359" s="164"/>
      <c r="O1359" s="166"/>
      <c r="P1359" s="165"/>
    </row>
    <row r="1360" spans="1:16" ht="15" hidden="1" customHeight="1" x14ac:dyDescent="0.25">
      <c r="A1360" s="168"/>
      <c r="B1360" s="167"/>
      <c r="C1360" s="168"/>
      <c r="D1360" s="167"/>
      <c r="E1360" s="167"/>
      <c r="F1360" s="167"/>
      <c r="G1360" s="167"/>
      <c r="H1360" s="167"/>
      <c r="I1360" s="164">
        <f t="shared" ca="1" si="21"/>
        <v>44939</v>
      </c>
      <c r="J1360" s="163">
        <v>0.33333333333333331</v>
      </c>
      <c r="K1360" s="162" t="s">
        <v>749</v>
      </c>
      <c r="L1360" s="166"/>
      <c r="M1360" s="166"/>
      <c r="N1360" s="164"/>
      <c r="O1360" s="166"/>
      <c r="P1360" s="165"/>
    </row>
    <row r="1361" spans="1:16" ht="15" hidden="1" customHeight="1" x14ac:dyDescent="0.25">
      <c r="A1361" s="168"/>
      <c r="B1361" s="167"/>
      <c r="C1361" s="168"/>
      <c r="D1361" s="167"/>
      <c r="E1361" s="167"/>
      <c r="F1361" s="167"/>
      <c r="G1361" s="167"/>
      <c r="H1361" s="167"/>
      <c r="I1361" s="164">
        <f t="shared" ca="1" si="21"/>
        <v>44939</v>
      </c>
      <c r="J1361" s="163">
        <v>0.33333333333333331</v>
      </c>
      <c r="K1361" s="162" t="s">
        <v>749</v>
      </c>
      <c r="L1361" s="166"/>
      <c r="M1361" s="166"/>
      <c r="N1361" s="164"/>
      <c r="O1361" s="166"/>
      <c r="P1361" s="165"/>
    </row>
    <row r="1362" spans="1:16" ht="15" hidden="1" customHeight="1" x14ac:dyDescent="0.25">
      <c r="A1362" s="168"/>
      <c r="B1362" s="167"/>
      <c r="C1362" s="168"/>
      <c r="D1362" s="167"/>
      <c r="E1362" s="167"/>
      <c r="F1362" s="167"/>
      <c r="G1362" s="167"/>
      <c r="H1362" s="167"/>
      <c r="I1362" s="164">
        <f t="shared" ca="1" si="21"/>
        <v>44939</v>
      </c>
      <c r="J1362" s="163">
        <v>0.33333333333333331</v>
      </c>
      <c r="K1362" s="162" t="s">
        <v>749</v>
      </c>
      <c r="L1362" s="166"/>
      <c r="M1362" s="166"/>
      <c r="N1362" s="164"/>
      <c r="O1362" s="166"/>
      <c r="P1362" s="165"/>
    </row>
    <row r="1363" spans="1:16" ht="15" hidden="1" customHeight="1" x14ac:dyDescent="0.25">
      <c r="A1363" s="168"/>
      <c r="B1363" s="167"/>
      <c r="C1363" s="168"/>
      <c r="D1363" s="167"/>
      <c r="E1363" s="167"/>
      <c r="F1363" s="167"/>
      <c r="G1363" s="167"/>
      <c r="H1363" s="167"/>
      <c r="I1363" s="164">
        <f t="shared" ca="1" si="21"/>
        <v>44939</v>
      </c>
      <c r="J1363" s="163">
        <v>0.33333333333333331</v>
      </c>
      <c r="K1363" s="162" t="s">
        <v>749</v>
      </c>
      <c r="L1363" s="166"/>
      <c r="M1363" s="166"/>
      <c r="N1363" s="164"/>
      <c r="O1363" s="166"/>
      <c r="P1363" s="165"/>
    </row>
    <row r="1364" spans="1:16" ht="15" hidden="1" customHeight="1" x14ac:dyDescent="0.25">
      <c r="A1364" s="168"/>
      <c r="B1364" s="167"/>
      <c r="C1364" s="168"/>
      <c r="D1364" s="167"/>
      <c r="E1364" s="167"/>
      <c r="F1364" s="167"/>
      <c r="G1364" s="167"/>
      <c r="H1364" s="167"/>
      <c r="I1364" s="164">
        <f t="shared" ca="1" si="21"/>
        <v>44939</v>
      </c>
      <c r="J1364" s="163">
        <v>0.33333333333333331</v>
      </c>
      <c r="K1364" s="162" t="s">
        <v>749</v>
      </c>
      <c r="L1364" s="166"/>
      <c r="M1364" s="166"/>
      <c r="N1364" s="164"/>
      <c r="O1364" s="166"/>
      <c r="P1364" s="165"/>
    </row>
    <row r="1365" spans="1:16" ht="15" hidden="1" customHeight="1" x14ac:dyDescent="0.25">
      <c r="A1365" s="168"/>
      <c r="B1365" s="167"/>
      <c r="C1365" s="168"/>
      <c r="D1365" s="167"/>
      <c r="E1365" s="167"/>
      <c r="F1365" s="167"/>
      <c r="G1365" s="167"/>
      <c r="H1365" s="167"/>
      <c r="I1365" s="164">
        <f t="shared" ca="1" si="21"/>
        <v>44939</v>
      </c>
      <c r="J1365" s="163">
        <v>0.33333333333333331</v>
      </c>
      <c r="K1365" s="162" t="s">
        <v>749</v>
      </c>
      <c r="L1365" s="166"/>
      <c r="M1365" s="166"/>
      <c r="N1365" s="164"/>
      <c r="O1365" s="166"/>
      <c r="P1365" s="165"/>
    </row>
    <row r="1366" spans="1:16" ht="15" hidden="1" customHeight="1" x14ac:dyDescent="0.25">
      <c r="A1366" s="168"/>
      <c r="B1366" s="167"/>
      <c r="C1366" s="168"/>
      <c r="D1366" s="167"/>
      <c r="E1366" s="167"/>
      <c r="F1366" s="167"/>
      <c r="G1366" s="167"/>
      <c r="H1366" s="167"/>
      <c r="I1366" s="164">
        <f t="shared" ca="1" si="21"/>
        <v>44939</v>
      </c>
      <c r="J1366" s="163">
        <v>0.33333333333333331</v>
      </c>
      <c r="K1366" s="162" t="s">
        <v>749</v>
      </c>
      <c r="L1366" s="166"/>
      <c r="M1366" s="166"/>
      <c r="N1366" s="164"/>
      <c r="O1366" s="166"/>
      <c r="P1366" s="165"/>
    </row>
    <row r="1367" spans="1:16" ht="15" hidden="1" customHeight="1" x14ac:dyDescent="0.25">
      <c r="A1367" s="168"/>
      <c r="B1367" s="167"/>
      <c r="C1367" s="168"/>
      <c r="D1367" s="167"/>
      <c r="E1367" s="167"/>
      <c r="F1367" s="167"/>
      <c r="G1367" s="167"/>
      <c r="H1367" s="167"/>
      <c r="I1367" s="164">
        <f t="shared" ca="1" si="21"/>
        <v>44939</v>
      </c>
      <c r="J1367" s="163">
        <v>0.33333333333333331</v>
      </c>
      <c r="K1367" s="162" t="s">
        <v>749</v>
      </c>
      <c r="L1367" s="166"/>
      <c r="M1367" s="166"/>
      <c r="N1367" s="164"/>
      <c r="O1367" s="166"/>
      <c r="P1367" s="165"/>
    </row>
    <row r="1368" spans="1:16" ht="15" hidden="1" customHeight="1" x14ac:dyDescent="0.25">
      <c r="A1368" s="168"/>
      <c r="B1368" s="167"/>
      <c r="C1368" s="168"/>
      <c r="D1368" s="167"/>
      <c r="E1368" s="167"/>
      <c r="F1368" s="167"/>
      <c r="G1368" s="167"/>
      <c r="H1368" s="167"/>
      <c r="I1368" s="164">
        <f t="shared" ref="I1368:I1431" ca="1" si="22">TODAY()</f>
        <v>44939</v>
      </c>
      <c r="J1368" s="163">
        <v>0.33333333333333331</v>
      </c>
      <c r="K1368" s="162" t="s">
        <v>749</v>
      </c>
      <c r="L1368" s="166"/>
      <c r="M1368" s="166"/>
      <c r="N1368" s="164"/>
      <c r="O1368" s="166"/>
      <c r="P1368" s="165"/>
    </row>
    <row r="1369" spans="1:16" ht="15" hidden="1" customHeight="1" x14ac:dyDescent="0.25">
      <c r="A1369" s="168"/>
      <c r="B1369" s="167"/>
      <c r="C1369" s="168"/>
      <c r="D1369" s="167"/>
      <c r="E1369" s="167"/>
      <c r="F1369" s="167"/>
      <c r="G1369" s="167"/>
      <c r="H1369" s="167"/>
      <c r="I1369" s="164">
        <f t="shared" ca="1" si="22"/>
        <v>44939</v>
      </c>
      <c r="J1369" s="163">
        <v>0.33333333333333331</v>
      </c>
      <c r="K1369" s="162" t="s">
        <v>749</v>
      </c>
      <c r="L1369" s="166"/>
      <c r="M1369" s="166"/>
      <c r="N1369" s="164"/>
      <c r="O1369" s="166"/>
      <c r="P1369" s="165"/>
    </row>
    <row r="1370" spans="1:16" ht="15" hidden="1" customHeight="1" x14ac:dyDescent="0.25">
      <c r="A1370" s="168"/>
      <c r="B1370" s="167"/>
      <c r="C1370" s="168"/>
      <c r="D1370" s="167"/>
      <c r="E1370" s="167"/>
      <c r="F1370" s="167"/>
      <c r="G1370" s="167"/>
      <c r="H1370" s="167"/>
      <c r="I1370" s="164">
        <f t="shared" ca="1" si="22"/>
        <v>44939</v>
      </c>
      <c r="J1370" s="163">
        <v>0.33333333333333331</v>
      </c>
      <c r="K1370" s="162" t="s">
        <v>749</v>
      </c>
      <c r="L1370" s="166"/>
      <c r="M1370" s="166"/>
      <c r="N1370" s="164"/>
      <c r="O1370" s="166"/>
      <c r="P1370" s="165"/>
    </row>
    <row r="1371" spans="1:16" ht="15" hidden="1" customHeight="1" x14ac:dyDescent="0.25">
      <c r="A1371" s="168"/>
      <c r="B1371" s="167"/>
      <c r="C1371" s="168"/>
      <c r="D1371" s="167"/>
      <c r="E1371" s="167"/>
      <c r="F1371" s="167"/>
      <c r="G1371" s="167"/>
      <c r="H1371" s="167"/>
      <c r="I1371" s="164">
        <f t="shared" ca="1" si="22"/>
        <v>44939</v>
      </c>
      <c r="J1371" s="163">
        <v>0.33333333333333331</v>
      </c>
      <c r="K1371" s="162" t="s">
        <v>749</v>
      </c>
      <c r="L1371" s="166"/>
      <c r="M1371" s="166"/>
      <c r="N1371" s="164"/>
      <c r="O1371" s="166"/>
      <c r="P1371" s="165"/>
    </row>
    <row r="1372" spans="1:16" ht="15" hidden="1" customHeight="1" x14ac:dyDescent="0.25">
      <c r="A1372" s="168"/>
      <c r="B1372" s="167"/>
      <c r="C1372" s="168"/>
      <c r="D1372" s="167"/>
      <c r="E1372" s="167"/>
      <c r="F1372" s="167"/>
      <c r="G1372" s="167"/>
      <c r="H1372" s="167"/>
      <c r="I1372" s="164">
        <f t="shared" ca="1" si="22"/>
        <v>44939</v>
      </c>
      <c r="J1372" s="163">
        <v>0.33333333333333331</v>
      </c>
      <c r="K1372" s="162" t="s">
        <v>749</v>
      </c>
      <c r="L1372" s="166"/>
      <c r="M1372" s="166"/>
      <c r="N1372" s="164"/>
      <c r="O1372" s="166"/>
      <c r="P1372" s="165"/>
    </row>
    <row r="1373" spans="1:16" ht="15" hidden="1" customHeight="1" x14ac:dyDescent="0.25">
      <c r="A1373" s="168"/>
      <c r="B1373" s="167"/>
      <c r="C1373" s="168"/>
      <c r="D1373" s="167"/>
      <c r="E1373" s="167"/>
      <c r="F1373" s="167"/>
      <c r="G1373" s="167"/>
      <c r="H1373" s="167"/>
      <c r="I1373" s="164">
        <f t="shared" ca="1" si="22"/>
        <v>44939</v>
      </c>
      <c r="J1373" s="163">
        <v>0.33333333333333331</v>
      </c>
      <c r="K1373" s="162" t="s">
        <v>749</v>
      </c>
      <c r="L1373" s="166"/>
      <c r="M1373" s="166"/>
      <c r="N1373" s="164"/>
      <c r="O1373" s="166"/>
      <c r="P1373" s="165"/>
    </row>
    <row r="1374" spans="1:16" ht="15" hidden="1" customHeight="1" x14ac:dyDescent="0.25">
      <c r="A1374" s="168"/>
      <c r="B1374" s="167"/>
      <c r="C1374" s="168"/>
      <c r="D1374" s="167"/>
      <c r="E1374" s="167"/>
      <c r="F1374" s="167"/>
      <c r="G1374" s="167"/>
      <c r="H1374" s="167"/>
      <c r="I1374" s="164">
        <f t="shared" ca="1" si="22"/>
        <v>44939</v>
      </c>
      <c r="J1374" s="163">
        <v>0.33333333333333331</v>
      </c>
      <c r="K1374" s="162" t="s">
        <v>749</v>
      </c>
      <c r="L1374" s="166"/>
      <c r="M1374" s="166"/>
      <c r="N1374" s="164"/>
      <c r="O1374" s="166"/>
      <c r="P1374" s="165"/>
    </row>
    <row r="1375" spans="1:16" ht="15" hidden="1" customHeight="1" x14ac:dyDescent="0.25">
      <c r="A1375" s="168"/>
      <c r="B1375" s="167"/>
      <c r="C1375" s="168"/>
      <c r="D1375" s="167"/>
      <c r="E1375" s="167"/>
      <c r="F1375" s="167"/>
      <c r="G1375" s="167"/>
      <c r="H1375" s="167"/>
      <c r="I1375" s="164">
        <f t="shared" ca="1" si="22"/>
        <v>44939</v>
      </c>
      <c r="J1375" s="163">
        <v>0.33333333333333331</v>
      </c>
      <c r="K1375" s="162" t="s">
        <v>749</v>
      </c>
      <c r="L1375" s="166"/>
      <c r="M1375" s="166"/>
      <c r="N1375" s="164"/>
      <c r="O1375" s="166"/>
      <c r="P1375" s="165"/>
    </row>
    <row r="1376" spans="1:16" ht="15" hidden="1" customHeight="1" x14ac:dyDescent="0.25">
      <c r="A1376" s="168"/>
      <c r="B1376" s="167"/>
      <c r="C1376" s="168"/>
      <c r="D1376" s="167"/>
      <c r="E1376" s="167"/>
      <c r="F1376" s="167"/>
      <c r="G1376" s="167"/>
      <c r="H1376" s="167"/>
      <c r="I1376" s="164">
        <f t="shared" ca="1" si="22"/>
        <v>44939</v>
      </c>
      <c r="J1376" s="163">
        <v>0.33333333333333331</v>
      </c>
      <c r="K1376" s="162" t="s">
        <v>749</v>
      </c>
      <c r="L1376" s="166"/>
      <c r="M1376" s="166"/>
      <c r="N1376" s="164"/>
      <c r="O1376" s="166"/>
      <c r="P1376" s="165"/>
    </row>
    <row r="1377" spans="1:16" ht="15" hidden="1" customHeight="1" x14ac:dyDescent="0.25">
      <c r="A1377" s="168"/>
      <c r="B1377" s="167"/>
      <c r="C1377" s="168"/>
      <c r="D1377" s="167"/>
      <c r="E1377" s="167"/>
      <c r="F1377" s="167"/>
      <c r="G1377" s="167"/>
      <c r="H1377" s="167"/>
      <c r="I1377" s="164">
        <f t="shared" ca="1" si="22"/>
        <v>44939</v>
      </c>
      <c r="J1377" s="163">
        <v>0.33333333333333331</v>
      </c>
      <c r="K1377" s="162" t="s">
        <v>749</v>
      </c>
      <c r="L1377" s="166"/>
      <c r="M1377" s="166"/>
      <c r="N1377" s="164"/>
      <c r="O1377" s="166"/>
      <c r="P1377" s="165"/>
    </row>
    <row r="1378" spans="1:16" ht="15" hidden="1" customHeight="1" x14ac:dyDescent="0.25">
      <c r="A1378" s="168"/>
      <c r="B1378" s="167"/>
      <c r="C1378" s="168"/>
      <c r="D1378" s="167"/>
      <c r="E1378" s="167"/>
      <c r="F1378" s="167"/>
      <c r="G1378" s="167"/>
      <c r="H1378" s="167"/>
      <c r="I1378" s="164">
        <f t="shared" ca="1" si="22"/>
        <v>44939</v>
      </c>
      <c r="J1378" s="163">
        <v>0.33333333333333331</v>
      </c>
      <c r="K1378" s="162" t="s">
        <v>749</v>
      </c>
      <c r="L1378" s="166"/>
      <c r="M1378" s="166"/>
      <c r="N1378" s="164"/>
      <c r="O1378" s="166"/>
      <c r="P1378" s="165"/>
    </row>
    <row r="1379" spans="1:16" ht="15" hidden="1" customHeight="1" x14ac:dyDescent="0.25">
      <c r="A1379" s="168"/>
      <c r="B1379" s="167"/>
      <c r="C1379" s="168"/>
      <c r="D1379" s="160"/>
      <c r="E1379" s="167"/>
      <c r="F1379" s="167"/>
      <c r="G1379" s="167"/>
      <c r="H1379" s="167"/>
      <c r="I1379" s="164">
        <f t="shared" ca="1" si="22"/>
        <v>44939</v>
      </c>
      <c r="J1379" s="163">
        <v>0.33333333333333331</v>
      </c>
      <c r="K1379" s="162" t="s">
        <v>749</v>
      </c>
      <c r="L1379" s="166"/>
      <c r="M1379" s="166"/>
      <c r="N1379" s="164"/>
      <c r="O1379" s="166"/>
      <c r="P1379" s="165"/>
    </row>
    <row r="1380" spans="1:16" ht="15" hidden="1" customHeight="1" x14ac:dyDescent="0.25">
      <c r="A1380" s="168"/>
      <c r="B1380" s="167"/>
      <c r="C1380" s="168"/>
      <c r="D1380" s="167"/>
      <c r="E1380" s="167"/>
      <c r="F1380" s="167"/>
      <c r="G1380" s="167"/>
      <c r="H1380" s="167"/>
      <c r="I1380" s="164">
        <f t="shared" ca="1" si="22"/>
        <v>44939</v>
      </c>
      <c r="J1380" s="163">
        <v>0.33333333333333331</v>
      </c>
      <c r="K1380" s="162" t="s">
        <v>749</v>
      </c>
      <c r="L1380" s="166"/>
      <c r="M1380" s="166"/>
      <c r="N1380" s="164"/>
      <c r="O1380" s="166"/>
      <c r="P1380" s="165"/>
    </row>
    <row r="1381" spans="1:16" ht="15" hidden="1" customHeight="1" x14ac:dyDescent="0.25">
      <c r="A1381" s="168"/>
      <c r="B1381" s="167"/>
      <c r="C1381" s="168"/>
      <c r="D1381" s="167"/>
      <c r="E1381" s="167"/>
      <c r="F1381" s="167"/>
      <c r="G1381" s="167"/>
      <c r="H1381" s="167"/>
      <c r="I1381" s="164">
        <f t="shared" ca="1" si="22"/>
        <v>44939</v>
      </c>
      <c r="J1381" s="163">
        <v>0.33333333333333331</v>
      </c>
      <c r="K1381" s="162" t="s">
        <v>749</v>
      </c>
      <c r="L1381" s="166"/>
      <c r="M1381" s="166"/>
      <c r="N1381" s="164"/>
      <c r="O1381" s="166"/>
      <c r="P1381" s="165"/>
    </row>
    <row r="1382" spans="1:16" ht="15" hidden="1" customHeight="1" x14ac:dyDescent="0.25">
      <c r="A1382" s="168"/>
      <c r="B1382" s="167"/>
      <c r="C1382" s="168"/>
      <c r="D1382" s="167"/>
      <c r="E1382" s="167"/>
      <c r="F1382" s="167"/>
      <c r="G1382" s="167"/>
      <c r="H1382" s="167"/>
      <c r="I1382" s="164">
        <f t="shared" ca="1" si="22"/>
        <v>44939</v>
      </c>
      <c r="J1382" s="163">
        <v>0.33333333333333331</v>
      </c>
      <c r="K1382" s="162" t="s">
        <v>749</v>
      </c>
      <c r="L1382" s="166"/>
      <c r="M1382" s="166"/>
      <c r="N1382" s="164"/>
      <c r="O1382" s="166"/>
      <c r="P1382" s="165"/>
    </row>
    <row r="1383" spans="1:16" ht="15" hidden="1" customHeight="1" x14ac:dyDescent="0.25">
      <c r="A1383" s="168"/>
      <c r="B1383" s="167"/>
      <c r="C1383" s="168"/>
      <c r="D1383" s="167"/>
      <c r="E1383" s="167"/>
      <c r="F1383" s="167"/>
      <c r="G1383" s="167"/>
      <c r="H1383" s="167"/>
      <c r="I1383" s="164">
        <f t="shared" ca="1" si="22"/>
        <v>44939</v>
      </c>
      <c r="J1383" s="163">
        <v>0.33333333333333331</v>
      </c>
      <c r="K1383" s="162" t="s">
        <v>749</v>
      </c>
      <c r="L1383" s="166"/>
      <c r="M1383" s="166"/>
      <c r="N1383" s="164"/>
      <c r="O1383" s="166"/>
      <c r="P1383" s="165"/>
    </row>
    <row r="1384" spans="1:16" ht="15" hidden="1" customHeight="1" x14ac:dyDescent="0.25">
      <c r="A1384" s="168"/>
      <c r="B1384" s="167"/>
      <c r="C1384" s="168"/>
      <c r="D1384" s="167"/>
      <c r="E1384" s="167"/>
      <c r="F1384" s="167"/>
      <c r="G1384" s="167"/>
      <c r="H1384" s="167"/>
      <c r="I1384" s="164">
        <f t="shared" ca="1" si="22"/>
        <v>44939</v>
      </c>
      <c r="J1384" s="163">
        <v>0.33333333333333331</v>
      </c>
      <c r="K1384" s="162" t="s">
        <v>749</v>
      </c>
      <c r="L1384" s="166"/>
      <c r="M1384" s="166"/>
      <c r="N1384" s="164"/>
      <c r="O1384" s="166"/>
      <c r="P1384" s="165"/>
    </row>
    <row r="1385" spans="1:16" ht="15" hidden="1" customHeight="1" x14ac:dyDescent="0.25">
      <c r="A1385" s="168"/>
      <c r="B1385" s="167"/>
      <c r="C1385" s="168"/>
      <c r="D1385" s="167"/>
      <c r="E1385" s="167"/>
      <c r="F1385" s="167"/>
      <c r="G1385" s="167"/>
      <c r="H1385" s="167"/>
      <c r="I1385" s="164">
        <f t="shared" ca="1" si="22"/>
        <v>44939</v>
      </c>
      <c r="J1385" s="163">
        <v>0.33333333333333331</v>
      </c>
      <c r="K1385" s="162" t="s">
        <v>749</v>
      </c>
      <c r="L1385" s="166"/>
      <c r="M1385" s="166"/>
      <c r="N1385" s="164"/>
      <c r="O1385" s="166"/>
      <c r="P1385" s="165"/>
    </row>
    <row r="1386" spans="1:16" ht="15" hidden="1" customHeight="1" x14ac:dyDescent="0.25">
      <c r="A1386" s="168"/>
      <c r="B1386" s="167"/>
      <c r="C1386" s="168"/>
      <c r="D1386" s="167"/>
      <c r="E1386" s="167"/>
      <c r="F1386" s="167"/>
      <c r="G1386" s="167"/>
      <c r="H1386" s="167"/>
      <c r="I1386" s="164">
        <f t="shared" ca="1" si="22"/>
        <v>44939</v>
      </c>
      <c r="J1386" s="163">
        <v>0.33333333333333331</v>
      </c>
      <c r="K1386" s="162" t="s">
        <v>749</v>
      </c>
      <c r="L1386" s="166"/>
      <c r="M1386" s="166"/>
      <c r="N1386" s="164"/>
      <c r="O1386" s="166"/>
      <c r="P1386" s="165"/>
    </row>
    <row r="1387" spans="1:16" ht="15" hidden="1" customHeight="1" x14ac:dyDescent="0.25">
      <c r="A1387" s="168"/>
      <c r="B1387" s="167"/>
      <c r="C1387" s="168"/>
      <c r="D1387" s="167"/>
      <c r="E1387" s="167"/>
      <c r="F1387" s="167"/>
      <c r="G1387" s="167"/>
      <c r="H1387" s="167"/>
      <c r="I1387" s="164">
        <f t="shared" ca="1" si="22"/>
        <v>44939</v>
      </c>
      <c r="J1387" s="163">
        <v>0.33333333333333331</v>
      </c>
      <c r="K1387" s="162" t="s">
        <v>749</v>
      </c>
      <c r="L1387" s="166"/>
      <c r="M1387" s="166"/>
      <c r="N1387" s="164"/>
      <c r="O1387" s="166"/>
      <c r="P1387" s="165"/>
    </row>
    <row r="1388" spans="1:16" ht="15" hidden="1" customHeight="1" x14ac:dyDescent="0.25">
      <c r="A1388" s="168"/>
      <c r="B1388" s="167"/>
      <c r="C1388" s="168"/>
      <c r="D1388" s="167"/>
      <c r="E1388" s="167"/>
      <c r="F1388" s="167"/>
      <c r="G1388" s="167"/>
      <c r="H1388" s="167"/>
      <c r="I1388" s="164">
        <f t="shared" ca="1" si="22"/>
        <v>44939</v>
      </c>
      <c r="J1388" s="163">
        <v>0.33333333333333331</v>
      </c>
      <c r="K1388" s="162" t="s">
        <v>749</v>
      </c>
      <c r="L1388" s="166"/>
      <c r="M1388" s="166"/>
      <c r="N1388" s="164"/>
      <c r="O1388" s="166"/>
      <c r="P1388" s="165"/>
    </row>
    <row r="1389" spans="1:16" ht="15" hidden="1" customHeight="1" x14ac:dyDescent="0.25">
      <c r="A1389" s="168"/>
      <c r="B1389" s="167"/>
      <c r="C1389" s="168"/>
      <c r="D1389" s="167"/>
      <c r="E1389" s="167"/>
      <c r="F1389" s="167"/>
      <c r="G1389" s="167"/>
      <c r="H1389" s="167"/>
      <c r="I1389" s="164">
        <f t="shared" ca="1" si="22"/>
        <v>44939</v>
      </c>
      <c r="J1389" s="163">
        <v>0.33333333333333331</v>
      </c>
      <c r="K1389" s="162" t="s">
        <v>749</v>
      </c>
      <c r="L1389" s="166"/>
      <c r="M1389" s="166"/>
      <c r="N1389" s="164"/>
      <c r="O1389" s="166"/>
      <c r="P1389" s="165"/>
    </row>
    <row r="1390" spans="1:16" ht="15" hidden="1" customHeight="1" x14ac:dyDescent="0.25">
      <c r="A1390" s="168"/>
      <c r="B1390" s="167"/>
      <c r="C1390" s="168"/>
      <c r="D1390" s="167"/>
      <c r="E1390" s="167"/>
      <c r="F1390" s="167"/>
      <c r="G1390" s="167"/>
      <c r="H1390" s="167"/>
      <c r="I1390" s="164">
        <f t="shared" ca="1" si="22"/>
        <v>44939</v>
      </c>
      <c r="J1390" s="163">
        <v>0.33333333333333331</v>
      </c>
      <c r="K1390" s="162" t="s">
        <v>749</v>
      </c>
      <c r="L1390" s="166"/>
      <c r="M1390" s="166"/>
      <c r="N1390" s="164"/>
      <c r="O1390" s="166"/>
      <c r="P1390" s="165"/>
    </row>
    <row r="1391" spans="1:16" ht="15" hidden="1" customHeight="1" x14ac:dyDescent="0.25">
      <c r="A1391" s="168"/>
      <c r="B1391" s="167"/>
      <c r="C1391" s="168"/>
      <c r="D1391" s="167"/>
      <c r="E1391" s="167"/>
      <c r="F1391" s="167"/>
      <c r="G1391" s="167"/>
      <c r="H1391" s="167"/>
      <c r="I1391" s="164">
        <f t="shared" ca="1" si="22"/>
        <v>44939</v>
      </c>
      <c r="J1391" s="163">
        <v>0.33333333333333331</v>
      </c>
      <c r="K1391" s="162" t="s">
        <v>749</v>
      </c>
      <c r="L1391" s="166"/>
      <c r="M1391" s="166"/>
      <c r="N1391" s="164"/>
      <c r="O1391" s="166"/>
      <c r="P1391" s="165"/>
    </row>
    <row r="1392" spans="1:16" ht="15" hidden="1" customHeight="1" x14ac:dyDescent="0.25">
      <c r="A1392" s="168"/>
      <c r="B1392" s="167"/>
      <c r="C1392" s="168"/>
      <c r="D1392" s="167"/>
      <c r="E1392" s="167"/>
      <c r="F1392" s="167"/>
      <c r="G1392" s="167"/>
      <c r="H1392" s="167"/>
      <c r="I1392" s="164">
        <f t="shared" ca="1" si="22"/>
        <v>44939</v>
      </c>
      <c r="J1392" s="163">
        <v>0.33333333333333331</v>
      </c>
      <c r="K1392" s="162" t="s">
        <v>749</v>
      </c>
      <c r="L1392" s="166"/>
      <c r="M1392" s="166"/>
      <c r="N1392" s="164"/>
      <c r="O1392" s="166"/>
      <c r="P1392" s="165"/>
    </row>
    <row r="1393" spans="1:16" ht="15" hidden="1" customHeight="1" x14ac:dyDescent="0.25">
      <c r="A1393" s="168"/>
      <c r="B1393" s="167"/>
      <c r="C1393" s="168"/>
      <c r="D1393" s="167"/>
      <c r="E1393" s="167"/>
      <c r="F1393" s="167"/>
      <c r="G1393" s="167"/>
      <c r="H1393" s="167"/>
      <c r="I1393" s="164">
        <f t="shared" ca="1" si="22"/>
        <v>44939</v>
      </c>
      <c r="J1393" s="163">
        <v>0.33333333333333331</v>
      </c>
      <c r="K1393" s="162" t="s">
        <v>749</v>
      </c>
      <c r="L1393" s="166"/>
      <c r="M1393" s="166"/>
      <c r="N1393" s="164"/>
      <c r="O1393" s="166"/>
      <c r="P1393" s="165"/>
    </row>
    <row r="1394" spans="1:16" ht="15" hidden="1" customHeight="1" x14ac:dyDescent="0.25">
      <c r="A1394" s="168"/>
      <c r="B1394" s="167"/>
      <c r="C1394" s="168"/>
      <c r="D1394" s="167"/>
      <c r="E1394" s="167"/>
      <c r="F1394" s="167"/>
      <c r="G1394" s="167"/>
      <c r="H1394" s="167"/>
      <c r="I1394" s="164">
        <f t="shared" ca="1" si="22"/>
        <v>44939</v>
      </c>
      <c r="J1394" s="163">
        <v>0.33333333333333331</v>
      </c>
      <c r="K1394" s="162" t="s">
        <v>749</v>
      </c>
      <c r="L1394" s="166"/>
      <c r="M1394" s="166"/>
      <c r="N1394" s="164"/>
      <c r="O1394" s="166"/>
      <c r="P1394" s="165"/>
    </row>
    <row r="1395" spans="1:16" ht="15" hidden="1" customHeight="1" x14ac:dyDescent="0.25">
      <c r="A1395" s="168"/>
      <c r="B1395" s="167"/>
      <c r="C1395" s="168"/>
      <c r="D1395" s="167"/>
      <c r="E1395" s="167"/>
      <c r="F1395" s="167"/>
      <c r="G1395" s="167"/>
      <c r="H1395" s="167"/>
      <c r="I1395" s="164">
        <f t="shared" ca="1" si="22"/>
        <v>44939</v>
      </c>
      <c r="J1395" s="163">
        <v>0.33333333333333331</v>
      </c>
      <c r="K1395" s="162" t="s">
        <v>749</v>
      </c>
      <c r="L1395" s="166"/>
      <c r="M1395" s="166"/>
      <c r="N1395" s="164"/>
      <c r="O1395" s="166"/>
      <c r="P1395" s="165"/>
    </row>
    <row r="1396" spans="1:16" ht="15" hidden="1" customHeight="1" x14ac:dyDescent="0.25">
      <c r="A1396" s="168"/>
      <c r="B1396" s="167"/>
      <c r="C1396" s="168"/>
      <c r="D1396" s="167"/>
      <c r="E1396" s="167"/>
      <c r="F1396" s="167"/>
      <c r="G1396" s="167"/>
      <c r="H1396" s="167"/>
      <c r="I1396" s="164">
        <f t="shared" ca="1" si="22"/>
        <v>44939</v>
      </c>
      <c r="J1396" s="163">
        <v>0.33333333333333331</v>
      </c>
      <c r="K1396" s="162" t="s">
        <v>749</v>
      </c>
      <c r="L1396" s="166"/>
      <c r="M1396" s="166"/>
      <c r="N1396" s="164"/>
      <c r="O1396" s="166"/>
      <c r="P1396" s="165"/>
    </row>
    <row r="1397" spans="1:16" ht="15" hidden="1" customHeight="1" x14ac:dyDescent="0.25">
      <c r="A1397" s="168"/>
      <c r="B1397" s="167"/>
      <c r="C1397" s="168"/>
      <c r="D1397" s="167"/>
      <c r="E1397" s="167"/>
      <c r="F1397" s="167"/>
      <c r="G1397" s="167"/>
      <c r="H1397" s="167"/>
      <c r="I1397" s="164">
        <f t="shared" ca="1" si="22"/>
        <v>44939</v>
      </c>
      <c r="J1397" s="163">
        <v>0.33333333333333331</v>
      </c>
      <c r="K1397" s="162" t="s">
        <v>749</v>
      </c>
      <c r="L1397" s="166"/>
      <c r="M1397" s="166"/>
      <c r="N1397" s="164"/>
      <c r="O1397" s="166"/>
      <c r="P1397" s="165"/>
    </row>
    <row r="1398" spans="1:16" ht="15" hidden="1" customHeight="1" x14ac:dyDescent="0.25">
      <c r="A1398" s="168"/>
      <c r="B1398" s="167"/>
      <c r="C1398" s="168"/>
      <c r="D1398" s="167"/>
      <c r="E1398" s="167"/>
      <c r="F1398" s="167"/>
      <c r="G1398" s="167"/>
      <c r="H1398" s="167"/>
      <c r="I1398" s="164">
        <f t="shared" ca="1" si="22"/>
        <v>44939</v>
      </c>
      <c r="J1398" s="163">
        <v>0.33333333333333331</v>
      </c>
      <c r="K1398" s="162" t="s">
        <v>749</v>
      </c>
      <c r="L1398" s="166"/>
      <c r="M1398" s="166"/>
      <c r="N1398" s="164"/>
      <c r="O1398" s="166"/>
      <c r="P1398" s="165"/>
    </row>
    <row r="1399" spans="1:16" ht="15" hidden="1" customHeight="1" x14ac:dyDescent="0.25">
      <c r="A1399" s="168"/>
      <c r="B1399" s="167"/>
      <c r="C1399" s="168"/>
      <c r="D1399" s="167"/>
      <c r="E1399" s="167"/>
      <c r="F1399" s="167"/>
      <c r="G1399" s="167"/>
      <c r="H1399" s="167"/>
      <c r="I1399" s="164">
        <f t="shared" ca="1" si="22"/>
        <v>44939</v>
      </c>
      <c r="J1399" s="163">
        <v>0.33333333333333331</v>
      </c>
      <c r="K1399" s="162" t="s">
        <v>749</v>
      </c>
      <c r="L1399" s="166"/>
      <c r="M1399" s="166"/>
      <c r="N1399" s="164"/>
      <c r="O1399" s="166"/>
      <c r="P1399" s="165"/>
    </row>
    <row r="1400" spans="1:16" ht="15" hidden="1" customHeight="1" x14ac:dyDescent="0.25">
      <c r="A1400" s="168"/>
      <c r="B1400" s="167"/>
      <c r="C1400" s="168"/>
      <c r="D1400" s="167"/>
      <c r="E1400" s="167"/>
      <c r="F1400" s="167"/>
      <c r="G1400" s="167"/>
      <c r="H1400" s="167"/>
      <c r="I1400" s="164">
        <f t="shared" ca="1" si="22"/>
        <v>44939</v>
      </c>
      <c r="J1400" s="163">
        <v>0.33333333333333331</v>
      </c>
      <c r="K1400" s="162" t="s">
        <v>749</v>
      </c>
      <c r="L1400" s="166"/>
      <c r="M1400" s="166"/>
      <c r="N1400" s="164"/>
      <c r="O1400" s="166"/>
      <c r="P1400" s="165"/>
    </row>
    <row r="1401" spans="1:16" ht="15" hidden="1" customHeight="1" x14ac:dyDescent="0.25">
      <c r="A1401" s="168"/>
      <c r="B1401" s="167"/>
      <c r="C1401" s="168"/>
      <c r="D1401" s="167"/>
      <c r="E1401" s="167"/>
      <c r="F1401" s="167"/>
      <c r="G1401" s="167"/>
      <c r="H1401" s="167"/>
      <c r="I1401" s="164">
        <f t="shared" ca="1" si="22"/>
        <v>44939</v>
      </c>
      <c r="J1401" s="163">
        <v>0.33333333333333331</v>
      </c>
      <c r="K1401" s="162" t="s">
        <v>749</v>
      </c>
      <c r="L1401" s="166"/>
      <c r="M1401" s="166"/>
      <c r="N1401" s="164"/>
      <c r="O1401" s="166"/>
      <c r="P1401" s="165"/>
    </row>
    <row r="1402" spans="1:16" ht="15" hidden="1" customHeight="1" x14ac:dyDescent="0.25">
      <c r="A1402" s="168"/>
      <c r="B1402" s="167"/>
      <c r="C1402" s="168"/>
      <c r="D1402" s="167"/>
      <c r="E1402" s="167"/>
      <c r="F1402" s="167"/>
      <c r="G1402" s="167"/>
      <c r="H1402" s="167"/>
      <c r="I1402" s="164">
        <f t="shared" ca="1" si="22"/>
        <v>44939</v>
      </c>
      <c r="J1402" s="163">
        <v>0.33333333333333331</v>
      </c>
      <c r="K1402" s="162" t="s">
        <v>749</v>
      </c>
      <c r="L1402" s="166"/>
      <c r="M1402" s="166"/>
      <c r="N1402" s="164"/>
      <c r="O1402" s="166"/>
      <c r="P1402" s="165"/>
    </row>
    <row r="1403" spans="1:16" ht="15" hidden="1" customHeight="1" x14ac:dyDescent="0.25">
      <c r="A1403" s="168"/>
      <c r="B1403" s="167"/>
      <c r="C1403" s="168"/>
      <c r="D1403" s="167"/>
      <c r="E1403" s="167"/>
      <c r="F1403" s="167"/>
      <c r="G1403" s="167"/>
      <c r="H1403" s="167"/>
      <c r="I1403" s="164">
        <f t="shared" ca="1" si="22"/>
        <v>44939</v>
      </c>
      <c r="J1403" s="163">
        <v>0.33333333333333331</v>
      </c>
      <c r="K1403" s="162" t="s">
        <v>749</v>
      </c>
      <c r="L1403" s="166"/>
      <c r="M1403" s="166"/>
      <c r="N1403" s="164"/>
      <c r="O1403" s="166"/>
      <c r="P1403" s="165"/>
    </row>
    <row r="1404" spans="1:16" ht="15" hidden="1" customHeight="1" x14ac:dyDescent="0.25">
      <c r="A1404" s="168"/>
      <c r="B1404" s="167"/>
      <c r="C1404" s="168"/>
      <c r="D1404" s="167"/>
      <c r="E1404" s="167"/>
      <c r="F1404" s="167"/>
      <c r="G1404" s="167"/>
      <c r="H1404" s="167"/>
      <c r="I1404" s="164">
        <f t="shared" ca="1" si="22"/>
        <v>44939</v>
      </c>
      <c r="J1404" s="163">
        <v>0.33333333333333331</v>
      </c>
      <c r="K1404" s="162" t="s">
        <v>749</v>
      </c>
      <c r="L1404" s="166"/>
      <c r="M1404" s="166"/>
      <c r="N1404" s="164"/>
      <c r="O1404" s="166"/>
      <c r="P1404" s="165"/>
    </row>
    <row r="1405" spans="1:16" ht="15" hidden="1" customHeight="1" x14ac:dyDescent="0.25">
      <c r="A1405" s="168"/>
      <c r="B1405" s="167"/>
      <c r="C1405" s="168"/>
      <c r="D1405" s="167"/>
      <c r="E1405" s="167"/>
      <c r="F1405" s="167"/>
      <c r="G1405" s="167"/>
      <c r="H1405" s="167"/>
      <c r="I1405" s="164">
        <f t="shared" ca="1" si="22"/>
        <v>44939</v>
      </c>
      <c r="J1405" s="163">
        <v>0.33333333333333331</v>
      </c>
      <c r="K1405" s="162" t="s">
        <v>749</v>
      </c>
      <c r="L1405" s="166"/>
      <c r="M1405" s="166"/>
      <c r="N1405" s="164"/>
      <c r="O1405" s="166"/>
      <c r="P1405" s="165"/>
    </row>
    <row r="1406" spans="1:16" ht="15" hidden="1" customHeight="1" x14ac:dyDescent="0.25">
      <c r="A1406" s="168"/>
      <c r="B1406" s="167"/>
      <c r="C1406" s="168"/>
      <c r="D1406" s="167"/>
      <c r="E1406" s="167"/>
      <c r="F1406" s="167"/>
      <c r="G1406" s="167"/>
      <c r="H1406" s="167"/>
      <c r="I1406" s="164">
        <f t="shared" ca="1" si="22"/>
        <v>44939</v>
      </c>
      <c r="J1406" s="163">
        <v>0.33333333333333331</v>
      </c>
      <c r="K1406" s="162" t="s">
        <v>749</v>
      </c>
      <c r="L1406" s="166"/>
      <c r="M1406" s="166"/>
      <c r="N1406" s="164"/>
      <c r="O1406" s="166"/>
      <c r="P1406" s="165"/>
    </row>
    <row r="1407" spans="1:16" ht="15" hidden="1" customHeight="1" x14ac:dyDescent="0.25">
      <c r="A1407" s="168"/>
      <c r="B1407" s="167"/>
      <c r="C1407" s="168"/>
      <c r="D1407" s="167"/>
      <c r="E1407" s="167"/>
      <c r="F1407" s="167"/>
      <c r="G1407" s="167"/>
      <c r="H1407" s="167"/>
      <c r="I1407" s="164">
        <f t="shared" ca="1" si="22"/>
        <v>44939</v>
      </c>
      <c r="J1407" s="163">
        <v>0.33333333333333331</v>
      </c>
      <c r="K1407" s="162" t="s">
        <v>749</v>
      </c>
      <c r="L1407" s="166"/>
      <c r="M1407" s="166"/>
      <c r="N1407" s="164"/>
      <c r="O1407" s="166"/>
      <c r="P1407" s="165"/>
    </row>
    <row r="1408" spans="1:16" ht="15" hidden="1" customHeight="1" x14ac:dyDescent="0.25">
      <c r="A1408" s="168"/>
      <c r="B1408" s="167"/>
      <c r="C1408" s="168"/>
      <c r="D1408" s="167"/>
      <c r="E1408" s="167"/>
      <c r="F1408" s="167"/>
      <c r="G1408" s="167"/>
      <c r="H1408" s="167"/>
      <c r="I1408" s="164">
        <f t="shared" ca="1" si="22"/>
        <v>44939</v>
      </c>
      <c r="J1408" s="163">
        <v>0.33333333333333331</v>
      </c>
      <c r="K1408" s="162" t="s">
        <v>749</v>
      </c>
      <c r="L1408" s="166"/>
      <c r="M1408" s="166"/>
      <c r="N1408" s="164"/>
      <c r="O1408" s="166"/>
      <c r="P1408" s="165"/>
    </row>
    <row r="1409" spans="1:16" ht="15" hidden="1" customHeight="1" x14ac:dyDescent="0.25">
      <c r="A1409" s="168"/>
      <c r="B1409" s="167"/>
      <c r="C1409" s="168"/>
      <c r="D1409" s="167"/>
      <c r="E1409" s="167"/>
      <c r="F1409" s="167"/>
      <c r="G1409" s="167"/>
      <c r="H1409" s="167"/>
      <c r="I1409" s="164">
        <f t="shared" ca="1" si="22"/>
        <v>44939</v>
      </c>
      <c r="J1409" s="163">
        <v>0.33333333333333331</v>
      </c>
      <c r="K1409" s="162" t="s">
        <v>749</v>
      </c>
      <c r="L1409" s="166"/>
      <c r="M1409" s="166"/>
      <c r="N1409" s="164"/>
      <c r="O1409" s="166"/>
      <c r="P1409" s="165"/>
    </row>
    <row r="1410" spans="1:16" ht="15" hidden="1" customHeight="1" x14ac:dyDescent="0.25">
      <c r="A1410" s="168"/>
      <c r="B1410" s="167"/>
      <c r="C1410" s="168"/>
      <c r="D1410" s="167"/>
      <c r="E1410" s="167"/>
      <c r="F1410" s="167"/>
      <c r="G1410" s="167"/>
      <c r="H1410" s="167"/>
      <c r="I1410" s="164">
        <f t="shared" ca="1" si="22"/>
        <v>44939</v>
      </c>
      <c r="J1410" s="163">
        <v>0.33333333333333331</v>
      </c>
      <c r="K1410" s="162" t="s">
        <v>749</v>
      </c>
      <c r="L1410" s="166"/>
      <c r="M1410" s="166"/>
      <c r="N1410" s="164"/>
      <c r="O1410" s="166"/>
      <c r="P1410" s="165"/>
    </row>
    <row r="1411" spans="1:16" ht="15" hidden="1" customHeight="1" x14ac:dyDescent="0.25">
      <c r="A1411" s="168"/>
      <c r="B1411" s="167"/>
      <c r="C1411" s="168"/>
      <c r="D1411" s="167"/>
      <c r="E1411" s="167"/>
      <c r="F1411" s="167"/>
      <c r="G1411" s="167"/>
      <c r="H1411" s="167"/>
      <c r="I1411" s="164">
        <f t="shared" ca="1" si="22"/>
        <v>44939</v>
      </c>
      <c r="J1411" s="163">
        <v>0.33333333333333331</v>
      </c>
      <c r="K1411" s="162" t="s">
        <v>749</v>
      </c>
      <c r="L1411" s="166"/>
      <c r="M1411" s="166"/>
      <c r="N1411" s="164"/>
      <c r="O1411" s="166"/>
      <c r="P1411" s="165"/>
    </row>
    <row r="1412" spans="1:16" ht="15" hidden="1" customHeight="1" x14ac:dyDescent="0.25">
      <c r="A1412" s="168"/>
      <c r="B1412" s="167"/>
      <c r="C1412" s="168"/>
      <c r="D1412" s="167"/>
      <c r="E1412" s="167"/>
      <c r="F1412" s="167"/>
      <c r="G1412" s="167"/>
      <c r="H1412" s="167"/>
      <c r="I1412" s="164">
        <f t="shared" ca="1" si="22"/>
        <v>44939</v>
      </c>
      <c r="J1412" s="163">
        <v>0.33333333333333331</v>
      </c>
      <c r="K1412" s="162" t="s">
        <v>749</v>
      </c>
      <c r="L1412" s="166"/>
      <c r="M1412" s="166"/>
      <c r="N1412" s="164"/>
      <c r="O1412" s="166"/>
      <c r="P1412" s="165"/>
    </row>
    <row r="1413" spans="1:16" ht="15" hidden="1" customHeight="1" x14ac:dyDescent="0.25">
      <c r="A1413" s="168"/>
      <c r="B1413" s="167"/>
      <c r="C1413" s="168"/>
      <c r="D1413" s="167"/>
      <c r="E1413" s="167"/>
      <c r="F1413" s="167"/>
      <c r="G1413" s="167"/>
      <c r="H1413" s="167"/>
      <c r="I1413" s="164">
        <f t="shared" ca="1" si="22"/>
        <v>44939</v>
      </c>
      <c r="J1413" s="163">
        <v>0.33333333333333331</v>
      </c>
      <c r="K1413" s="162" t="s">
        <v>749</v>
      </c>
      <c r="L1413" s="166"/>
      <c r="M1413" s="166"/>
      <c r="N1413" s="164"/>
      <c r="O1413" s="166"/>
      <c r="P1413" s="165"/>
    </row>
    <row r="1414" spans="1:16" ht="15" hidden="1" customHeight="1" x14ac:dyDescent="0.25">
      <c r="A1414" s="168"/>
      <c r="B1414" s="167"/>
      <c r="C1414" s="168"/>
      <c r="D1414" s="167"/>
      <c r="E1414" s="167"/>
      <c r="F1414" s="167"/>
      <c r="G1414" s="167"/>
      <c r="H1414" s="167"/>
      <c r="I1414" s="164">
        <f t="shared" ca="1" si="22"/>
        <v>44939</v>
      </c>
      <c r="J1414" s="163">
        <v>0.33333333333333331</v>
      </c>
      <c r="K1414" s="162" t="s">
        <v>749</v>
      </c>
      <c r="L1414" s="166"/>
      <c r="M1414" s="166"/>
      <c r="N1414" s="164"/>
      <c r="O1414" s="166"/>
      <c r="P1414" s="165"/>
    </row>
    <row r="1415" spans="1:16" ht="15" hidden="1" customHeight="1" x14ac:dyDescent="0.25">
      <c r="A1415" s="168"/>
      <c r="B1415" s="167"/>
      <c r="C1415" s="168"/>
      <c r="D1415" s="167"/>
      <c r="E1415" s="167"/>
      <c r="F1415" s="167"/>
      <c r="G1415" s="167"/>
      <c r="H1415" s="167"/>
      <c r="I1415" s="164">
        <f t="shared" ca="1" si="22"/>
        <v>44939</v>
      </c>
      <c r="J1415" s="163">
        <v>0.33333333333333331</v>
      </c>
      <c r="K1415" s="162" t="s">
        <v>749</v>
      </c>
      <c r="L1415" s="166"/>
      <c r="M1415" s="166"/>
      <c r="N1415" s="164"/>
      <c r="O1415" s="166"/>
      <c r="P1415" s="165"/>
    </row>
    <row r="1416" spans="1:16" ht="15" hidden="1" customHeight="1" x14ac:dyDescent="0.25">
      <c r="A1416" s="168"/>
      <c r="B1416" s="167"/>
      <c r="C1416" s="168"/>
      <c r="D1416" s="167"/>
      <c r="E1416" s="167"/>
      <c r="F1416" s="167"/>
      <c r="G1416" s="167"/>
      <c r="H1416" s="167"/>
      <c r="I1416" s="164">
        <f t="shared" ca="1" si="22"/>
        <v>44939</v>
      </c>
      <c r="J1416" s="163">
        <v>0.33333333333333331</v>
      </c>
      <c r="K1416" s="162" t="s">
        <v>749</v>
      </c>
      <c r="L1416" s="166"/>
      <c r="M1416" s="166"/>
      <c r="N1416" s="164"/>
      <c r="O1416" s="166"/>
      <c r="P1416" s="165"/>
    </row>
    <row r="1417" spans="1:16" ht="15" hidden="1" customHeight="1" x14ac:dyDescent="0.25">
      <c r="A1417" s="168"/>
      <c r="B1417" s="167"/>
      <c r="C1417" s="168"/>
      <c r="D1417" s="167"/>
      <c r="E1417" s="167"/>
      <c r="F1417" s="167"/>
      <c r="G1417" s="167"/>
      <c r="H1417" s="167"/>
      <c r="I1417" s="164">
        <f t="shared" ca="1" si="22"/>
        <v>44939</v>
      </c>
      <c r="J1417" s="163">
        <v>0.33333333333333331</v>
      </c>
      <c r="K1417" s="162" t="s">
        <v>749</v>
      </c>
      <c r="L1417" s="166"/>
      <c r="M1417" s="166"/>
      <c r="N1417" s="164"/>
      <c r="O1417" s="166"/>
      <c r="P1417" s="165"/>
    </row>
    <row r="1418" spans="1:16" ht="15" hidden="1" customHeight="1" x14ac:dyDescent="0.25">
      <c r="A1418" s="168"/>
      <c r="B1418" s="167"/>
      <c r="C1418" s="168"/>
      <c r="D1418" s="167"/>
      <c r="E1418" s="167"/>
      <c r="F1418" s="167"/>
      <c r="G1418" s="167"/>
      <c r="H1418" s="167"/>
      <c r="I1418" s="164">
        <f t="shared" ca="1" si="22"/>
        <v>44939</v>
      </c>
      <c r="J1418" s="163">
        <v>0.33333333333333331</v>
      </c>
      <c r="K1418" s="162" t="s">
        <v>749</v>
      </c>
      <c r="L1418" s="166"/>
      <c r="M1418" s="166"/>
      <c r="N1418" s="164"/>
      <c r="O1418" s="166"/>
      <c r="P1418" s="165"/>
    </row>
    <row r="1419" spans="1:16" ht="15" hidden="1" customHeight="1" x14ac:dyDescent="0.25">
      <c r="A1419" s="168"/>
      <c r="B1419" s="167"/>
      <c r="C1419" s="168"/>
      <c r="D1419" s="167"/>
      <c r="E1419" s="167"/>
      <c r="F1419" s="167"/>
      <c r="G1419" s="167"/>
      <c r="H1419" s="167"/>
      <c r="I1419" s="164">
        <f t="shared" ca="1" si="22"/>
        <v>44939</v>
      </c>
      <c r="J1419" s="163">
        <v>0.33333333333333331</v>
      </c>
      <c r="K1419" s="162" t="s">
        <v>749</v>
      </c>
      <c r="L1419" s="166"/>
      <c r="M1419" s="166"/>
      <c r="N1419" s="164"/>
      <c r="O1419" s="166"/>
      <c r="P1419" s="165"/>
    </row>
    <row r="1420" spans="1:16" ht="15" hidden="1" customHeight="1" x14ac:dyDescent="0.25">
      <c r="A1420" s="168"/>
      <c r="B1420" s="167"/>
      <c r="C1420" s="168"/>
      <c r="D1420" s="167"/>
      <c r="E1420" s="167"/>
      <c r="F1420" s="167"/>
      <c r="G1420" s="167"/>
      <c r="H1420" s="167"/>
      <c r="I1420" s="164">
        <f t="shared" ca="1" si="22"/>
        <v>44939</v>
      </c>
      <c r="J1420" s="163">
        <v>0.33333333333333331</v>
      </c>
      <c r="K1420" s="162" t="s">
        <v>749</v>
      </c>
      <c r="L1420" s="166"/>
      <c r="M1420" s="166"/>
      <c r="N1420" s="164"/>
      <c r="O1420" s="166"/>
      <c r="P1420" s="165"/>
    </row>
    <row r="1421" spans="1:16" ht="15" hidden="1" customHeight="1" x14ac:dyDescent="0.25">
      <c r="A1421" s="168"/>
      <c r="B1421" s="167"/>
      <c r="C1421" s="168"/>
      <c r="D1421" s="167"/>
      <c r="E1421" s="167"/>
      <c r="F1421" s="167"/>
      <c r="G1421" s="167"/>
      <c r="H1421" s="167"/>
      <c r="I1421" s="164">
        <f t="shared" ca="1" si="22"/>
        <v>44939</v>
      </c>
      <c r="J1421" s="163">
        <v>0.33333333333333331</v>
      </c>
      <c r="K1421" s="162" t="s">
        <v>749</v>
      </c>
      <c r="L1421" s="166"/>
      <c r="M1421" s="166"/>
      <c r="N1421" s="164"/>
      <c r="O1421" s="166"/>
      <c r="P1421" s="165"/>
    </row>
    <row r="1422" spans="1:16" ht="15" hidden="1" customHeight="1" x14ac:dyDescent="0.25">
      <c r="A1422" s="168"/>
      <c r="B1422" s="167"/>
      <c r="C1422" s="168"/>
      <c r="D1422" s="167"/>
      <c r="E1422" s="167"/>
      <c r="F1422" s="167"/>
      <c r="G1422" s="167"/>
      <c r="H1422" s="167"/>
      <c r="I1422" s="164">
        <f t="shared" ca="1" si="22"/>
        <v>44939</v>
      </c>
      <c r="J1422" s="163">
        <v>0.33333333333333331</v>
      </c>
      <c r="K1422" s="162" t="s">
        <v>749</v>
      </c>
      <c r="L1422" s="166"/>
      <c r="M1422" s="166"/>
      <c r="N1422" s="164"/>
      <c r="O1422" s="166"/>
      <c r="P1422" s="165"/>
    </row>
    <row r="1423" spans="1:16" ht="15" hidden="1" customHeight="1" x14ac:dyDescent="0.25">
      <c r="A1423" s="168"/>
      <c r="B1423" s="167"/>
      <c r="C1423" s="168"/>
      <c r="D1423" s="167"/>
      <c r="E1423" s="167"/>
      <c r="F1423" s="167"/>
      <c r="G1423" s="167"/>
      <c r="H1423" s="167"/>
      <c r="I1423" s="164">
        <f t="shared" ca="1" si="22"/>
        <v>44939</v>
      </c>
      <c r="J1423" s="163">
        <v>0.33333333333333331</v>
      </c>
      <c r="K1423" s="162" t="s">
        <v>749</v>
      </c>
      <c r="L1423" s="166"/>
      <c r="M1423" s="166"/>
      <c r="N1423" s="164"/>
      <c r="O1423" s="166"/>
      <c r="P1423" s="165"/>
    </row>
    <row r="1424" spans="1:16" ht="15" hidden="1" customHeight="1" x14ac:dyDescent="0.25">
      <c r="A1424" s="168"/>
      <c r="B1424" s="167"/>
      <c r="C1424" s="168"/>
      <c r="D1424" s="167"/>
      <c r="E1424" s="167"/>
      <c r="F1424" s="167"/>
      <c r="G1424" s="167"/>
      <c r="H1424" s="167"/>
      <c r="I1424" s="164">
        <f t="shared" ca="1" si="22"/>
        <v>44939</v>
      </c>
      <c r="J1424" s="163">
        <v>0.33333333333333331</v>
      </c>
      <c r="K1424" s="162" t="s">
        <v>749</v>
      </c>
      <c r="L1424" s="166"/>
      <c r="M1424" s="166"/>
      <c r="N1424" s="164"/>
      <c r="O1424" s="166"/>
      <c r="P1424" s="165"/>
    </row>
    <row r="1425" spans="1:16" ht="15" hidden="1" customHeight="1" x14ac:dyDescent="0.25">
      <c r="A1425" s="168"/>
      <c r="B1425" s="167"/>
      <c r="C1425" s="168"/>
      <c r="D1425" s="167"/>
      <c r="E1425" s="167"/>
      <c r="F1425" s="167"/>
      <c r="G1425" s="167"/>
      <c r="H1425" s="167"/>
      <c r="I1425" s="164">
        <f t="shared" ca="1" si="22"/>
        <v>44939</v>
      </c>
      <c r="J1425" s="163">
        <v>0.33333333333333331</v>
      </c>
      <c r="K1425" s="162" t="s">
        <v>749</v>
      </c>
      <c r="L1425" s="166"/>
      <c r="M1425" s="166"/>
      <c r="N1425" s="164"/>
      <c r="O1425" s="166"/>
      <c r="P1425" s="165"/>
    </row>
    <row r="1426" spans="1:16" ht="15" hidden="1" customHeight="1" x14ac:dyDescent="0.25">
      <c r="A1426" s="168"/>
      <c r="B1426" s="167"/>
      <c r="C1426" s="168"/>
      <c r="D1426" s="167"/>
      <c r="E1426" s="167"/>
      <c r="F1426" s="167"/>
      <c r="G1426" s="167"/>
      <c r="H1426" s="167"/>
      <c r="I1426" s="164">
        <f t="shared" ca="1" si="22"/>
        <v>44939</v>
      </c>
      <c r="J1426" s="163">
        <v>0.33333333333333331</v>
      </c>
      <c r="K1426" s="162" t="s">
        <v>749</v>
      </c>
      <c r="L1426" s="166"/>
      <c r="M1426" s="166"/>
      <c r="N1426" s="164"/>
      <c r="O1426" s="166"/>
      <c r="P1426" s="165"/>
    </row>
    <row r="1427" spans="1:16" ht="15" hidden="1" customHeight="1" x14ac:dyDescent="0.25">
      <c r="A1427" s="168"/>
      <c r="B1427" s="167"/>
      <c r="C1427" s="168"/>
      <c r="D1427" s="167"/>
      <c r="E1427" s="167"/>
      <c r="F1427" s="167"/>
      <c r="G1427" s="167"/>
      <c r="H1427" s="167"/>
      <c r="I1427" s="164">
        <f t="shared" ca="1" si="22"/>
        <v>44939</v>
      </c>
      <c r="J1427" s="163">
        <v>0.33333333333333331</v>
      </c>
      <c r="K1427" s="162" t="s">
        <v>749</v>
      </c>
      <c r="L1427" s="166"/>
      <c r="M1427" s="166"/>
      <c r="N1427" s="164"/>
      <c r="O1427" s="166"/>
      <c r="P1427" s="165"/>
    </row>
    <row r="1428" spans="1:16" ht="15" hidden="1" customHeight="1" x14ac:dyDescent="0.25">
      <c r="A1428" s="168"/>
      <c r="B1428" s="167"/>
      <c r="C1428" s="168"/>
      <c r="D1428" s="167"/>
      <c r="E1428" s="167"/>
      <c r="F1428" s="167"/>
      <c r="G1428" s="167"/>
      <c r="H1428" s="167"/>
      <c r="I1428" s="164">
        <f t="shared" ca="1" si="22"/>
        <v>44939</v>
      </c>
      <c r="J1428" s="163">
        <v>0.33333333333333331</v>
      </c>
      <c r="K1428" s="162" t="s">
        <v>749</v>
      </c>
      <c r="L1428" s="166"/>
      <c r="M1428" s="166"/>
      <c r="N1428" s="164"/>
      <c r="O1428" s="166"/>
      <c r="P1428" s="165"/>
    </row>
    <row r="1429" spans="1:16" ht="15" hidden="1" customHeight="1" x14ac:dyDescent="0.25">
      <c r="A1429" s="168"/>
      <c r="B1429" s="167"/>
      <c r="C1429" s="168"/>
      <c r="D1429" s="167"/>
      <c r="E1429" s="167"/>
      <c r="F1429" s="167"/>
      <c r="G1429" s="167"/>
      <c r="H1429" s="167"/>
      <c r="I1429" s="164">
        <f t="shared" ca="1" si="22"/>
        <v>44939</v>
      </c>
      <c r="J1429" s="163">
        <v>0.33333333333333331</v>
      </c>
      <c r="K1429" s="162" t="s">
        <v>749</v>
      </c>
      <c r="L1429" s="166"/>
      <c r="M1429" s="166"/>
      <c r="N1429" s="164"/>
      <c r="O1429" s="166"/>
      <c r="P1429" s="165"/>
    </row>
    <row r="1430" spans="1:16" ht="15" hidden="1" customHeight="1" x14ac:dyDescent="0.25">
      <c r="A1430" s="168"/>
      <c r="B1430" s="167"/>
      <c r="C1430" s="168"/>
      <c r="D1430" s="167"/>
      <c r="E1430" s="167"/>
      <c r="F1430" s="167"/>
      <c r="G1430" s="167"/>
      <c r="H1430" s="167"/>
      <c r="I1430" s="164">
        <f t="shared" ca="1" si="22"/>
        <v>44939</v>
      </c>
      <c r="J1430" s="163">
        <v>0.33333333333333331</v>
      </c>
      <c r="K1430" s="162" t="s">
        <v>749</v>
      </c>
      <c r="L1430" s="166"/>
      <c r="M1430" s="166"/>
      <c r="N1430" s="164"/>
      <c r="O1430" s="166"/>
      <c r="P1430" s="165"/>
    </row>
    <row r="1431" spans="1:16" ht="15" hidden="1" customHeight="1" x14ac:dyDescent="0.25">
      <c r="A1431" s="168"/>
      <c r="B1431" s="167"/>
      <c r="C1431" s="168"/>
      <c r="D1431" s="167"/>
      <c r="E1431" s="167"/>
      <c r="F1431" s="167"/>
      <c r="G1431" s="167"/>
      <c r="H1431" s="167"/>
      <c r="I1431" s="164">
        <f t="shared" ca="1" si="22"/>
        <v>44939</v>
      </c>
      <c r="J1431" s="163">
        <v>0.33333333333333331</v>
      </c>
      <c r="K1431" s="162" t="s">
        <v>749</v>
      </c>
      <c r="L1431" s="166"/>
      <c r="M1431" s="166"/>
      <c r="N1431" s="164"/>
      <c r="O1431" s="166"/>
      <c r="P1431" s="165"/>
    </row>
    <row r="1432" spans="1:16" ht="15" hidden="1" customHeight="1" x14ac:dyDescent="0.25">
      <c r="A1432" s="168"/>
      <c r="B1432" s="167"/>
      <c r="C1432" s="168"/>
      <c r="D1432" s="167"/>
      <c r="E1432" s="167"/>
      <c r="F1432" s="167"/>
      <c r="G1432" s="167"/>
      <c r="H1432" s="167"/>
      <c r="I1432" s="164">
        <f t="shared" ref="I1432:I1495" ca="1" si="23">TODAY()</f>
        <v>44939</v>
      </c>
      <c r="J1432" s="163">
        <v>0.33333333333333331</v>
      </c>
      <c r="K1432" s="162" t="s">
        <v>749</v>
      </c>
      <c r="L1432" s="166"/>
      <c r="M1432" s="166"/>
      <c r="N1432" s="164"/>
      <c r="O1432" s="166"/>
      <c r="P1432" s="165"/>
    </row>
    <row r="1433" spans="1:16" ht="15" hidden="1" customHeight="1" x14ac:dyDescent="0.25">
      <c r="A1433" s="168"/>
      <c r="B1433" s="167"/>
      <c r="C1433" s="168"/>
      <c r="D1433" s="167"/>
      <c r="E1433" s="167"/>
      <c r="F1433" s="167"/>
      <c r="G1433" s="167"/>
      <c r="H1433" s="167"/>
      <c r="I1433" s="164">
        <f t="shared" ca="1" si="23"/>
        <v>44939</v>
      </c>
      <c r="J1433" s="163">
        <v>0.33333333333333331</v>
      </c>
      <c r="K1433" s="162" t="s">
        <v>749</v>
      </c>
      <c r="L1433" s="166"/>
      <c r="M1433" s="166"/>
      <c r="N1433" s="164"/>
      <c r="O1433" s="166"/>
      <c r="P1433" s="165"/>
    </row>
    <row r="1434" spans="1:16" ht="15" hidden="1" customHeight="1" x14ac:dyDescent="0.25">
      <c r="A1434" s="168"/>
      <c r="B1434" s="167"/>
      <c r="C1434" s="168"/>
      <c r="D1434" s="167"/>
      <c r="E1434" s="167"/>
      <c r="F1434" s="167"/>
      <c r="G1434" s="167"/>
      <c r="H1434" s="167"/>
      <c r="I1434" s="164">
        <f t="shared" ca="1" si="23"/>
        <v>44939</v>
      </c>
      <c r="J1434" s="163">
        <v>0.33333333333333331</v>
      </c>
      <c r="K1434" s="162" t="s">
        <v>749</v>
      </c>
      <c r="L1434" s="166"/>
      <c r="M1434" s="166"/>
      <c r="N1434" s="164"/>
      <c r="O1434" s="166"/>
      <c r="P1434" s="165"/>
    </row>
    <row r="1435" spans="1:16" ht="15" hidden="1" customHeight="1" x14ac:dyDescent="0.25">
      <c r="A1435" s="168"/>
      <c r="B1435" s="167"/>
      <c r="C1435" s="168"/>
      <c r="D1435" s="167"/>
      <c r="E1435" s="167"/>
      <c r="F1435" s="167"/>
      <c r="G1435" s="167"/>
      <c r="H1435" s="167"/>
      <c r="I1435" s="164">
        <f t="shared" ca="1" si="23"/>
        <v>44939</v>
      </c>
      <c r="J1435" s="163">
        <v>0.33333333333333331</v>
      </c>
      <c r="K1435" s="162" t="s">
        <v>749</v>
      </c>
      <c r="L1435" s="166"/>
      <c r="M1435" s="166"/>
      <c r="N1435" s="164"/>
      <c r="O1435" s="166"/>
      <c r="P1435" s="165"/>
    </row>
    <row r="1436" spans="1:16" ht="15" hidden="1" customHeight="1" x14ac:dyDescent="0.25">
      <c r="A1436" s="168"/>
      <c r="B1436" s="167"/>
      <c r="C1436" s="168"/>
      <c r="D1436" s="167"/>
      <c r="E1436" s="167"/>
      <c r="F1436" s="167"/>
      <c r="G1436" s="167"/>
      <c r="H1436" s="167"/>
      <c r="I1436" s="164">
        <f t="shared" ca="1" si="23"/>
        <v>44939</v>
      </c>
      <c r="J1436" s="163">
        <v>0.33333333333333331</v>
      </c>
      <c r="K1436" s="162" t="s">
        <v>749</v>
      </c>
      <c r="L1436" s="166"/>
      <c r="M1436" s="166"/>
      <c r="N1436" s="164"/>
      <c r="O1436" s="166"/>
      <c r="P1436" s="165"/>
    </row>
    <row r="1437" spans="1:16" ht="15" hidden="1" customHeight="1" x14ac:dyDescent="0.25">
      <c r="A1437" s="168"/>
      <c r="B1437" s="167"/>
      <c r="C1437" s="168"/>
      <c r="D1437" s="167"/>
      <c r="E1437" s="167"/>
      <c r="F1437" s="167"/>
      <c r="G1437" s="167"/>
      <c r="H1437" s="167"/>
      <c r="I1437" s="164">
        <f t="shared" ca="1" si="23"/>
        <v>44939</v>
      </c>
      <c r="J1437" s="163">
        <v>0.33333333333333331</v>
      </c>
      <c r="K1437" s="162" t="s">
        <v>749</v>
      </c>
      <c r="L1437" s="166"/>
      <c r="M1437" s="166"/>
      <c r="N1437" s="164"/>
      <c r="O1437" s="166"/>
      <c r="P1437" s="165"/>
    </row>
    <row r="1438" spans="1:16" ht="15" hidden="1" customHeight="1" x14ac:dyDescent="0.25">
      <c r="A1438" s="168"/>
      <c r="B1438" s="167"/>
      <c r="C1438" s="168"/>
      <c r="D1438" s="167"/>
      <c r="E1438" s="167"/>
      <c r="F1438" s="167"/>
      <c r="G1438" s="167"/>
      <c r="H1438" s="167"/>
      <c r="I1438" s="164">
        <f t="shared" ca="1" si="23"/>
        <v>44939</v>
      </c>
      <c r="J1438" s="163">
        <v>0.33333333333333331</v>
      </c>
      <c r="K1438" s="162" t="s">
        <v>749</v>
      </c>
      <c r="L1438" s="166"/>
      <c r="M1438" s="166"/>
      <c r="N1438" s="164"/>
      <c r="O1438" s="166"/>
      <c r="P1438" s="165"/>
    </row>
    <row r="1439" spans="1:16" ht="15" hidden="1" customHeight="1" x14ac:dyDescent="0.25">
      <c r="A1439" s="168"/>
      <c r="B1439" s="167"/>
      <c r="C1439" s="168"/>
      <c r="D1439" s="167"/>
      <c r="E1439" s="167"/>
      <c r="F1439" s="167"/>
      <c r="G1439" s="167"/>
      <c r="H1439" s="167"/>
      <c r="I1439" s="164">
        <f t="shared" ca="1" si="23"/>
        <v>44939</v>
      </c>
      <c r="J1439" s="163">
        <v>0.33333333333333331</v>
      </c>
      <c r="K1439" s="162" t="s">
        <v>749</v>
      </c>
      <c r="L1439" s="166"/>
      <c r="M1439" s="166"/>
      <c r="N1439" s="164"/>
      <c r="O1439" s="166"/>
      <c r="P1439" s="165"/>
    </row>
    <row r="1440" spans="1:16" ht="15" hidden="1" customHeight="1" x14ac:dyDescent="0.25">
      <c r="A1440" s="168"/>
      <c r="B1440" s="167"/>
      <c r="C1440" s="168"/>
      <c r="D1440" s="167"/>
      <c r="E1440" s="167"/>
      <c r="F1440" s="167"/>
      <c r="G1440" s="167"/>
      <c r="H1440" s="167"/>
      <c r="I1440" s="164">
        <f t="shared" ca="1" si="23"/>
        <v>44939</v>
      </c>
      <c r="J1440" s="163">
        <v>0.33333333333333331</v>
      </c>
      <c r="K1440" s="162" t="s">
        <v>749</v>
      </c>
      <c r="L1440" s="166"/>
      <c r="M1440" s="166"/>
      <c r="N1440" s="164"/>
      <c r="O1440" s="166"/>
      <c r="P1440" s="165"/>
    </row>
    <row r="1441" spans="1:16" ht="15" hidden="1" customHeight="1" x14ac:dyDescent="0.25">
      <c r="A1441" s="168"/>
      <c r="B1441" s="167"/>
      <c r="C1441" s="168"/>
      <c r="D1441" s="167"/>
      <c r="E1441" s="167"/>
      <c r="F1441" s="167"/>
      <c r="G1441" s="167"/>
      <c r="H1441" s="167"/>
      <c r="I1441" s="164">
        <f t="shared" ca="1" si="23"/>
        <v>44939</v>
      </c>
      <c r="J1441" s="163">
        <v>0.33333333333333331</v>
      </c>
      <c r="K1441" s="162" t="s">
        <v>749</v>
      </c>
      <c r="L1441" s="166"/>
      <c r="M1441" s="166"/>
      <c r="N1441" s="164"/>
      <c r="O1441" s="166"/>
      <c r="P1441" s="165"/>
    </row>
    <row r="1442" spans="1:16" ht="15" hidden="1" customHeight="1" x14ac:dyDescent="0.25">
      <c r="A1442" s="168"/>
      <c r="B1442" s="167"/>
      <c r="C1442" s="168"/>
      <c r="D1442" s="167"/>
      <c r="E1442" s="167"/>
      <c r="F1442" s="167"/>
      <c r="G1442" s="167"/>
      <c r="H1442" s="167"/>
      <c r="I1442" s="164">
        <f t="shared" ca="1" si="23"/>
        <v>44939</v>
      </c>
      <c r="J1442" s="163">
        <v>0.33333333333333331</v>
      </c>
      <c r="K1442" s="162" t="s">
        <v>749</v>
      </c>
      <c r="L1442" s="166"/>
      <c r="M1442" s="166"/>
      <c r="N1442" s="164"/>
      <c r="O1442" s="166"/>
      <c r="P1442" s="165"/>
    </row>
    <row r="1443" spans="1:16" ht="15" hidden="1" customHeight="1" x14ac:dyDescent="0.25">
      <c r="A1443" s="168"/>
      <c r="B1443" s="167"/>
      <c r="C1443" s="168"/>
      <c r="D1443" s="167"/>
      <c r="E1443" s="167"/>
      <c r="F1443" s="167"/>
      <c r="G1443" s="167"/>
      <c r="H1443" s="167"/>
      <c r="I1443" s="164">
        <f t="shared" ca="1" si="23"/>
        <v>44939</v>
      </c>
      <c r="J1443" s="163">
        <v>0.33333333333333331</v>
      </c>
      <c r="K1443" s="162" t="s">
        <v>749</v>
      </c>
      <c r="L1443" s="166"/>
      <c r="M1443" s="166"/>
      <c r="N1443" s="164"/>
      <c r="O1443" s="166"/>
      <c r="P1443" s="165"/>
    </row>
    <row r="1444" spans="1:16" ht="15" hidden="1" customHeight="1" x14ac:dyDescent="0.25">
      <c r="A1444" s="168"/>
      <c r="B1444" s="167"/>
      <c r="C1444" s="168"/>
      <c r="D1444" s="167"/>
      <c r="E1444" s="167"/>
      <c r="F1444" s="167"/>
      <c r="G1444" s="167"/>
      <c r="H1444" s="167"/>
      <c r="I1444" s="164">
        <f t="shared" ca="1" si="23"/>
        <v>44939</v>
      </c>
      <c r="J1444" s="163">
        <v>0.33333333333333331</v>
      </c>
      <c r="K1444" s="162" t="s">
        <v>749</v>
      </c>
      <c r="L1444" s="166"/>
      <c r="M1444" s="166"/>
      <c r="N1444" s="164"/>
      <c r="O1444" s="166"/>
      <c r="P1444" s="165"/>
    </row>
    <row r="1445" spans="1:16" ht="15" hidden="1" customHeight="1" x14ac:dyDescent="0.25">
      <c r="A1445" s="168"/>
      <c r="B1445" s="167"/>
      <c r="C1445" s="168"/>
      <c r="D1445" s="167"/>
      <c r="E1445" s="167"/>
      <c r="F1445" s="167"/>
      <c r="G1445" s="167"/>
      <c r="H1445" s="167"/>
      <c r="I1445" s="164">
        <f t="shared" ca="1" si="23"/>
        <v>44939</v>
      </c>
      <c r="J1445" s="163">
        <v>0.33333333333333331</v>
      </c>
      <c r="K1445" s="162" t="s">
        <v>749</v>
      </c>
      <c r="L1445" s="166"/>
      <c r="M1445" s="166"/>
      <c r="N1445" s="164"/>
      <c r="O1445" s="166"/>
      <c r="P1445" s="165"/>
    </row>
    <row r="1446" spans="1:16" ht="15" hidden="1" customHeight="1" x14ac:dyDescent="0.25">
      <c r="A1446" s="168"/>
      <c r="B1446" s="167"/>
      <c r="C1446" s="168"/>
      <c r="D1446" s="167"/>
      <c r="E1446" s="167"/>
      <c r="F1446" s="167"/>
      <c r="G1446" s="167"/>
      <c r="H1446" s="167"/>
      <c r="I1446" s="164">
        <f t="shared" ca="1" si="23"/>
        <v>44939</v>
      </c>
      <c r="J1446" s="163">
        <v>0.33333333333333331</v>
      </c>
      <c r="K1446" s="162" t="s">
        <v>749</v>
      </c>
      <c r="L1446" s="166"/>
      <c r="M1446" s="166"/>
      <c r="N1446" s="164"/>
      <c r="O1446" s="166"/>
      <c r="P1446" s="165"/>
    </row>
    <row r="1447" spans="1:16" ht="15" hidden="1" customHeight="1" x14ac:dyDescent="0.25">
      <c r="A1447" s="168"/>
      <c r="B1447" s="167"/>
      <c r="C1447" s="168"/>
      <c r="D1447" s="167"/>
      <c r="E1447" s="167"/>
      <c r="F1447" s="167"/>
      <c r="G1447" s="167"/>
      <c r="H1447" s="167"/>
      <c r="I1447" s="164">
        <f t="shared" ca="1" si="23"/>
        <v>44939</v>
      </c>
      <c r="J1447" s="163">
        <v>0.33333333333333331</v>
      </c>
      <c r="K1447" s="162" t="s">
        <v>749</v>
      </c>
      <c r="L1447" s="166"/>
      <c r="M1447" s="166"/>
      <c r="N1447" s="164"/>
      <c r="O1447" s="166"/>
      <c r="P1447" s="165"/>
    </row>
    <row r="1448" spans="1:16" ht="15" hidden="1" customHeight="1" x14ac:dyDescent="0.25">
      <c r="A1448" s="168"/>
      <c r="B1448" s="167"/>
      <c r="C1448" s="168"/>
      <c r="D1448" s="167"/>
      <c r="E1448" s="167"/>
      <c r="F1448" s="167"/>
      <c r="G1448" s="167"/>
      <c r="H1448" s="167"/>
      <c r="I1448" s="164">
        <f t="shared" ca="1" si="23"/>
        <v>44939</v>
      </c>
      <c r="J1448" s="163">
        <v>0.33333333333333331</v>
      </c>
      <c r="K1448" s="162" t="s">
        <v>749</v>
      </c>
      <c r="L1448" s="166"/>
      <c r="M1448" s="166"/>
      <c r="N1448" s="164"/>
      <c r="O1448" s="166"/>
      <c r="P1448" s="165"/>
    </row>
    <row r="1449" spans="1:16" ht="15" hidden="1" customHeight="1" x14ac:dyDescent="0.25">
      <c r="A1449" s="168"/>
      <c r="B1449" s="167"/>
      <c r="C1449" s="168"/>
      <c r="D1449" s="167"/>
      <c r="E1449" s="167"/>
      <c r="F1449" s="167"/>
      <c r="G1449" s="167"/>
      <c r="H1449" s="167"/>
      <c r="I1449" s="164">
        <f t="shared" ca="1" si="23"/>
        <v>44939</v>
      </c>
      <c r="J1449" s="163">
        <v>0.33333333333333331</v>
      </c>
      <c r="K1449" s="162" t="s">
        <v>749</v>
      </c>
      <c r="L1449" s="166"/>
      <c r="M1449" s="166"/>
      <c r="N1449" s="164"/>
      <c r="O1449" s="166"/>
      <c r="P1449" s="165"/>
    </row>
    <row r="1450" spans="1:16" ht="15" hidden="1" customHeight="1" x14ac:dyDescent="0.25">
      <c r="A1450" s="168"/>
      <c r="B1450" s="167"/>
      <c r="C1450" s="168"/>
      <c r="D1450" s="167"/>
      <c r="E1450" s="167"/>
      <c r="F1450" s="167"/>
      <c r="G1450" s="167"/>
      <c r="H1450" s="167"/>
      <c r="I1450" s="164">
        <f t="shared" ca="1" si="23"/>
        <v>44939</v>
      </c>
      <c r="J1450" s="163">
        <v>0.33333333333333331</v>
      </c>
      <c r="K1450" s="162" t="s">
        <v>749</v>
      </c>
      <c r="L1450" s="166"/>
      <c r="M1450" s="166"/>
      <c r="N1450" s="164"/>
      <c r="O1450" s="166"/>
      <c r="P1450" s="165"/>
    </row>
    <row r="1451" spans="1:16" ht="15" hidden="1" customHeight="1" x14ac:dyDescent="0.25">
      <c r="A1451" s="168"/>
      <c r="B1451" s="167"/>
      <c r="C1451" s="168"/>
      <c r="D1451" s="167"/>
      <c r="E1451" s="167"/>
      <c r="F1451" s="167"/>
      <c r="G1451" s="167"/>
      <c r="H1451" s="167"/>
      <c r="I1451" s="164">
        <f t="shared" ca="1" si="23"/>
        <v>44939</v>
      </c>
      <c r="J1451" s="163">
        <v>0.33333333333333331</v>
      </c>
      <c r="K1451" s="162" t="s">
        <v>749</v>
      </c>
      <c r="L1451" s="166"/>
      <c r="M1451" s="166"/>
      <c r="N1451" s="164"/>
      <c r="O1451" s="166"/>
      <c r="P1451" s="165"/>
    </row>
    <row r="1452" spans="1:16" ht="15" hidden="1" customHeight="1" x14ac:dyDescent="0.25">
      <c r="A1452" s="168"/>
      <c r="B1452" s="167"/>
      <c r="C1452" s="168"/>
      <c r="D1452" s="167"/>
      <c r="E1452" s="167"/>
      <c r="F1452" s="167"/>
      <c r="G1452" s="167"/>
      <c r="H1452" s="167"/>
      <c r="I1452" s="164">
        <f t="shared" ca="1" si="23"/>
        <v>44939</v>
      </c>
      <c r="J1452" s="163">
        <v>0.33333333333333331</v>
      </c>
      <c r="K1452" s="162" t="s">
        <v>749</v>
      </c>
      <c r="L1452" s="166"/>
      <c r="M1452" s="166"/>
      <c r="N1452" s="164"/>
      <c r="O1452" s="166"/>
      <c r="P1452" s="165"/>
    </row>
    <row r="1453" spans="1:16" ht="15" hidden="1" customHeight="1" x14ac:dyDescent="0.25">
      <c r="A1453" s="168"/>
      <c r="B1453" s="167"/>
      <c r="C1453" s="168"/>
      <c r="D1453" s="167"/>
      <c r="E1453" s="167"/>
      <c r="F1453" s="167"/>
      <c r="G1453" s="167"/>
      <c r="H1453" s="167"/>
      <c r="I1453" s="164">
        <f t="shared" ca="1" si="23"/>
        <v>44939</v>
      </c>
      <c r="J1453" s="163">
        <v>0.33333333333333331</v>
      </c>
      <c r="K1453" s="162" t="s">
        <v>749</v>
      </c>
      <c r="L1453" s="166"/>
      <c r="M1453" s="166"/>
      <c r="N1453" s="164"/>
      <c r="O1453" s="166"/>
      <c r="P1453" s="165"/>
    </row>
    <row r="1454" spans="1:16" ht="15" hidden="1" customHeight="1" x14ac:dyDescent="0.25">
      <c r="A1454" s="168"/>
      <c r="B1454" s="167"/>
      <c r="C1454" s="168"/>
      <c r="D1454" s="167"/>
      <c r="E1454" s="167"/>
      <c r="F1454" s="167"/>
      <c r="G1454" s="167"/>
      <c r="H1454" s="167"/>
      <c r="I1454" s="164">
        <f t="shared" ca="1" si="23"/>
        <v>44939</v>
      </c>
      <c r="J1454" s="163">
        <v>0.33333333333333331</v>
      </c>
      <c r="K1454" s="162" t="s">
        <v>749</v>
      </c>
      <c r="L1454" s="166"/>
      <c r="M1454" s="166"/>
      <c r="N1454" s="164"/>
      <c r="O1454" s="166"/>
      <c r="P1454" s="165"/>
    </row>
    <row r="1455" spans="1:16" ht="15" hidden="1" customHeight="1" x14ac:dyDescent="0.25">
      <c r="A1455" s="168"/>
      <c r="B1455" s="167"/>
      <c r="C1455" s="168"/>
      <c r="D1455" s="167"/>
      <c r="E1455" s="167"/>
      <c r="F1455" s="167"/>
      <c r="G1455" s="167"/>
      <c r="H1455" s="167"/>
      <c r="I1455" s="164">
        <f t="shared" ca="1" si="23"/>
        <v>44939</v>
      </c>
      <c r="J1455" s="163">
        <v>0.33333333333333331</v>
      </c>
      <c r="K1455" s="162" t="s">
        <v>749</v>
      </c>
      <c r="L1455" s="166"/>
      <c r="M1455" s="166"/>
      <c r="N1455" s="164"/>
      <c r="O1455" s="166"/>
      <c r="P1455" s="165"/>
    </row>
    <row r="1456" spans="1:16" ht="15" hidden="1" customHeight="1" x14ac:dyDescent="0.25">
      <c r="A1456" s="168"/>
      <c r="B1456" s="167"/>
      <c r="C1456" s="168"/>
      <c r="D1456" s="167"/>
      <c r="E1456" s="167"/>
      <c r="F1456" s="167"/>
      <c r="G1456" s="167"/>
      <c r="H1456" s="167"/>
      <c r="I1456" s="164">
        <f t="shared" ca="1" si="23"/>
        <v>44939</v>
      </c>
      <c r="J1456" s="163">
        <v>0.33333333333333331</v>
      </c>
      <c r="K1456" s="162" t="s">
        <v>749</v>
      </c>
      <c r="L1456" s="166"/>
      <c r="M1456" s="166"/>
      <c r="N1456" s="164"/>
      <c r="O1456" s="166"/>
      <c r="P1456" s="165"/>
    </row>
    <row r="1457" spans="1:16" ht="15" hidden="1" customHeight="1" x14ac:dyDescent="0.25">
      <c r="A1457" s="168"/>
      <c r="B1457" s="167"/>
      <c r="C1457" s="168"/>
      <c r="D1457" s="167"/>
      <c r="E1457" s="167"/>
      <c r="F1457" s="167"/>
      <c r="G1457" s="167"/>
      <c r="H1457" s="167"/>
      <c r="I1457" s="164">
        <f t="shared" ca="1" si="23"/>
        <v>44939</v>
      </c>
      <c r="J1457" s="163">
        <v>0.33333333333333331</v>
      </c>
      <c r="K1457" s="162" t="s">
        <v>749</v>
      </c>
      <c r="L1457" s="166"/>
      <c r="M1457" s="166"/>
      <c r="N1457" s="164"/>
      <c r="O1457" s="166"/>
      <c r="P1457" s="165"/>
    </row>
    <row r="1458" spans="1:16" ht="15" hidden="1" customHeight="1" x14ac:dyDescent="0.25">
      <c r="A1458" s="168"/>
      <c r="B1458" s="167"/>
      <c r="C1458" s="168"/>
      <c r="D1458" s="167"/>
      <c r="E1458" s="167"/>
      <c r="F1458" s="167"/>
      <c r="G1458" s="167"/>
      <c r="H1458" s="167"/>
      <c r="I1458" s="164">
        <f t="shared" ca="1" si="23"/>
        <v>44939</v>
      </c>
      <c r="J1458" s="163">
        <v>0.33333333333333331</v>
      </c>
      <c r="K1458" s="162" t="s">
        <v>749</v>
      </c>
      <c r="L1458" s="166"/>
      <c r="M1458" s="166"/>
      <c r="N1458" s="164"/>
      <c r="O1458" s="166"/>
      <c r="P1458" s="165"/>
    </row>
    <row r="1459" spans="1:16" ht="15" hidden="1" customHeight="1" x14ac:dyDescent="0.25">
      <c r="A1459" s="168"/>
      <c r="B1459" s="167"/>
      <c r="C1459" s="168"/>
      <c r="D1459" s="167"/>
      <c r="E1459" s="167"/>
      <c r="F1459" s="167"/>
      <c r="G1459" s="167"/>
      <c r="H1459" s="167"/>
      <c r="I1459" s="164">
        <f t="shared" ca="1" si="23"/>
        <v>44939</v>
      </c>
      <c r="J1459" s="163">
        <v>0.33333333333333331</v>
      </c>
      <c r="K1459" s="162" t="s">
        <v>749</v>
      </c>
      <c r="L1459" s="166"/>
      <c r="M1459" s="166"/>
      <c r="N1459" s="164"/>
      <c r="O1459" s="166"/>
      <c r="P1459" s="165"/>
    </row>
    <row r="1460" spans="1:16" ht="15" hidden="1" customHeight="1" x14ac:dyDescent="0.25">
      <c r="A1460" s="168"/>
      <c r="B1460" s="167"/>
      <c r="C1460" s="168"/>
      <c r="D1460" s="167"/>
      <c r="E1460" s="167"/>
      <c r="F1460" s="167"/>
      <c r="G1460" s="167"/>
      <c r="H1460" s="167"/>
      <c r="I1460" s="164">
        <f t="shared" ca="1" si="23"/>
        <v>44939</v>
      </c>
      <c r="J1460" s="163">
        <v>0.33333333333333331</v>
      </c>
      <c r="K1460" s="162" t="s">
        <v>749</v>
      </c>
      <c r="L1460" s="166"/>
      <c r="M1460" s="166"/>
      <c r="N1460" s="164"/>
      <c r="O1460" s="166"/>
      <c r="P1460" s="165"/>
    </row>
    <row r="1461" spans="1:16" ht="15" hidden="1" customHeight="1" x14ac:dyDescent="0.25">
      <c r="A1461" s="168"/>
      <c r="B1461" s="167"/>
      <c r="C1461" s="168"/>
      <c r="D1461" s="167"/>
      <c r="E1461" s="167"/>
      <c r="F1461" s="167"/>
      <c r="G1461" s="167"/>
      <c r="H1461" s="167"/>
      <c r="I1461" s="164">
        <f t="shared" ca="1" si="23"/>
        <v>44939</v>
      </c>
      <c r="J1461" s="163">
        <v>0.33333333333333331</v>
      </c>
      <c r="K1461" s="162" t="s">
        <v>749</v>
      </c>
      <c r="L1461" s="166"/>
      <c r="M1461" s="166"/>
      <c r="N1461" s="164"/>
      <c r="O1461" s="166"/>
      <c r="P1461" s="165"/>
    </row>
    <row r="1462" spans="1:16" ht="15" hidden="1" customHeight="1" x14ac:dyDescent="0.25">
      <c r="A1462" s="168"/>
      <c r="B1462" s="167"/>
      <c r="C1462" s="168"/>
      <c r="D1462" s="167"/>
      <c r="E1462" s="167"/>
      <c r="F1462" s="167"/>
      <c r="G1462" s="167"/>
      <c r="H1462" s="167"/>
      <c r="I1462" s="164">
        <f t="shared" ca="1" si="23"/>
        <v>44939</v>
      </c>
      <c r="J1462" s="163">
        <v>0.33333333333333331</v>
      </c>
      <c r="K1462" s="162" t="s">
        <v>749</v>
      </c>
      <c r="L1462" s="166"/>
      <c r="M1462" s="166"/>
      <c r="N1462" s="164"/>
      <c r="O1462" s="166"/>
      <c r="P1462" s="165"/>
    </row>
    <row r="1463" spans="1:16" ht="15" hidden="1" customHeight="1" x14ac:dyDescent="0.25">
      <c r="A1463" s="168"/>
      <c r="B1463" s="167"/>
      <c r="C1463" s="168"/>
      <c r="D1463" s="167"/>
      <c r="E1463" s="167"/>
      <c r="F1463" s="167"/>
      <c r="G1463" s="167"/>
      <c r="H1463" s="167"/>
      <c r="I1463" s="164">
        <f t="shared" ca="1" si="23"/>
        <v>44939</v>
      </c>
      <c r="J1463" s="163">
        <v>0.33333333333333331</v>
      </c>
      <c r="K1463" s="162" t="s">
        <v>749</v>
      </c>
      <c r="L1463" s="166"/>
      <c r="M1463" s="166"/>
      <c r="N1463" s="164"/>
      <c r="O1463" s="166"/>
      <c r="P1463" s="165"/>
    </row>
    <row r="1464" spans="1:16" ht="15" hidden="1" customHeight="1" x14ac:dyDescent="0.25">
      <c r="A1464" s="168"/>
      <c r="B1464" s="167"/>
      <c r="C1464" s="168"/>
      <c r="D1464" s="167"/>
      <c r="E1464" s="167"/>
      <c r="F1464" s="167"/>
      <c r="G1464" s="167"/>
      <c r="H1464" s="167"/>
      <c r="I1464" s="164">
        <f t="shared" ca="1" si="23"/>
        <v>44939</v>
      </c>
      <c r="J1464" s="163">
        <v>0.33333333333333331</v>
      </c>
      <c r="K1464" s="162" t="s">
        <v>749</v>
      </c>
      <c r="L1464" s="166"/>
      <c r="M1464" s="166"/>
      <c r="N1464" s="164"/>
      <c r="O1464" s="166"/>
      <c r="P1464" s="165"/>
    </row>
    <row r="1465" spans="1:16" ht="15" hidden="1" customHeight="1" x14ac:dyDescent="0.25">
      <c r="A1465" s="168"/>
      <c r="B1465" s="167"/>
      <c r="C1465" s="168"/>
      <c r="D1465" s="167"/>
      <c r="E1465" s="167"/>
      <c r="F1465" s="167"/>
      <c r="G1465" s="167"/>
      <c r="H1465" s="167"/>
      <c r="I1465" s="164">
        <f t="shared" ca="1" si="23"/>
        <v>44939</v>
      </c>
      <c r="J1465" s="163">
        <v>0.33333333333333331</v>
      </c>
      <c r="K1465" s="162" t="s">
        <v>749</v>
      </c>
      <c r="L1465" s="166"/>
      <c r="M1465" s="166"/>
      <c r="N1465" s="164"/>
      <c r="O1465" s="166"/>
      <c r="P1465" s="165"/>
    </row>
    <row r="1466" spans="1:16" ht="15" hidden="1" customHeight="1" x14ac:dyDescent="0.25">
      <c r="A1466" s="168"/>
      <c r="B1466" s="167"/>
      <c r="C1466" s="168"/>
      <c r="D1466" s="167"/>
      <c r="E1466" s="167"/>
      <c r="F1466" s="167"/>
      <c r="G1466" s="167"/>
      <c r="H1466" s="167"/>
      <c r="I1466" s="164">
        <f t="shared" ca="1" si="23"/>
        <v>44939</v>
      </c>
      <c r="J1466" s="163">
        <v>0.33333333333333331</v>
      </c>
      <c r="K1466" s="162" t="s">
        <v>749</v>
      </c>
      <c r="L1466" s="166"/>
      <c r="M1466" s="166"/>
      <c r="N1466" s="164"/>
      <c r="O1466" s="166"/>
      <c r="P1466" s="165"/>
    </row>
    <row r="1467" spans="1:16" ht="15" hidden="1" customHeight="1" x14ac:dyDescent="0.25">
      <c r="A1467" s="168"/>
      <c r="B1467" s="167"/>
      <c r="C1467" s="168"/>
      <c r="D1467" s="167"/>
      <c r="E1467" s="167"/>
      <c r="F1467" s="167"/>
      <c r="G1467" s="167"/>
      <c r="H1467" s="167"/>
      <c r="I1467" s="164">
        <f t="shared" ca="1" si="23"/>
        <v>44939</v>
      </c>
      <c r="J1467" s="163">
        <v>0.33333333333333331</v>
      </c>
      <c r="K1467" s="162" t="s">
        <v>749</v>
      </c>
      <c r="L1467" s="166"/>
      <c r="M1467" s="166"/>
      <c r="N1467" s="164"/>
      <c r="O1467" s="166"/>
      <c r="P1467" s="165"/>
    </row>
    <row r="1468" spans="1:16" ht="15" hidden="1" customHeight="1" x14ac:dyDescent="0.25">
      <c r="A1468" s="168"/>
      <c r="B1468" s="167"/>
      <c r="C1468" s="168"/>
      <c r="D1468" s="167"/>
      <c r="E1468" s="167"/>
      <c r="F1468" s="167"/>
      <c r="G1468" s="167"/>
      <c r="H1468" s="167"/>
      <c r="I1468" s="164">
        <f t="shared" ca="1" si="23"/>
        <v>44939</v>
      </c>
      <c r="J1468" s="163">
        <v>0.33333333333333331</v>
      </c>
      <c r="K1468" s="162" t="s">
        <v>749</v>
      </c>
      <c r="L1468" s="166"/>
      <c r="M1468" s="166"/>
      <c r="N1468" s="164"/>
      <c r="O1468" s="166"/>
      <c r="P1468" s="165"/>
    </row>
    <row r="1469" spans="1:16" ht="15" hidden="1" customHeight="1" x14ac:dyDescent="0.25">
      <c r="A1469" s="168"/>
      <c r="B1469" s="167"/>
      <c r="C1469" s="168"/>
      <c r="D1469" s="167"/>
      <c r="E1469" s="167"/>
      <c r="F1469" s="167"/>
      <c r="G1469" s="167"/>
      <c r="H1469" s="167"/>
      <c r="I1469" s="164">
        <f t="shared" ca="1" si="23"/>
        <v>44939</v>
      </c>
      <c r="J1469" s="163">
        <v>0.33333333333333331</v>
      </c>
      <c r="K1469" s="162" t="s">
        <v>749</v>
      </c>
      <c r="L1469" s="166"/>
      <c r="M1469" s="166"/>
      <c r="N1469" s="164"/>
      <c r="O1469" s="166"/>
      <c r="P1469" s="165"/>
    </row>
    <row r="1470" spans="1:16" ht="15" hidden="1" customHeight="1" x14ac:dyDescent="0.25">
      <c r="A1470" s="168"/>
      <c r="B1470" s="167"/>
      <c r="C1470" s="168"/>
      <c r="D1470" s="167"/>
      <c r="E1470" s="167"/>
      <c r="F1470" s="167"/>
      <c r="G1470" s="167"/>
      <c r="H1470" s="167"/>
      <c r="I1470" s="164">
        <f t="shared" ca="1" si="23"/>
        <v>44939</v>
      </c>
      <c r="J1470" s="163">
        <v>0.33333333333333331</v>
      </c>
      <c r="K1470" s="162" t="s">
        <v>749</v>
      </c>
      <c r="L1470" s="166"/>
      <c r="M1470" s="166"/>
      <c r="N1470" s="164"/>
      <c r="O1470" s="166"/>
      <c r="P1470" s="165"/>
    </row>
    <row r="1471" spans="1:16" ht="15" hidden="1" customHeight="1" x14ac:dyDescent="0.25">
      <c r="A1471" s="168"/>
      <c r="B1471" s="167"/>
      <c r="C1471" s="168"/>
      <c r="D1471" s="167"/>
      <c r="E1471" s="167"/>
      <c r="F1471" s="167"/>
      <c r="G1471" s="167"/>
      <c r="H1471" s="167"/>
      <c r="I1471" s="164">
        <f t="shared" ca="1" si="23"/>
        <v>44939</v>
      </c>
      <c r="J1471" s="163">
        <v>0.33333333333333331</v>
      </c>
      <c r="K1471" s="162" t="s">
        <v>749</v>
      </c>
      <c r="L1471" s="166"/>
      <c r="M1471" s="166"/>
      <c r="N1471" s="164"/>
      <c r="O1471" s="166"/>
      <c r="P1471" s="165"/>
    </row>
    <row r="1472" spans="1:16" ht="15" hidden="1" customHeight="1" x14ac:dyDescent="0.25">
      <c r="A1472" s="168"/>
      <c r="B1472" s="167"/>
      <c r="C1472" s="168"/>
      <c r="D1472" s="167"/>
      <c r="E1472" s="167"/>
      <c r="F1472" s="167"/>
      <c r="G1472" s="167"/>
      <c r="H1472" s="167"/>
      <c r="I1472" s="164">
        <f t="shared" ca="1" si="23"/>
        <v>44939</v>
      </c>
      <c r="J1472" s="163">
        <v>0.33333333333333331</v>
      </c>
      <c r="K1472" s="162" t="s">
        <v>749</v>
      </c>
      <c r="L1472" s="166"/>
      <c r="M1472" s="166"/>
      <c r="N1472" s="164"/>
      <c r="O1472" s="166"/>
      <c r="P1472" s="165"/>
    </row>
    <row r="1473" spans="1:16" ht="15" hidden="1" customHeight="1" x14ac:dyDescent="0.25">
      <c r="A1473" s="168"/>
      <c r="B1473" s="167"/>
      <c r="C1473" s="168"/>
      <c r="D1473" s="167"/>
      <c r="E1473" s="167"/>
      <c r="F1473" s="167"/>
      <c r="G1473" s="167"/>
      <c r="H1473" s="167"/>
      <c r="I1473" s="164">
        <f t="shared" ca="1" si="23"/>
        <v>44939</v>
      </c>
      <c r="J1473" s="163">
        <v>0.33333333333333331</v>
      </c>
      <c r="K1473" s="162" t="s">
        <v>749</v>
      </c>
      <c r="L1473" s="166"/>
      <c r="M1473" s="166"/>
      <c r="N1473" s="164"/>
      <c r="O1473" s="166"/>
      <c r="P1473" s="165"/>
    </row>
    <row r="1474" spans="1:16" ht="15" hidden="1" customHeight="1" x14ac:dyDescent="0.25">
      <c r="A1474" s="168"/>
      <c r="B1474" s="167"/>
      <c r="C1474" s="168"/>
      <c r="D1474" s="167"/>
      <c r="E1474" s="167"/>
      <c r="F1474" s="167"/>
      <c r="G1474" s="167"/>
      <c r="H1474" s="167"/>
      <c r="I1474" s="164">
        <f t="shared" ca="1" si="23"/>
        <v>44939</v>
      </c>
      <c r="J1474" s="163">
        <v>0.33333333333333331</v>
      </c>
      <c r="K1474" s="162" t="s">
        <v>749</v>
      </c>
      <c r="L1474" s="166"/>
      <c r="M1474" s="166"/>
      <c r="N1474" s="164"/>
      <c r="O1474" s="166"/>
      <c r="P1474" s="165"/>
    </row>
    <row r="1475" spans="1:16" ht="15" hidden="1" customHeight="1" x14ac:dyDescent="0.25">
      <c r="A1475" s="168"/>
      <c r="B1475" s="167"/>
      <c r="C1475" s="168"/>
      <c r="D1475" s="167"/>
      <c r="E1475" s="167"/>
      <c r="F1475" s="167"/>
      <c r="G1475" s="167"/>
      <c r="H1475" s="167"/>
      <c r="I1475" s="164">
        <f t="shared" ca="1" si="23"/>
        <v>44939</v>
      </c>
      <c r="J1475" s="163">
        <v>0.33333333333333331</v>
      </c>
      <c r="K1475" s="162" t="s">
        <v>749</v>
      </c>
      <c r="L1475" s="166"/>
      <c r="M1475" s="166"/>
      <c r="N1475" s="164"/>
      <c r="O1475" s="166"/>
      <c r="P1475" s="165"/>
    </row>
    <row r="1476" spans="1:16" ht="15" hidden="1" customHeight="1" x14ac:dyDescent="0.25">
      <c r="A1476" s="168"/>
      <c r="B1476" s="167"/>
      <c r="C1476" s="168"/>
      <c r="D1476" s="167"/>
      <c r="E1476" s="167"/>
      <c r="F1476" s="167"/>
      <c r="G1476" s="167"/>
      <c r="H1476" s="167"/>
      <c r="I1476" s="164">
        <f t="shared" ca="1" si="23"/>
        <v>44939</v>
      </c>
      <c r="J1476" s="163">
        <v>0.33333333333333331</v>
      </c>
      <c r="K1476" s="162" t="s">
        <v>749</v>
      </c>
      <c r="L1476" s="166"/>
      <c r="M1476" s="166"/>
      <c r="N1476" s="164"/>
      <c r="O1476" s="166"/>
      <c r="P1476" s="165"/>
    </row>
    <row r="1477" spans="1:16" ht="15" hidden="1" customHeight="1" x14ac:dyDescent="0.25">
      <c r="A1477" s="168"/>
      <c r="B1477" s="167"/>
      <c r="C1477" s="168"/>
      <c r="D1477" s="167"/>
      <c r="E1477" s="167"/>
      <c r="F1477" s="167"/>
      <c r="G1477" s="167"/>
      <c r="H1477" s="167"/>
      <c r="I1477" s="164">
        <f t="shared" ca="1" si="23"/>
        <v>44939</v>
      </c>
      <c r="J1477" s="163">
        <v>0.33333333333333331</v>
      </c>
      <c r="K1477" s="162" t="s">
        <v>749</v>
      </c>
      <c r="L1477" s="166"/>
      <c r="M1477" s="166"/>
      <c r="N1477" s="164"/>
      <c r="O1477" s="166"/>
      <c r="P1477" s="165"/>
    </row>
    <row r="1478" spans="1:16" ht="15" hidden="1" customHeight="1" x14ac:dyDescent="0.25">
      <c r="A1478" s="168"/>
      <c r="B1478" s="167"/>
      <c r="C1478" s="168"/>
      <c r="D1478" s="167"/>
      <c r="E1478" s="167"/>
      <c r="F1478" s="167"/>
      <c r="G1478" s="167"/>
      <c r="H1478" s="167"/>
      <c r="I1478" s="164">
        <f t="shared" ca="1" si="23"/>
        <v>44939</v>
      </c>
      <c r="J1478" s="163">
        <v>0.33333333333333331</v>
      </c>
      <c r="K1478" s="162" t="s">
        <v>749</v>
      </c>
      <c r="L1478" s="166"/>
      <c r="M1478" s="166"/>
      <c r="N1478" s="164"/>
      <c r="O1478" s="166"/>
      <c r="P1478" s="165"/>
    </row>
    <row r="1479" spans="1:16" ht="15" hidden="1" customHeight="1" x14ac:dyDescent="0.25">
      <c r="A1479" s="168"/>
      <c r="B1479" s="167"/>
      <c r="C1479" s="168"/>
      <c r="D1479" s="167"/>
      <c r="E1479" s="167"/>
      <c r="F1479" s="167"/>
      <c r="G1479" s="167"/>
      <c r="H1479" s="167"/>
      <c r="I1479" s="164">
        <f t="shared" ca="1" si="23"/>
        <v>44939</v>
      </c>
      <c r="J1479" s="163">
        <v>0.33333333333333331</v>
      </c>
      <c r="K1479" s="162" t="s">
        <v>749</v>
      </c>
      <c r="L1479" s="166"/>
      <c r="M1479" s="166"/>
      <c r="N1479" s="164"/>
      <c r="O1479" s="166"/>
      <c r="P1479" s="165"/>
    </row>
    <row r="1480" spans="1:16" ht="15" hidden="1" customHeight="1" x14ac:dyDescent="0.25">
      <c r="A1480" s="168"/>
      <c r="B1480" s="167"/>
      <c r="C1480" s="168"/>
      <c r="D1480" s="167"/>
      <c r="E1480" s="167"/>
      <c r="F1480" s="167"/>
      <c r="G1480" s="167"/>
      <c r="H1480" s="167"/>
      <c r="I1480" s="164">
        <f t="shared" ca="1" si="23"/>
        <v>44939</v>
      </c>
      <c r="J1480" s="163">
        <v>0.33333333333333331</v>
      </c>
      <c r="K1480" s="162" t="s">
        <v>749</v>
      </c>
      <c r="L1480" s="166"/>
      <c r="M1480" s="166"/>
      <c r="N1480" s="164"/>
      <c r="O1480" s="166"/>
      <c r="P1480" s="165"/>
    </row>
    <row r="1481" spans="1:16" ht="15" hidden="1" customHeight="1" x14ac:dyDescent="0.25">
      <c r="A1481" s="168"/>
      <c r="B1481" s="167"/>
      <c r="C1481" s="168"/>
      <c r="D1481" s="167"/>
      <c r="E1481" s="167"/>
      <c r="F1481" s="167"/>
      <c r="G1481" s="167"/>
      <c r="H1481" s="167"/>
      <c r="I1481" s="164">
        <f t="shared" ca="1" si="23"/>
        <v>44939</v>
      </c>
      <c r="J1481" s="163">
        <v>0.33333333333333331</v>
      </c>
      <c r="K1481" s="162" t="s">
        <v>749</v>
      </c>
      <c r="L1481" s="166"/>
      <c r="M1481" s="166"/>
      <c r="N1481" s="164"/>
      <c r="O1481" s="166"/>
      <c r="P1481" s="165"/>
    </row>
    <row r="1482" spans="1:16" ht="15" hidden="1" customHeight="1" x14ac:dyDescent="0.25">
      <c r="A1482" s="168"/>
      <c r="B1482" s="167"/>
      <c r="C1482" s="168"/>
      <c r="D1482" s="167"/>
      <c r="E1482" s="167"/>
      <c r="F1482" s="167"/>
      <c r="G1482" s="167"/>
      <c r="H1482" s="167"/>
      <c r="I1482" s="164">
        <f t="shared" ca="1" si="23"/>
        <v>44939</v>
      </c>
      <c r="J1482" s="163">
        <v>0.33333333333333331</v>
      </c>
      <c r="K1482" s="162" t="s">
        <v>749</v>
      </c>
      <c r="L1482" s="166"/>
      <c r="M1482" s="166"/>
      <c r="N1482" s="164"/>
      <c r="O1482" s="166"/>
      <c r="P1482" s="165"/>
    </row>
    <row r="1483" spans="1:16" ht="15" hidden="1" customHeight="1" x14ac:dyDescent="0.25">
      <c r="A1483" s="168"/>
      <c r="B1483" s="167"/>
      <c r="C1483" s="168"/>
      <c r="D1483" s="167"/>
      <c r="E1483" s="167"/>
      <c r="F1483" s="167"/>
      <c r="G1483" s="167"/>
      <c r="H1483" s="167"/>
      <c r="I1483" s="164">
        <f t="shared" ca="1" si="23"/>
        <v>44939</v>
      </c>
      <c r="J1483" s="163">
        <v>0.33333333333333331</v>
      </c>
      <c r="K1483" s="162" t="s">
        <v>749</v>
      </c>
      <c r="L1483" s="166"/>
      <c r="M1483" s="166"/>
      <c r="N1483" s="164"/>
      <c r="O1483" s="166"/>
      <c r="P1483" s="165"/>
    </row>
    <row r="1484" spans="1:16" ht="15" hidden="1" customHeight="1" x14ac:dyDescent="0.25">
      <c r="A1484" s="168"/>
      <c r="B1484" s="167"/>
      <c r="C1484" s="168"/>
      <c r="D1484" s="167"/>
      <c r="E1484" s="167"/>
      <c r="F1484" s="167"/>
      <c r="G1484" s="167"/>
      <c r="H1484" s="167"/>
      <c r="I1484" s="164">
        <f t="shared" ca="1" si="23"/>
        <v>44939</v>
      </c>
      <c r="J1484" s="163">
        <v>0.33333333333333331</v>
      </c>
      <c r="K1484" s="162" t="s">
        <v>749</v>
      </c>
      <c r="L1484" s="166"/>
      <c r="M1484" s="166"/>
      <c r="N1484" s="164"/>
      <c r="O1484" s="166"/>
      <c r="P1484" s="165"/>
    </row>
    <row r="1485" spans="1:16" ht="15" hidden="1" customHeight="1" x14ac:dyDescent="0.25">
      <c r="A1485" s="168"/>
      <c r="B1485" s="167"/>
      <c r="C1485" s="168"/>
      <c r="D1485" s="167"/>
      <c r="E1485" s="167"/>
      <c r="F1485" s="167"/>
      <c r="G1485" s="167"/>
      <c r="H1485" s="167"/>
      <c r="I1485" s="164">
        <f t="shared" ca="1" si="23"/>
        <v>44939</v>
      </c>
      <c r="J1485" s="163">
        <v>0.33333333333333331</v>
      </c>
      <c r="K1485" s="162" t="s">
        <v>749</v>
      </c>
      <c r="L1485" s="166"/>
      <c r="M1485" s="166"/>
      <c r="N1485" s="164"/>
      <c r="O1485" s="166"/>
      <c r="P1485" s="165"/>
    </row>
    <row r="1486" spans="1:16" ht="15" hidden="1" customHeight="1" x14ac:dyDescent="0.25">
      <c r="A1486" s="168"/>
      <c r="B1486" s="167"/>
      <c r="C1486" s="168"/>
      <c r="D1486" s="167"/>
      <c r="E1486" s="167"/>
      <c r="F1486" s="167"/>
      <c r="G1486" s="167"/>
      <c r="H1486" s="167"/>
      <c r="I1486" s="164">
        <f t="shared" ca="1" si="23"/>
        <v>44939</v>
      </c>
      <c r="J1486" s="163">
        <v>0.33333333333333331</v>
      </c>
      <c r="K1486" s="162" t="s">
        <v>749</v>
      </c>
      <c r="L1486" s="166"/>
      <c r="M1486" s="166"/>
      <c r="N1486" s="164"/>
      <c r="O1486" s="166"/>
      <c r="P1486" s="165"/>
    </row>
    <row r="1487" spans="1:16" ht="15" hidden="1" customHeight="1" x14ac:dyDescent="0.25">
      <c r="A1487" s="168"/>
      <c r="B1487" s="167"/>
      <c r="C1487" s="168"/>
      <c r="D1487" s="167"/>
      <c r="E1487" s="167"/>
      <c r="F1487" s="167"/>
      <c r="G1487" s="167"/>
      <c r="H1487" s="167"/>
      <c r="I1487" s="164">
        <f t="shared" ca="1" si="23"/>
        <v>44939</v>
      </c>
      <c r="J1487" s="163">
        <v>0.33333333333333331</v>
      </c>
      <c r="K1487" s="162" t="s">
        <v>749</v>
      </c>
      <c r="L1487" s="166"/>
      <c r="M1487" s="166"/>
      <c r="N1487" s="164"/>
      <c r="O1487" s="166"/>
      <c r="P1487" s="165"/>
    </row>
    <row r="1488" spans="1:16" ht="15" hidden="1" customHeight="1" x14ac:dyDescent="0.25">
      <c r="A1488" s="168"/>
      <c r="B1488" s="167"/>
      <c r="C1488" s="168"/>
      <c r="D1488" s="167"/>
      <c r="E1488" s="167"/>
      <c r="F1488" s="167"/>
      <c r="G1488" s="167"/>
      <c r="H1488" s="167"/>
      <c r="I1488" s="164">
        <f t="shared" ca="1" si="23"/>
        <v>44939</v>
      </c>
      <c r="J1488" s="163">
        <v>0.33333333333333331</v>
      </c>
      <c r="K1488" s="162" t="s">
        <v>749</v>
      </c>
      <c r="L1488" s="166"/>
      <c r="M1488" s="166"/>
      <c r="N1488" s="164"/>
      <c r="O1488" s="166"/>
      <c r="P1488" s="165"/>
    </row>
    <row r="1489" spans="1:16" ht="15" hidden="1" customHeight="1" x14ac:dyDescent="0.25">
      <c r="A1489" s="168"/>
      <c r="B1489" s="167"/>
      <c r="C1489" s="168"/>
      <c r="D1489" s="167"/>
      <c r="E1489" s="167"/>
      <c r="F1489" s="167"/>
      <c r="G1489" s="167"/>
      <c r="H1489" s="167"/>
      <c r="I1489" s="164">
        <f t="shared" ca="1" si="23"/>
        <v>44939</v>
      </c>
      <c r="J1489" s="163">
        <v>0.33333333333333331</v>
      </c>
      <c r="K1489" s="162" t="s">
        <v>749</v>
      </c>
      <c r="L1489" s="166"/>
      <c r="M1489" s="166"/>
      <c r="N1489" s="164"/>
      <c r="O1489" s="166"/>
      <c r="P1489" s="165"/>
    </row>
    <row r="1490" spans="1:16" ht="15" hidden="1" customHeight="1" x14ac:dyDescent="0.25">
      <c r="A1490" s="168"/>
      <c r="B1490" s="167"/>
      <c r="C1490" s="168"/>
      <c r="D1490" s="167"/>
      <c r="E1490" s="167"/>
      <c r="F1490" s="167"/>
      <c r="G1490" s="167"/>
      <c r="H1490" s="167"/>
      <c r="I1490" s="164">
        <f t="shared" ca="1" si="23"/>
        <v>44939</v>
      </c>
      <c r="J1490" s="163">
        <v>0.33333333333333331</v>
      </c>
      <c r="K1490" s="162" t="s">
        <v>749</v>
      </c>
      <c r="L1490" s="166"/>
      <c r="M1490" s="166"/>
      <c r="N1490" s="164"/>
      <c r="O1490" s="166"/>
      <c r="P1490" s="165"/>
    </row>
    <row r="1491" spans="1:16" ht="15" hidden="1" customHeight="1" x14ac:dyDescent="0.25">
      <c r="A1491" s="168"/>
      <c r="B1491" s="167"/>
      <c r="C1491" s="168"/>
      <c r="D1491" s="167"/>
      <c r="E1491" s="167"/>
      <c r="F1491" s="167"/>
      <c r="G1491" s="167"/>
      <c r="H1491" s="167"/>
      <c r="I1491" s="164">
        <f t="shared" ca="1" si="23"/>
        <v>44939</v>
      </c>
      <c r="J1491" s="163">
        <v>0.33333333333333331</v>
      </c>
      <c r="K1491" s="162" t="s">
        <v>749</v>
      </c>
      <c r="L1491" s="166"/>
      <c r="M1491" s="166"/>
      <c r="N1491" s="164"/>
      <c r="O1491" s="166"/>
      <c r="P1491" s="165"/>
    </row>
    <row r="1492" spans="1:16" ht="15" hidden="1" customHeight="1" x14ac:dyDescent="0.25">
      <c r="A1492" s="168"/>
      <c r="B1492" s="167"/>
      <c r="C1492" s="168"/>
      <c r="D1492" s="167"/>
      <c r="E1492" s="167"/>
      <c r="F1492" s="167"/>
      <c r="G1492" s="167"/>
      <c r="H1492" s="167"/>
      <c r="I1492" s="164">
        <f t="shared" ca="1" si="23"/>
        <v>44939</v>
      </c>
      <c r="J1492" s="163">
        <v>0.33333333333333331</v>
      </c>
      <c r="K1492" s="162" t="s">
        <v>749</v>
      </c>
      <c r="L1492" s="166"/>
      <c r="M1492" s="166"/>
      <c r="N1492" s="164"/>
      <c r="O1492" s="166"/>
      <c r="P1492" s="165"/>
    </row>
    <row r="1493" spans="1:16" ht="15" hidden="1" customHeight="1" x14ac:dyDescent="0.25">
      <c r="A1493" s="168"/>
      <c r="B1493" s="167"/>
      <c r="C1493" s="168"/>
      <c r="D1493" s="167"/>
      <c r="E1493" s="167"/>
      <c r="F1493" s="167"/>
      <c r="G1493" s="167"/>
      <c r="H1493" s="167"/>
      <c r="I1493" s="164">
        <f t="shared" ca="1" si="23"/>
        <v>44939</v>
      </c>
      <c r="J1493" s="163">
        <v>0.33333333333333331</v>
      </c>
      <c r="K1493" s="162" t="s">
        <v>749</v>
      </c>
      <c r="L1493" s="166"/>
      <c r="M1493" s="166"/>
      <c r="N1493" s="164"/>
      <c r="O1493" s="166"/>
      <c r="P1493" s="165"/>
    </row>
    <row r="1494" spans="1:16" ht="15" hidden="1" customHeight="1" x14ac:dyDescent="0.25">
      <c r="A1494" s="168"/>
      <c r="B1494" s="167"/>
      <c r="C1494" s="168"/>
      <c r="D1494" s="167"/>
      <c r="E1494" s="167"/>
      <c r="F1494" s="167"/>
      <c r="G1494" s="167"/>
      <c r="H1494" s="167"/>
      <c r="I1494" s="164">
        <f t="shared" ca="1" si="23"/>
        <v>44939</v>
      </c>
      <c r="J1494" s="163">
        <v>0.33333333333333331</v>
      </c>
      <c r="K1494" s="162" t="s">
        <v>749</v>
      </c>
      <c r="L1494" s="166"/>
      <c r="M1494" s="166"/>
      <c r="N1494" s="164"/>
      <c r="O1494" s="166"/>
      <c r="P1494" s="165"/>
    </row>
    <row r="1495" spans="1:16" ht="15" hidden="1" customHeight="1" x14ac:dyDescent="0.25">
      <c r="A1495" s="168"/>
      <c r="B1495" s="167"/>
      <c r="C1495" s="168"/>
      <c r="D1495" s="167"/>
      <c r="E1495" s="167"/>
      <c r="F1495" s="167"/>
      <c r="G1495" s="167"/>
      <c r="H1495" s="167"/>
      <c r="I1495" s="164">
        <f t="shared" ca="1" si="23"/>
        <v>44939</v>
      </c>
      <c r="J1495" s="163">
        <v>0.33333333333333331</v>
      </c>
      <c r="K1495" s="162" t="s">
        <v>749</v>
      </c>
      <c r="L1495" s="166"/>
      <c r="M1495" s="166"/>
      <c r="N1495" s="164"/>
      <c r="O1495" s="166"/>
      <c r="P1495" s="165"/>
    </row>
    <row r="1496" spans="1:16" ht="15" hidden="1" customHeight="1" x14ac:dyDescent="0.25">
      <c r="A1496" s="168"/>
      <c r="B1496" s="167"/>
      <c r="C1496" s="168"/>
      <c r="D1496" s="167"/>
      <c r="E1496" s="167"/>
      <c r="F1496" s="167"/>
      <c r="G1496" s="167"/>
      <c r="H1496" s="167"/>
      <c r="I1496" s="164">
        <f t="shared" ref="I1496:I1559" ca="1" si="24">TODAY()</f>
        <v>44939</v>
      </c>
      <c r="J1496" s="163">
        <v>0.33333333333333331</v>
      </c>
      <c r="K1496" s="162" t="s">
        <v>749</v>
      </c>
      <c r="L1496" s="166"/>
      <c r="M1496" s="166"/>
      <c r="N1496" s="164"/>
      <c r="O1496" s="166"/>
      <c r="P1496" s="165"/>
    </row>
    <row r="1497" spans="1:16" ht="15" hidden="1" customHeight="1" x14ac:dyDescent="0.25">
      <c r="A1497" s="168"/>
      <c r="B1497" s="167"/>
      <c r="C1497" s="168"/>
      <c r="D1497" s="167"/>
      <c r="E1497" s="167"/>
      <c r="F1497" s="167"/>
      <c r="G1497" s="167"/>
      <c r="H1497" s="167"/>
      <c r="I1497" s="164">
        <f t="shared" ca="1" si="24"/>
        <v>44939</v>
      </c>
      <c r="J1497" s="163">
        <v>0.33333333333333331</v>
      </c>
      <c r="K1497" s="162" t="s">
        <v>749</v>
      </c>
      <c r="L1497" s="166"/>
      <c r="M1497" s="166"/>
      <c r="N1497" s="164"/>
      <c r="O1497" s="166"/>
      <c r="P1497" s="165"/>
    </row>
    <row r="1498" spans="1:16" ht="15" hidden="1" customHeight="1" x14ac:dyDescent="0.25">
      <c r="A1498" s="168"/>
      <c r="B1498" s="167"/>
      <c r="C1498" s="168"/>
      <c r="D1498" s="167"/>
      <c r="E1498" s="167"/>
      <c r="F1498" s="167"/>
      <c r="G1498" s="167"/>
      <c r="H1498" s="167"/>
      <c r="I1498" s="164">
        <f t="shared" ca="1" si="24"/>
        <v>44939</v>
      </c>
      <c r="J1498" s="163">
        <v>0.33333333333333331</v>
      </c>
      <c r="K1498" s="162" t="s">
        <v>749</v>
      </c>
      <c r="L1498" s="166"/>
      <c r="M1498" s="166"/>
      <c r="N1498" s="164"/>
      <c r="O1498" s="166"/>
      <c r="P1498" s="165"/>
    </row>
    <row r="1499" spans="1:16" ht="15" hidden="1" customHeight="1" x14ac:dyDescent="0.25">
      <c r="A1499" s="168"/>
      <c r="B1499" s="167"/>
      <c r="C1499" s="168"/>
      <c r="D1499" s="167"/>
      <c r="E1499" s="167"/>
      <c r="F1499" s="167"/>
      <c r="G1499" s="167"/>
      <c r="H1499" s="167"/>
      <c r="I1499" s="164">
        <f t="shared" ca="1" si="24"/>
        <v>44939</v>
      </c>
      <c r="J1499" s="163">
        <v>0.33333333333333331</v>
      </c>
      <c r="K1499" s="162" t="s">
        <v>749</v>
      </c>
      <c r="L1499" s="166"/>
      <c r="M1499" s="166"/>
      <c r="N1499" s="164"/>
      <c r="O1499" s="166"/>
      <c r="P1499" s="165"/>
    </row>
    <row r="1500" spans="1:16" ht="15" hidden="1" customHeight="1" x14ac:dyDescent="0.25">
      <c r="A1500" s="168"/>
      <c r="B1500" s="167"/>
      <c r="C1500" s="168"/>
      <c r="D1500" s="167"/>
      <c r="E1500" s="167"/>
      <c r="F1500" s="167"/>
      <c r="G1500" s="167"/>
      <c r="H1500" s="167"/>
      <c r="I1500" s="164">
        <f t="shared" ca="1" si="24"/>
        <v>44939</v>
      </c>
      <c r="J1500" s="163">
        <v>0.33333333333333331</v>
      </c>
      <c r="K1500" s="162" t="s">
        <v>749</v>
      </c>
      <c r="L1500" s="166"/>
      <c r="M1500" s="166"/>
      <c r="N1500" s="164"/>
      <c r="O1500" s="166"/>
      <c r="P1500" s="165"/>
    </row>
    <row r="1501" spans="1:16" ht="15" hidden="1" customHeight="1" x14ac:dyDescent="0.25">
      <c r="A1501" s="168"/>
      <c r="B1501" s="167"/>
      <c r="C1501" s="168"/>
      <c r="D1501" s="167"/>
      <c r="E1501" s="167"/>
      <c r="F1501" s="167"/>
      <c r="G1501" s="167"/>
      <c r="H1501" s="167"/>
      <c r="I1501" s="164">
        <f t="shared" ca="1" si="24"/>
        <v>44939</v>
      </c>
      <c r="J1501" s="163">
        <v>0.33333333333333331</v>
      </c>
      <c r="K1501" s="162" t="s">
        <v>749</v>
      </c>
      <c r="L1501" s="166"/>
      <c r="M1501" s="166"/>
      <c r="N1501" s="164"/>
      <c r="O1501" s="166"/>
      <c r="P1501" s="165"/>
    </row>
    <row r="1502" spans="1:16" ht="15" hidden="1" customHeight="1" x14ac:dyDescent="0.25">
      <c r="A1502" s="168"/>
      <c r="B1502" s="167"/>
      <c r="C1502" s="168"/>
      <c r="D1502" s="167"/>
      <c r="E1502" s="167"/>
      <c r="F1502" s="167"/>
      <c r="G1502" s="167"/>
      <c r="H1502" s="167"/>
      <c r="I1502" s="164">
        <f t="shared" ca="1" si="24"/>
        <v>44939</v>
      </c>
      <c r="J1502" s="163">
        <v>0.33333333333333331</v>
      </c>
      <c r="K1502" s="162" t="s">
        <v>749</v>
      </c>
      <c r="L1502" s="166"/>
      <c r="M1502" s="166"/>
      <c r="N1502" s="164"/>
      <c r="O1502" s="166"/>
      <c r="P1502" s="165"/>
    </row>
    <row r="1503" spans="1:16" ht="15" hidden="1" customHeight="1" x14ac:dyDescent="0.25">
      <c r="A1503" s="168"/>
      <c r="B1503" s="167"/>
      <c r="C1503" s="168"/>
      <c r="D1503" s="167"/>
      <c r="E1503" s="167"/>
      <c r="F1503" s="167"/>
      <c r="G1503" s="167"/>
      <c r="H1503" s="167"/>
      <c r="I1503" s="164">
        <f t="shared" ca="1" si="24"/>
        <v>44939</v>
      </c>
      <c r="J1503" s="163">
        <v>0.33333333333333331</v>
      </c>
      <c r="K1503" s="162" t="s">
        <v>749</v>
      </c>
      <c r="L1503" s="166"/>
      <c r="M1503" s="166"/>
      <c r="N1503" s="164"/>
      <c r="O1503" s="166"/>
      <c r="P1503" s="165"/>
    </row>
    <row r="1504" spans="1:16" ht="15" hidden="1" customHeight="1" x14ac:dyDescent="0.25">
      <c r="A1504" s="168"/>
      <c r="B1504" s="167"/>
      <c r="C1504" s="168"/>
      <c r="D1504" s="167"/>
      <c r="E1504" s="167"/>
      <c r="F1504" s="167"/>
      <c r="G1504" s="167"/>
      <c r="H1504" s="167"/>
      <c r="I1504" s="164">
        <f t="shared" ca="1" si="24"/>
        <v>44939</v>
      </c>
      <c r="J1504" s="163">
        <v>0.33333333333333331</v>
      </c>
      <c r="K1504" s="162" t="s">
        <v>749</v>
      </c>
      <c r="L1504" s="166"/>
      <c r="M1504" s="166"/>
      <c r="N1504" s="164"/>
      <c r="O1504" s="166"/>
      <c r="P1504" s="165"/>
    </row>
    <row r="1505" spans="1:16" ht="15" hidden="1" customHeight="1" x14ac:dyDescent="0.25">
      <c r="A1505" s="168"/>
      <c r="B1505" s="167"/>
      <c r="C1505" s="168"/>
      <c r="D1505" s="167"/>
      <c r="E1505" s="167"/>
      <c r="F1505" s="167"/>
      <c r="G1505" s="167"/>
      <c r="H1505" s="167"/>
      <c r="I1505" s="164">
        <f t="shared" ca="1" si="24"/>
        <v>44939</v>
      </c>
      <c r="J1505" s="163">
        <v>0.33333333333333331</v>
      </c>
      <c r="K1505" s="162" t="s">
        <v>749</v>
      </c>
      <c r="L1505" s="166"/>
      <c r="M1505" s="166"/>
      <c r="N1505" s="164"/>
      <c r="O1505" s="166"/>
      <c r="P1505" s="165"/>
    </row>
    <row r="1506" spans="1:16" ht="15" hidden="1" customHeight="1" x14ac:dyDescent="0.25">
      <c r="A1506" s="168"/>
      <c r="B1506" s="167"/>
      <c r="C1506" s="168"/>
      <c r="D1506" s="167"/>
      <c r="E1506" s="167"/>
      <c r="F1506" s="167"/>
      <c r="G1506" s="167"/>
      <c r="H1506" s="167"/>
      <c r="I1506" s="164">
        <f t="shared" ca="1" si="24"/>
        <v>44939</v>
      </c>
      <c r="J1506" s="163">
        <v>0.33333333333333331</v>
      </c>
      <c r="K1506" s="162" t="s">
        <v>749</v>
      </c>
      <c r="L1506" s="166"/>
      <c r="M1506" s="166"/>
      <c r="N1506" s="164"/>
      <c r="O1506" s="166"/>
      <c r="P1506" s="165"/>
    </row>
    <row r="1507" spans="1:16" ht="15" hidden="1" customHeight="1" x14ac:dyDescent="0.25">
      <c r="A1507" s="168"/>
      <c r="B1507" s="167"/>
      <c r="C1507" s="168"/>
      <c r="D1507" s="167"/>
      <c r="E1507" s="167"/>
      <c r="F1507" s="167"/>
      <c r="G1507" s="167"/>
      <c r="H1507" s="167"/>
      <c r="I1507" s="164">
        <f t="shared" ca="1" si="24"/>
        <v>44939</v>
      </c>
      <c r="J1507" s="163">
        <v>0.33333333333333331</v>
      </c>
      <c r="K1507" s="162" t="s">
        <v>749</v>
      </c>
      <c r="L1507" s="166"/>
      <c r="M1507" s="166"/>
      <c r="N1507" s="164"/>
      <c r="O1507" s="166"/>
      <c r="P1507" s="165"/>
    </row>
    <row r="1508" spans="1:16" ht="15" hidden="1" customHeight="1" x14ac:dyDescent="0.25">
      <c r="A1508" s="168"/>
      <c r="B1508" s="167"/>
      <c r="C1508" s="168"/>
      <c r="D1508" s="167"/>
      <c r="E1508" s="167"/>
      <c r="F1508" s="167"/>
      <c r="G1508" s="167"/>
      <c r="H1508" s="167"/>
      <c r="I1508" s="164">
        <f t="shared" ca="1" si="24"/>
        <v>44939</v>
      </c>
      <c r="J1508" s="163">
        <v>0.33333333333333331</v>
      </c>
      <c r="K1508" s="162" t="s">
        <v>749</v>
      </c>
      <c r="L1508" s="166"/>
      <c r="M1508" s="166"/>
      <c r="N1508" s="164"/>
      <c r="O1508" s="166"/>
      <c r="P1508" s="165"/>
    </row>
    <row r="1509" spans="1:16" ht="15" hidden="1" customHeight="1" x14ac:dyDescent="0.25">
      <c r="A1509" s="168"/>
      <c r="B1509" s="167"/>
      <c r="C1509" s="168"/>
      <c r="D1509" s="167"/>
      <c r="E1509" s="167"/>
      <c r="F1509" s="167"/>
      <c r="G1509" s="167"/>
      <c r="H1509" s="167"/>
      <c r="I1509" s="164">
        <f t="shared" ca="1" si="24"/>
        <v>44939</v>
      </c>
      <c r="J1509" s="163">
        <v>0.33333333333333331</v>
      </c>
      <c r="K1509" s="162" t="s">
        <v>749</v>
      </c>
      <c r="L1509" s="166"/>
      <c r="M1509" s="166"/>
      <c r="N1509" s="164"/>
      <c r="O1509" s="166"/>
      <c r="P1509" s="165"/>
    </row>
    <row r="1510" spans="1:16" ht="15" hidden="1" customHeight="1" x14ac:dyDescent="0.25">
      <c r="A1510" s="168"/>
      <c r="B1510" s="167"/>
      <c r="C1510" s="168"/>
      <c r="D1510" s="167"/>
      <c r="E1510" s="167"/>
      <c r="F1510" s="167"/>
      <c r="G1510" s="167"/>
      <c r="H1510" s="167"/>
      <c r="I1510" s="164">
        <f t="shared" ca="1" si="24"/>
        <v>44939</v>
      </c>
      <c r="J1510" s="163">
        <v>0.33333333333333331</v>
      </c>
      <c r="K1510" s="162" t="s">
        <v>749</v>
      </c>
      <c r="L1510" s="166"/>
      <c r="M1510" s="166"/>
      <c r="N1510" s="164"/>
      <c r="O1510" s="166"/>
      <c r="P1510" s="165"/>
    </row>
    <row r="1511" spans="1:16" ht="15" hidden="1" customHeight="1" x14ac:dyDescent="0.25">
      <c r="A1511" s="168"/>
      <c r="B1511" s="167"/>
      <c r="C1511" s="168"/>
      <c r="D1511" s="167"/>
      <c r="E1511" s="167"/>
      <c r="F1511" s="167"/>
      <c r="G1511" s="167"/>
      <c r="H1511" s="167"/>
      <c r="I1511" s="164">
        <f t="shared" ca="1" si="24"/>
        <v>44939</v>
      </c>
      <c r="J1511" s="163">
        <v>0.33333333333333331</v>
      </c>
      <c r="K1511" s="162" t="s">
        <v>749</v>
      </c>
      <c r="L1511" s="166"/>
      <c r="M1511" s="166"/>
      <c r="N1511" s="164"/>
      <c r="O1511" s="166"/>
      <c r="P1511" s="165"/>
    </row>
    <row r="1512" spans="1:16" ht="15" hidden="1" customHeight="1" x14ac:dyDescent="0.25">
      <c r="A1512" s="168"/>
      <c r="B1512" s="167"/>
      <c r="C1512" s="168"/>
      <c r="D1512" s="167"/>
      <c r="E1512" s="167"/>
      <c r="F1512" s="167"/>
      <c r="G1512" s="167"/>
      <c r="H1512" s="167"/>
      <c r="I1512" s="164">
        <f t="shared" ca="1" si="24"/>
        <v>44939</v>
      </c>
      <c r="J1512" s="163">
        <v>0.33333333333333331</v>
      </c>
      <c r="K1512" s="162" t="s">
        <v>749</v>
      </c>
      <c r="L1512" s="166"/>
      <c r="M1512" s="166"/>
      <c r="N1512" s="164"/>
      <c r="O1512" s="166"/>
      <c r="P1512" s="165"/>
    </row>
    <row r="1513" spans="1:16" ht="15" hidden="1" customHeight="1" x14ac:dyDescent="0.25">
      <c r="A1513" s="168"/>
      <c r="B1513" s="167"/>
      <c r="C1513" s="168"/>
      <c r="D1513" s="167"/>
      <c r="E1513" s="167"/>
      <c r="F1513" s="167"/>
      <c r="G1513" s="167"/>
      <c r="H1513" s="167"/>
      <c r="I1513" s="164">
        <f t="shared" ca="1" si="24"/>
        <v>44939</v>
      </c>
      <c r="J1513" s="163">
        <v>0.33333333333333331</v>
      </c>
      <c r="K1513" s="162" t="s">
        <v>749</v>
      </c>
      <c r="L1513" s="166"/>
      <c r="M1513" s="166"/>
      <c r="N1513" s="164"/>
      <c r="O1513" s="166"/>
      <c r="P1513" s="165"/>
    </row>
    <row r="1514" spans="1:16" ht="15" hidden="1" customHeight="1" x14ac:dyDescent="0.25">
      <c r="A1514" s="168"/>
      <c r="B1514" s="167"/>
      <c r="C1514" s="168"/>
      <c r="D1514" s="167"/>
      <c r="E1514" s="167"/>
      <c r="F1514" s="167"/>
      <c r="G1514" s="167"/>
      <c r="H1514" s="167"/>
      <c r="I1514" s="164">
        <f t="shared" ca="1" si="24"/>
        <v>44939</v>
      </c>
      <c r="J1514" s="163">
        <v>0.33333333333333331</v>
      </c>
      <c r="K1514" s="162" t="s">
        <v>749</v>
      </c>
      <c r="L1514" s="166"/>
      <c r="M1514" s="166"/>
      <c r="N1514" s="164"/>
      <c r="O1514" s="166"/>
      <c r="P1514" s="165"/>
    </row>
    <row r="1515" spans="1:16" ht="15" hidden="1" customHeight="1" x14ac:dyDescent="0.25">
      <c r="A1515" s="168"/>
      <c r="B1515" s="167"/>
      <c r="C1515" s="168"/>
      <c r="D1515" s="167"/>
      <c r="E1515" s="167"/>
      <c r="F1515" s="167"/>
      <c r="G1515" s="167"/>
      <c r="H1515" s="167"/>
      <c r="I1515" s="164">
        <f t="shared" ca="1" si="24"/>
        <v>44939</v>
      </c>
      <c r="J1515" s="163">
        <v>0.33333333333333331</v>
      </c>
      <c r="K1515" s="162" t="s">
        <v>749</v>
      </c>
      <c r="L1515" s="166"/>
      <c r="M1515" s="166"/>
      <c r="N1515" s="164"/>
      <c r="O1515" s="166"/>
      <c r="P1515" s="165"/>
    </row>
    <row r="1516" spans="1:16" ht="15" hidden="1" customHeight="1" x14ac:dyDescent="0.25">
      <c r="A1516" s="168"/>
      <c r="B1516" s="167"/>
      <c r="C1516" s="168"/>
      <c r="D1516" s="167"/>
      <c r="E1516" s="167"/>
      <c r="F1516" s="167"/>
      <c r="G1516" s="167"/>
      <c r="H1516" s="167"/>
      <c r="I1516" s="164">
        <f t="shared" ca="1" si="24"/>
        <v>44939</v>
      </c>
      <c r="J1516" s="163">
        <v>0.33333333333333331</v>
      </c>
      <c r="K1516" s="162" t="s">
        <v>749</v>
      </c>
      <c r="L1516" s="166"/>
      <c r="M1516" s="166"/>
      <c r="N1516" s="164"/>
      <c r="O1516" s="166"/>
      <c r="P1516" s="165"/>
    </row>
    <row r="1517" spans="1:16" ht="15" hidden="1" customHeight="1" x14ac:dyDescent="0.25">
      <c r="A1517" s="168"/>
      <c r="B1517" s="167"/>
      <c r="C1517" s="168"/>
      <c r="D1517" s="167"/>
      <c r="E1517" s="167"/>
      <c r="F1517" s="167"/>
      <c r="G1517" s="167"/>
      <c r="H1517" s="167"/>
      <c r="I1517" s="164">
        <f t="shared" ca="1" si="24"/>
        <v>44939</v>
      </c>
      <c r="J1517" s="163">
        <v>0.33333333333333331</v>
      </c>
      <c r="K1517" s="162" t="s">
        <v>749</v>
      </c>
      <c r="L1517" s="166"/>
      <c r="M1517" s="166"/>
      <c r="N1517" s="164"/>
      <c r="O1517" s="166"/>
      <c r="P1517" s="165"/>
    </row>
    <row r="1518" spans="1:16" ht="15" hidden="1" customHeight="1" x14ac:dyDescent="0.25">
      <c r="A1518" s="168"/>
      <c r="B1518" s="167"/>
      <c r="C1518" s="168"/>
      <c r="D1518" s="167"/>
      <c r="E1518" s="167"/>
      <c r="F1518" s="167"/>
      <c r="G1518" s="167"/>
      <c r="H1518" s="167"/>
      <c r="I1518" s="164">
        <f t="shared" ca="1" si="24"/>
        <v>44939</v>
      </c>
      <c r="J1518" s="163">
        <v>0.33333333333333331</v>
      </c>
      <c r="K1518" s="162" t="s">
        <v>749</v>
      </c>
      <c r="L1518" s="166"/>
      <c r="M1518" s="166"/>
      <c r="N1518" s="164"/>
      <c r="O1518" s="166"/>
      <c r="P1518" s="165"/>
    </row>
    <row r="1519" spans="1:16" ht="15" hidden="1" customHeight="1" x14ac:dyDescent="0.25">
      <c r="A1519" s="168"/>
      <c r="B1519" s="167"/>
      <c r="C1519" s="168"/>
      <c r="D1519" s="167"/>
      <c r="E1519" s="167"/>
      <c r="F1519" s="167"/>
      <c r="G1519" s="167"/>
      <c r="H1519" s="167"/>
      <c r="I1519" s="164">
        <f t="shared" ca="1" si="24"/>
        <v>44939</v>
      </c>
      <c r="J1519" s="163">
        <v>0.33333333333333331</v>
      </c>
      <c r="K1519" s="162" t="s">
        <v>749</v>
      </c>
      <c r="L1519" s="166"/>
      <c r="M1519" s="166"/>
      <c r="N1519" s="164"/>
      <c r="O1519" s="166"/>
      <c r="P1519" s="165"/>
    </row>
    <row r="1520" spans="1:16" ht="15" hidden="1" customHeight="1" x14ac:dyDescent="0.25">
      <c r="A1520" s="168"/>
      <c r="B1520" s="167"/>
      <c r="C1520" s="168"/>
      <c r="D1520" s="167"/>
      <c r="E1520" s="167"/>
      <c r="F1520" s="167"/>
      <c r="G1520" s="167"/>
      <c r="H1520" s="167"/>
      <c r="I1520" s="164">
        <f t="shared" ca="1" si="24"/>
        <v>44939</v>
      </c>
      <c r="J1520" s="163">
        <v>0.33333333333333331</v>
      </c>
      <c r="K1520" s="162" t="s">
        <v>749</v>
      </c>
      <c r="L1520" s="166"/>
      <c r="M1520" s="166"/>
      <c r="N1520" s="164"/>
      <c r="O1520" s="166"/>
      <c r="P1520" s="165"/>
    </row>
    <row r="1521" spans="1:16" ht="15" hidden="1" customHeight="1" x14ac:dyDescent="0.25">
      <c r="A1521" s="168"/>
      <c r="B1521" s="167"/>
      <c r="C1521" s="168"/>
      <c r="D1521" s="167"/>
      <c r="E1521" s="167"/>
      <c r="F1521" s="167"/>
      <c r="G1521" s="167"/>
      <c r="H1521" s="167"/>
      <c r="I1521" s="164">
        <f t="shared" ca="1" si="24"/>
        <v>44939</v>
      </c>
      <c r="J1521" s="163">
        <v>0.33333333333333331</v>
      </c>
      <c r="K1521" s="162" t="s">
        <v>749</v>
      </c>
      <c r="L1521" s="166"/>
      <c r="M1521" s="166"/>
      <c r="N1521" s="164"/>
      <c r="O1521" s="166"/>
      <c r="P1521" s="165"/>
    </row>
    <row r="1522" spans="1:16" ht="15" hidden="1" customHeight="1" x14ac:dyDescent="0.25">
      <c r="A1522" s="168"/>
      <c r="B1522" s="167"/>
      <c r="C1522" s="168"/>
      <c r="D1522" s="167"/>
      <c r="E1522" s="167"/>
      <c r="F1522" s="167"/>
      <c r="G1522" s="167"/>
      <c r="H1522" s="167"/>
      <c r="I1522" s="164">
        <f t="shared" ca="1" si="24"/>
        <v>44939</v>
      </c>
      <c r="J1522" s="163">
        <v>0.33333333333333331</v>
      </c>
      <c r="K1522" s="162" t="s">
        <v>749</v>
      </c>
      <c r="L1522" s="166"/>
      <c r="M1522" s="166"/>
      <c r="N1522" s="164"/>
      <c r="O1522" s="166"/>
      <c r="P1522" s="165"/>
    </row>
    <row r="1523" spans="1:16" ht="15" hidden="1" customHeight="1" x14ac:dyDescent="0.25">
      <c r="A1523" s="168"/>
      <c r="B1523" s="167"/>
      <c r="C1523" s="168"/>
      <c r="D1523" s="167"/>
      <c r="E1523" s="167"/>
      <c r="F1523" s="167"/>
      <c r="G1523" s="167"/>
      <c r="H1523" s="167"/>
      <c r="I1523" s="164">
        <f t="shared" ca="1" si="24"/>
        <v>44939</v>
      </c>
      <c r="J1523" s="163">
        <v>0.33333333333333331</v>
      </c>
      <c r="K1523" s="162" t="s">
        <v>749</v>
      </c>
      <c r="L1523" s="166"/>
      <c r="M1523" s="166"/>
      <c r="N1523" s="164"/>
      <c r="O1523" s="166"/>
      <c r="P1523" s="165"/>
    </row>
    <row r="1524" spans="1:16" ht="15" hidden="1" customHeight="1" x14ac:dyDescent="0.25">
      <c r="A1524" s="168"/>
      <c r="B1524" s="167"/>
      <c r="C1524" s="168"/>
      <c r="D1524" s="167"/>
      <c r="E1524" s="167"/>
      <c r="F1524" s="167"/>
      <c r="G1524" s="167"/>
      <c r="H1524" s="167"/>
      <c r="I1524" s="164">
        <f t="shared" ca="1" si="24"/>
        <v>44939</v>
      </c>
      <c r="J1524" s="163">
        <v>0.33333333333333331</v>
      </c>
      <c r="K1524" s="162" t="s">
        <v>749</v>
      </c>
      <c r="L1524" s="166"/>
      <c r="M1524" s="166"/>
      <c r="N1524" s="164"/>
      <c r="O1524" s="166"/>
      <c r="P1524" s="165"/>
    </row>
    <row r="1525" spans="1:16" ht="15" hidden="1" customHeight="1" x14ac:dyDescent="0.25">
      <c r="A1525" s="168"/>
      <c r="B1525" s="167"/>
      <c r="C1525" s="168"/>
      <c r="D1525" s="167"/>
      <c r="E1525" s="167"/>
      <c r="F1525" s="167"/>
      <c r="G1525" s="167"/>
      <c r="H1525" s="167"/>
      <c r="I1525" s="164">
        <f t="shared" ca="1" si="24"/>
        <v>44939</v>
      </c>
      <c r="J1525" s="163">
        <v>0.33333333333333331</v>
      </c>
      <c r="K1525" s="162" t="s">
        <v>749</v>
      </c>
      <c r="L1525" s="166"/>
      <c r="M1525" s="166"/>
      <c r="N1525" s="164"/>
      <c r="O1525" s="166"/>
      <c r="P1525" s="165"/>
    </row>
    <row r="1526" spans="1:16" ht="15" hidden="1" customHeight="1" x14ac:dyDescent="0.25">
      <c r="A1526" s="168"/>
      <c r="B1526" s="167"/>
      <c r="C1526" s="168"/>
      <c r="D1526" s="167"/>
      <c r="E1526" s="167"/>
      <c r="F1526" s="167"/>
      <c r="G1526" s="167"/>
      <c r="H1526" s="167"/>
      <c r="I1526" s="164">
        <f t="shared" ca="1" si="24"/>
        <v>44939</v>
      </c>
      <c r="J1526" s="163">
        <v>0.33333333333333331</v>
      </c>
      <c r="K1526" s="162" t="s">
        <v>749</v>
      </c>
      <c r="L1526" s="166"/>
      <c r="M1526" s="166"/>
      <c r="N1526" s="164"/>
      <c r="O1526" s="166"/>
      <c r="P1526" s="165"/>
    </row>
    <row r="1527" spans="1:16" ht="15" hidden="1" customHeight="1" x14ac:dyDescent="0.25">
      <c r="A1527" s="168"/>
      <c r="B1527" s="167"/>
      <c r="C1527" s="168"/>
      <c r="D1527" s="167"/>
      <c r="E1527" s="167"/>
      <c r="F1527" s="167"/>
      <c r="G1527" s="167"/>
      <c r="H1527" s="167"/>
      <c r="I1527" s="164">
        <f t="shared" ca="1" si="24"/>
        <v>44939</v>
      </c>
      <c r="J1527" s="163">
        <v>0.33333333333333331</v>
      </c>
      <c r="K1527" s="162" t="s">
        <v>749</v>
      </c>
      <c r="L1527" s="166"/>
      <c r="M1527" s="166"/>
      <c r="N1527" s="164"/>
      <c r="O1527" s="166"/>
      <c r="P1527" s="165"/>
    </row>
    <row r="1528" spans="1:16" ht="15" hidden="1" customHeight="1" x14ac:dyDescent="0.25">
      <c r="A1528" s="168"/>
      <c r="B1528" s="167"/>
      <c r="C1528" s="168"/>
      <c r="D1528" s="167"/>
      <c r="E1528" s="167"/>
      <c r="F1528" s="167"/>
      <c r="G1528" s="167"/>
      <c r="H1528" s="167"/>
      <c r="I1528" s="164">
        <f t="shared" ca="1" si="24"/>
        <v>44939</v>
      </c>
      <c r="J1528" s="163">
        <v>0.33333333333333331</v>
      </c>
      <c r="K1528" s="162" t="s">
        <v>749</v>
      </c>
      <c r="L1528" s="166"/>
      <c r="M1528" s="166"/>
      <c r="N1528" s="164"/>
      <c r="O1528" s="166"/>
      <c r="P1528" s="165"/>
    </row>
    <row r="1529" spans="1:16" ht="15" hidden="1" customHeight="1" x14ac:dyDescent="0.25">
      <c r="A1529" s="168"/>
      <c r="B1529" s="167"/>
      <c r="C1529" s="168"/>
      <c r="D1529" s="167"/>
      <c r="E1529" s="167"/>
      <c r="F1529" s="167"/>
      <c r="G1529" s="167"/>
      <c r="H1529" s="167"/>
      <c r="I1529" s="164">
        <f t="shared" ca="1" si="24"/>
        <v>44939</v>
      </c>
      <c r="J1529" s="163">
        <v>0.33333333333333331</v>
      </c>
      <c r="K1529" s="162" t="s">
        <v>749</v>
      </c>
      <c r="L1529" s="166"/>
      <c r="M1529" s="166"/>
      <c r="N1529" s="164"/>
      <c r="O1529" s="166"/>
      <c r="P1529" s="165"/>
    </row>
    <row r="1530" spans="1:16" ht="15" hidden="1" customHeight="1" x14ac:dyDescent="0.25">
      <c r="A1530" s="168"/>
      <c r="B1530" s="167"/>
      <c r="C1530" s="168"/>
      <c r="D1530" s="167"/>
      <c r="E1530" s="167"/>
      <c r="F1530" s="167"/>
      <c r="G1530" s="167"/>
      <c r="H1530" s="167"/>
      <c r="I1530" s="164">
        <f t="shared" ca="1" si="24"/>
        <v>44939</v>
      </c>
      <c r="J1530" s="163">
        <v>0.33333333333333331</v>
      </c>
      <c r="K1530" s="162" t="s">
        <v>749</v>
      </c>
      <c r="L1530" s="166"/>
      <c r="M1530" s="166"/>
      <c r="N1530" s="164"/>
      <c r="O1530" s="166"/>
      <c r="P1530" s="165"/>
    </row>
    <row r="1531" spans="1:16" ht="15" hidden="1" customHeight="1" x14ac:dyDescent="0.25">
      <c r="A1531" s="168"/>
      <c r="B1531" s="167"/>
      <c r="C1531" s="168"/>
      <c r="D1531" s="167"/>
      <c r="E1531" s="167"/>
      <c r="F1531" s="167"/>
      <c r="G1531" s="167"/>
      <c r="H1531" s="167"/>
      <c r="I1531" s="164">
        <f t="shared" ca="1" si="24"/>
        <v>44939</v>
      </c>
      <c r="J1531" s="163">
        <v>0.33333333333333331</v>
      </c>
      <c r="K1531" s="162" t="s">
        <v>749</v>
      </c>
      <c r="L1531" s="166"/>
      <c r="M1531" s="166"/>
      <c r="N1531" s="164"/>
      <c r="O1531" s="166"/>
      <c r="P1531" s="165"/>
    </row>
    <row r="1532" spans="1:16" ht="15" hidden="1" customHeight="1" x14ac:dyDescent="0.25">
      <c r="A1532" s="168"/>
      <c r="B1532" s="167"/>
      <c r="C1532" s="168"/>
      <c r="D1532" s="167"/>
      <c r="E1532" s="167"/>
      <c r="F1532" s="167"/>
      <c r="G1532" s="167"/>
      <c r="H1532" s="167"/>
      <c r="I1532" s="164">
        <f t="shared" ca="1" si="24"/>
        <v>44939</v>
      </c>
      <c r="J1532" s="163">
        <v>0.33333333333333331</v>
      </c>
      <c r="K1532" s="162" t="s">
        <v>749</v>
      </c>
      <c r="L1532" s="166"/>
      <c r="M1532" s="166"/>
      <c r="N1532" s="164"/>
      <c r="O1532" s="166"/>
      <c r="P1532" s="165"/>
    </row>
    <row r="1533" spans="1:16" ht="15" hidden="1" customHeight="1" x14ac:dyDescent="0.25">
      <c r="A1533" s="168"/>
      <c r="B1533" s="167"/>
      <c r="C1533" s="168"/>
      <c r="D1533" s="167"/>
      <c r="E1533" s="167"/>
      <c r="F1533" s="167"/>
      <c r="G1533" s="167"/>
      <c r="H1533" s="167"/>
      <c r="I1533" s="164">
        <f t="shared" ca="1" si="24"/>
        <v>44939</v>
      </c>
      <c r="J1533" s="163">
        <v>0.33333333333333331</v>
      </c>
      <c r="K1533" s="162" t="s">
        <v>749</v>
      </c>
      <c r="L1533" s="166"/>
      <c r="M1533" s="166"/>
      <c r="N1533" s="164"/>
      <c r="O1533" s="166"/>
      <c r="P1533" s="165"/>
    </row>
    <row r="1534" spans="1:16" ht="15" hidden="1" customHeight="1" x14ac:dyDescent="0.25">
      <c r="A1534" s="168"/>
      <c r="B1534" s="167"/>
      <c r="C1534" s="168"/>
      <c r="D1534" s="167"/>
      <c r="E1534" s="167"/>
      <c r="F1534" s="167"/>
      <c r="G1534" s="167"/>
      <c r="H1534" s="167"/>
      <c r="I1534" s="164">
        <f t="shared" ca="1" si="24"/>
        <v>44939</v>
      </c>
      <c r="J1534" s="163">
        <v>0.33333333333333331</v>
      </c>
      <c r="K1534" s="162" t="s">
        <v>749</v>
      </c>
      <c r="L1534" s="166"/>
      <c r="M1534" s="166"/>
      <c r="N1534" s="164"/>
      <c r="O1534" s="166"/>
      <c r="P1534" s="165"/>
    </row>
    <row r="1535" spans="1:16" ht="15" hidden="1" customHeight="1" x14ac:dyDescent="0.25">
      <c r="A1535" s="168"/>
      <c r="B1535" s="167"/>
      <c r="C1535" s="168"/>
      <c r="D1535" s="167"/>
      <c r="E1535" s="167"/>
      <c r="F1535" s="167"/>
      <c r="G1535" s="167"/>
      <c r="H1535" s="167"/>
      <c r="I1535" s="164">
        <f t="shared" ca="1" si="24"/>
        <v>44939</v>
      </c>
      <c r="J1535" s="163">
        <v>0.33333333333333331</v>
      </c>
      <c r="K1535" s="162" t="s">
        <v>749</v>
      </c>
      <c r="L1535" s="166"/>
      <c r="M1535" s="166"/>
      <c r="N1535" s="164"/>
      <c r="O1535" s="166"/>
      <c r="P1535" s="165"/>
    </row>
    <row r="1536" spans="1:16" ht="15" hidden="1" customHeight="1" x14ac:dyDescent="0.25">
      <c r="A1536" s="168"/>
      <c r="B1536" s="167"/>
      <c r="C1536" s="168"/>
      <c r="D1536" s="167"/>
      <c r="E1536" s="167"/>
      <c r="F1536" s="167"/>
      <c r="G1536" s="167"/>
      <c r="H1536" s="167"/>
      <c r="I1536" s="164">
        <f t="shared" ca="1" si="24"/>
        <v>44939</v>
      </c>
      <c r="J1536" s="163">
        <v>0.33333333333333331</v>
      </c>
      <c r="K1536" s="162" t="s">
        <v>749</v>
      </c>
      <c r="L1536" s="166"/>
      <c r="M1536" s="166"/>
      <c r="N1536" s="164"/>
      <c r="O1536" s="166"/>
      <c r="P1536" s="165"/>
    </row>
    <row r="1537" spans="1:16" ht="15" hidden="1" customHeight="1" x14ac:dyDescent="0.25">
      <c r="A1537" s="168"/>
      <c r="B1537" s="167"/>
      <c r="C1537" s="168"/>
      <c r="D1537" s="167"/>
      <c r="E1537" s="167"/>
      <c r="F1537" s="167"/>
      <c r="G1537" s="167"/>
      <c r="H1537" s="167"/>
      <c r="I1537" s="164">
        <f t="shared" ca="1" si="24"/>
        <v>44939</v>
      </c>
      <c r="J1537" s="163">
        <v>0.33333333333333331</v>
      </c>
      <c r="K1537" s="162" t="s">
        <v>749</v>
      </c>
      <c r="L1537" s="166"/>
      <c r="M1537" s="166"/>
      <c r="N1537" s="164"/>
      <c r="O1537" s="166"/>
      <c r="P1537" s="165"/>
    </row>
    <row r="1538" spans="1:16" ht="15" hidden="1" customHeight="1" x14ac:dyDescent="0.25">
      <c r="A1538" s="168"/>
      <c r="B1538" s="167"/>
      <c r="C1538" s="168"/>
      <c r="D1538" s="167"/>
      <c r="E1538" s="167"/>
      <c r="F1538" s="167"/>
      <c r="G1538" s="167"/>
      <c r="H1538" s="167"/>
      <c r="I1538" s="164">
        <f t="shared" ca="1" si="24"/>
        <v>44939</v>
      </c>
      <c r="J1538" s="163">
        <v>0.33333333333333331</v>
      </c>
      <c r="K1538" s="162" t="s">
        <v>749</v>
      </c>
      <c r="L1538" s="166"/>
      <c r="M1538" s="166"/>
      <c r="N1538" s="164"/>
      <c r="O1538" s="166"/>
      <c r="P1538" s="165"/>
    </row>
    <row r="1539" spans="1:16" ht="15" hidden="1" customHeight="1" x14ac:dyDescent="0.25">
      <c r="A1539" s="168"/>
      <c r="B1539" s="167"/>
      <c r="C1539" s="168"/>
      <c r="D1539" s="167"/>
      <c r="E1539" s="167"/>
      <c r="F1539" s="167"/>
      <c r="G1539" s="167"/>
      <c r="H1539" s="167"/>
      <c r="I1539" s="164">
        <f t="shared" ca="1" si="24"/>
        <v>44939</v>
      </c>
      <c r="J1539" s="163">
        <v>0.33333333333333331</v>
      </c>
      <c r="K1539" s="162" t="s">
        <v>749</v>
      </c>
      <c r="L1539" s="166"/>
      <c r="M1539" s="166"/>
      <c r="N1539" s="164"/>
      <c r="O1539" s="166"/>
      <c r="P1539" s="165"/>
    </row>
    <row r="1540" spans="1:16" ht="15" hidden="1" customHeight="1" x14ac:dyDescent="0.25">
      <c r="A1540" s="168"/>
      <c r="B1540" s="167"/>
      <c r="C1540" s="168"/>
      <c r="D1540" s="167"/>
      <c r="E1540" s="167"/>
      <c r="F1540" s="167"/>
      <c r="G1540" s="167"/>
      <c r="H1540" s="167"/>
      <c r="I1540" s="164">
        <f t="shared" ca="1" si="24"/>
        <v>44939</v>
      </c>
      <c r="J1540" s="163">
        <v>0.33333333333333331</v>
      </c>
      <c r="K1540" s="162" t="s">
        <v>749</v>
      </c>
      <c r="L1540" s="166"/>
      <c r="M1540" s="166"/>
      <c r="N1540" s="164"/>
      <c r="O1540" s="166"/>
      <c r="P1540" s="165"/>
    </row>
    <row r="1541" spans="1:16" ht="15" hidden="1" customHeight="1" x14ac:dyDescent="0.25">
      <c r="A1541" s="168"/>
      <c r="B1541" s="167"/>
      <c r="C1541" s="168"/>
      <c r="D1541" s="167"/>
      <c r="E1541" s="167"/>
      <c r="F1541" s="167"/>
      <c r="G1541" s="167"/>
      <c r="H1541" s="167"/>
      <c r="I1541" s="164">
        <f t="shared" ca="1" si="24"/>
        <v>44939</v>
      </c>
      <c r="J1541" s="163">
        <v>0.33333333333333331</v>
      </c>
      <c r="K1541" s="162" t="s">
        <v>749</v>
      </c>
      <c r="L1541" s="166"/>
      <c r="M1541" s="166"/>
      <c r="N1541" s="164"/>
      <c r="O1541" s="166"/>
      <c r="P1541" s="165"/>
    </row>
    <row r="1542" spans="1:16" ht="15" hidden="1" customHeight="1" x14ac:dyDescent="0.25">
      <c r="A1542" s="168"/>
      <c r="B1542" s="167"/>
      <c r="C1542" s="168"/>
      <c r="D1542" s="167"/>
      <c r="E1542" s="167"/>
      <c r="F1542" s="167"/>
      <c r="G1542" s="167"/>
      <c r="H1542" s="167"/>
      <c r="I1542" s="164">
        <f t="shared" ca="1" si="24"/>
        <v>44939</v>
      </c>
      <c r="J1542" s="163">
        <v>0.33333333333333331</v>
      </c>
      <c r="K1542" s="162" t="s">
        <v>749</v>
      </c>
      <c r="L1542" s="166"/>
      <c r="M1542" s="166"/>
      <c r="N1542" s="164"/>
      <c r="O1542" s="166"/>
      <c r="P1542" s="165"/>
    </row>
    <row r="1543" spans="1:16" ht="15" hidden="1" customHeight="1" x14ac:dyDescent="0.25">
      <c r="A1543" s="168"/>
      <c r="B1543" s="167"/>
      <c r="C1543" s="168"/>
      <c r="D1543" s="167"/>
      <c r="E1543" s="167"/>
      <c r="F1543" s="167"/>
      <c r="G1543" s="167"/>
      <c r="H1543" s="167"/>
      <c r="I1543" s="164">
        <f t="shared" ca="1" si="24"/>
        <v>44939</v>
      </c>
      <c r="J1543" s="163">
        <v>0.33333333333333331</v>
      </c>
      <c r="K1543" s="162" t="s">
        <v>749</v>
      </c>
      <c r="L1543" s="166"/>
      <c r="M1543" s="166"/>
      <c r="N1543" s="164"/>
      <c r="O1543" s="166"/>
      <c r="P1543" s="165"/>
    </row>
    <row r="1544" spans="1:16" ht="15" hidden="1" customHeight="1" x14ac:dyDescent="0.25">
      <c r="A1544" s="168"/>
      <c r="B1544" s="167"/>
      <c r="C1544" s="168"/>
      <c r="D1544" s="167"/>
      <c r="E1544" s="167"/>
      <c r="F1544" s="167"/>
      <c r="G1544" s="167"/>
      <c r="H1544" s="167"/>
      <c r="I1544" s="164">
        <f t="shared" ca="1" si="24"/>
        <v>44939</v>
      </c>
      <c r="J1544" s="163">
        <v>0.33333333333333331</v>
      </c>
      <c r="K1544" s="162" t="s">
        <v>749</v>
      </c>
      <c r="L1544" s="166"/>
      <c r="M1544" s="166"/>
      <c r="N1544" s="164"/>
      <c r="O1544" s="166"/>
      <c r="P1544" s="165"/>
    </row>
    <row r="1545" spans="1:16" ht="15" hidden="1" customHeight="1" x14ac:dyDescent="0.25">
      <c r="A1545" s="168"/>
      <c r="B1545" s="167"/>
      <c r="C1545" s="168"/>
      <c r="D1545" s="167"/>
      <c r="E1545" s="167"/>
      <c r="F1545" s="167"/>
      <c r="G1545" s="167"/>
      <c r="H1545" s="167"/>
      <c r="I1545" s="164">
        <f t="shared" ca="1" si="24"/>
        <v>44939</v>
      </c>
      <c r="J1545" s="163">
        <v>0.33333333333333331</v>
      </c>
      <c r="K1545" s="162" t="s">
        <v>749</v>
      </c>
      <c r="L1545" s="166"/>
      <c r="M1545" s="166"/>
      <c r="N1545" s="164"/>
      <c r="O1545" s="166"/>
      <c r="P1545" s="165"/>
    </row>
    <row r="1546" spans="1:16" ht="15" hidden="1" customHeight="1" x14ac:dyDescent="0.25">
      <c r="A1546" s="168"/>
      <c r="B1546" s="167"/>
      <c r="C1546" s="168"/>
      <c r="D1546" s="167"/>
      <c r="E1546" s="167"/>
      <c r="F1546" s="167"/>
      <c r="G1546" s="167"/>
      <c r="H1546" s="167"/>
      <c r="I1546" s="164">
        <f t="shared" ca="1" si="24"/>
        <v>44939</v>
      </c>
      <c r="J1546" s="163">
        <v>0.33333333333333331</v>
      </c>
      <c r="K1546" s="162" t="s">
        <v>749</v>
      </c>
      <c r="L1546" s="166"/>
      <c r="M1546" s="166"/>
      <c r="N1546" s="164"/>
      <c r="O1546" s="166"/>
      <c r="P1546" s="165"/>
    </row>
    <row r="1547" spans="1:16" ht="15" hidden="1" customHeight="1" x14ac:dyDescent="0.25">
      <c r="A1547" s="168"/>
      <c r="B1547" s="167"/>
      <c r="C1547" s="168"/>
      <c r="D1547" s="167"/>
      <c r="E1547" s="167"/>
      <c r="F1547" s="167"/>
      <c r="G1547" s="167"/>
      <c r="H1547" s="167"/>
      <c r="I1547" s="164">
        <f t="shared" ca="1" si="24"/>
        <v>44939</v>
      </c>
      <c r="J1547" s="163">
        <v>0.33333333333333331</v>
      </c>
      <c r="K1547" s="162" t="s">
        <v>749</v>
      </c>
      <c r="L1547" s="166"/>
      <c r="M1547" s="166"/>
      <c r="N1547" s="164"/>
      <c r="O1547" s="166"/>
      <c r="P1547" s="165"/>
    </row>
    <row r="1548" spans="1:16" ht="15" hidden="1" customHeight="1" x14ac:dyDescent="0.25">
      <c r="A1548" s="168"/>
      <c r="B1548" s="167"/>
      <c r="C1548" s="168"/>
      <c r="D1548" s="167"/>
      <c r="E1548" s="167"/>
      <c r="F1548" s="167"/>
      <c r="G1548" s="167"/>
      <c r="H1548" s="167"/>
      <c r="I1548" s="164">
        <f t="shared" ca="1" si="24"/>
        <v>44939</v>
      </c>
      <c r="J1548" s="163">
        <v>0.33333333333333331</v>
      </c>
      <c r="K1548" s="162" t="s">
        <v>749</v>
      </c>
      <c r="L1548" s="166"/>
      <c r="M1548" s="166"/>
      <c r="N1548" s="164"/>
      <c r="O1548" s="166"/>
      <c r="P1548" s="165"/>
    </row>
    <row r="1549" spans="1:16" ht="15" hidden="1" customHeight="1" x14ac:dyDescent="0.25">
      <c r="A1549" s="168"/>
      <c r="B1549" s="167"/>
      <c r="C1549" s="168"/>
      <c r="D1549" s="167"/>
      <c r="E1549" s="167"/>
      <c r="F1549" s="167"/>
      <c r="G1549" s="167"/>
      <c r="H1549" s="167"/>
      <c r="I1549" s="164">
        <f t="shared" ca="1" si="24"/>
        <v>44939</v>
      </c>
      <c r="J1549" s="163">
        <v>0.33333333333333331</v>
      </c>
      <c r="K1549" s="162" t="s">
        <v>749</v>
      </c>
      <c r="L1549" s="166"/>
      <c r="M1549" s="166"/>
      <c r="N1549" s="164"/>
      <c r="O1549" s="166"/>
      <c r="P1549" s="165"/>
    </row>
    <row r="1550" spans="1:16" ht="15" hidden="1" customHeight="1" x14ac:dyDescent="0.25">
      <c r="A1550" s="168"/>
      <c r="B1550" s="167"/>
      <c r="C1550" s="168"/>
      <c r="D1550" s="167"/>
      <c r="E1550" s="167"/>
      <c r="F1550" s="167"/>
      <c r="G1550" s="167"/>
      <c r="H1550" s="167"/>
      <c r="I1550" s="164">
        <f t="shared" ca="1" si="24"/>
        <v>44939</v>
      </c>
      <c r="J1550" s="163">
        <v>0.33333333333333331</v>
      </c>
      <c r="K1550" s="162" t="s">
        <v>749</v>
      </c>
      <c r="L1550" s="166"/>
      <c r="M1550" s="166"/>
      <c r="N1550" s="164"/>
      <c r="O1550" s="166"/>
      <c r="P1550" s="165"/>
    </row>
    <row r="1551" spans="1:16" ht="15" hidden="1" customHeight="1" x14ac:dyDescent="0.25">
      <c r="A1551" s="168"/>
      <c r="B1551" s="167"/>
      <c r="C1551" s="168"/>
      <c r="D1551" s="167"/>
      <c r="E1551" s="167"/>
      <c r="F1551" s="167"/>
      <c r="G1551" s="167"/>
      <c r="H1551" s="167"/>
      <c r="I1551" s="164">
        <f t="shared" ca="1" si="24"/>
        <v>44939</v>
      </c>
      <c r="J1551" s="163">
        <v>0.33333333333333331</v>
      </c>
      <c r="K1551" s="162" t="s">
        <v>749</v>
      </c>
      <c r="L1551" s="166"/>
      <c r="M1551" s="166"/>
      <c r="N1551" s="164"/>
      <c r="O1551" s="166"/>
      <c r="P1551" s="165"/>
    </row>
    <row r="1552" spans="1:16" ht="15" hidden="1" customHeight="1" x14ac:dyDescent="0.25">
      <c r="A1552" s="168"/>
      <c r="B1552" s="167"/>
      <c r="C1552" s="168"/>
      <c r="D1552" s="167"/>
      <c r="E1552" s="167"/>
      <c r="F1552" s="167"/>
      <c r="G1552" s="167"/>
      <c r="H1552" s="167"/>
      <c r="I1552" s="164">
        <f t="shared" ca="1" si="24"/>
        <v>44939</v>
      </c>
      <c r="J1552" s="163">
        <v>0.33333333333333331</v>
      </c>
      <c r="K1552" s="162" t="s">
        <v>749</v>
      </c>
      <c r="L1552" s="166"/>
      <c r="M1552" s="166"/>
      <c r="N1552" s="164"/>
      <c r="O1552" s="166"/>
      <c r="P1552" s="165"/>
    </row>
    <row r="1553" spans="1:16" ht="15" hidden="1" customHeight="1" x14ac:dyDescent="0.25">
      <c r="A1553" s="168"/>
      <c r="B1553" s="167"/>
      <c r="C1553" s="168"/>
      <c r="D1553" s="167"/>
      <c r="E1553" s="167"/>
      <c r="F1553" s="167"/>
      <c r="G1553" s="167"/>
      <c r="H1553" s="167"/>
      <c r="I1553" s="164">
        <f t="shared" ca="1" si="24"/>
        <v>44939</v>
      </c>
      <c r="J1553" s="163">
        <v>0.33333333333333331</v>
      </c>
      <c r="K1553" s="162" t="s">
        <v>749</v>
      </c>
      <c r="L1553" s="166"/>
      <c r="M1553" s="166"/>
      <c r="N1553" s="164"/>
      <c r="O1553" s="166"/>
      <c r="P1553" s="165"/>
    </row>
    <row r="1554" spans="1:16" ht="15" hidden="1" customHeight="1" x14ac:dyDescent="0.25">
      <c r="A1554" s="168"/>
      <c r="B1554" s="167"/>
      <c r="C1554" s="168"/>
      <c r="D1554" s="167"/>
      <c r="E1554" s="167"/>
      <c r="F1554" s="167"/>
      <c r="G1554" s="167"/>
      <c r="H1554" s="167"/>
      <c r="I1554" s="164">
        <f t="shared" ca="1" si="24"/>
        <v>44939</v>
      </c>
      <c r="J1554" s="163">
        <v>0.33333333333333331</v>
      </c>
      <c r="K1554" s="162" t="s">
        <v>749</v>
      </c>
      <c r="L1554" s="166"/>
      <c r="M1554" s="166"/>
      <c r="N1554" s="164"/>
      <c r="O1554" s="166"/>
      <c r="P1554" s="165"/>
    </row>
    <row r="1555" spans="1:16" ht="15" hidden="1" customHeight="1" x14ac:dyDescent="0.25">
      <c r="A1555" s="168"/>
      <c r="B1555" s="167"/>
      <c r="C1555" s="168"/>
      <c r="D1555" s="167"/>
      <c r="E1555" s="167"/>
      <c r="F1555" s="167"/>
      <c r="G1555" s="167"/>
      <c r="H1555" s="167"/>
      <c r="I1555" s="164">
        <f t="shared" ca="1" si="24"/>
        <v>44939</v>
      </c>
      <c r="J1555" s="163">
        <v>0.33333333333333331</v>
      </c>
      <c r="K1555" s="162" t="s">
        <v>749</v>
      </c>
      <c r="L1555" s="166"/>
      <c r="M1555" s="166"/>
      <c r="N1555" s="164"/>
      <c r="O1555" s="166"/>
      <c r="P1555" s="165"/>
    </row>
    <row r="1556" spans="1:16" ht="15" hidden="1" customHeight="1" x14ac:dyDescent="0.25">
      <c r="A1556" s="168"/>
      <c r="B1556" s="167"/>
      <c r="C1556" s="168"/>
      <c r="D1556" s="167"/>
      <c r="E1556" s="167"/>
      <c r="F1556" s="167"/>
      <c r="G1556" s="167"/>
      <c r="H1556" s="167"/>
      <c r="I1556" s="164">
        <f t="shared" ca="1" si="24"/>
        <v>44939</v>
      </c>
      <c r="J1556" s="163">
        <v>0.33333333333333331</v>
      </c>
      <c r="K1556" s="162" t="s">
        <v>749</v>
      </c>
      <c r="L1556" s="166"/>
      <c r="M1556" s="166"/>
      <c r="N1556" s="164"/>
      <c r="O1556" s="166"/>
      <c r="P1556" s="165"/>
    </row>
    <row r="1557" spans="1:16" ht="15" hidden="1" customHeight="1" x14ac:dyDescent="0.25">
      <c r="A1557" s="168"/>
      <c r="B1557" s="167"/>
      <c r="C1557" s="168"/>
      <c r="D1557" s="167"/>
      <c r="E1557" s="167"/>
      <c r="F1557" s="167"/>
      <c r="G1557" s="167"/>
      <c r="H1557" s="167"/>
      <c r="I1557" s="164">
        <f t="shared" ca="1" si="24"/>
        <v>44939</v>
      </c>
      <c r="J1557" s="163">
        <v>0.33333333333333331</v>
      </c>
      <c r="K1557" s="162" t="s">
        <v>749</v>
      </c>
      <c r="L1557" s="166"/>
      <c r="M1557" s="166"/>
      <c r="N1557" s="164"/>
      <c r="O1557" s="166"/>
      <c r="P1557" s="165"/>
    </row>
    <row r="1558" spans="1:16" ht="15" hidden="1" customHeight="1" x14ac:dyDescent="0.25">
      <c r="A1558" s="168"/>
      <c r="B1558" s="167"/>
      <c r="C1558" s="168"/>
      <c r="D1558" s="167"/>
      <c r="E1558" s="167"/>
      <c r="F1558" s="167"/>
      <c r="G1558" s="167"/>
      <c r="H1558" s="167"/>
      <c r="I1558" s="164">
        <f t="shared" ca="1" si="24"/>
        <v>44939</v>
      </c>
      <c r="J1558" s="163">
        <v>0.33333333333333331</v>
      </c>
      <c r="K1558" s="162" t="s">
        <v>749</v>
      </c>
      <c r="L1558" s="166"/>
      <c r="M1558" s="166"/>
      <c r="N1558" s="164"/>
      <c r="O1558" s="166"/>
      <c r="P1558" s="165"/>
    </row>
    <row r="1559" spans="1:16" ht="15" hidden="1" customHeight="1" x14ac:dyDescent="0.25">
      <c r="A1559" s="168"/>
      <c r="B1559" s="167"/>
      <c r="C1559" s="168"/>
      <c r="D1559" s="167"/>
      <c r="E1559" s="167"/>
      <c r="F1559" s="167"/>
      <c r="G1559" s="167"/>
      <c r="H1559" s="167"/>
      <c r="I1559" s="164">
        <f t="shared" ca="1" si="24"/>
        <v>44939</v>
      </c>
      <c r="J1559" s="163">
        <v>0.33333333333333331</v>
      </c>
      <c r="K1559" s="162" t="s">
        <v>749</v>
      </c>
      <c r="L1559" s="166"/>
      <c r="M1559" s="166"/>
      <c r="N1559" s="164"/>
      <c r="O1559" s="166"/>
      <c r="P1559" s="165"/>
    </row>
    <row r="1560" spans="1:16" ht="15" hidden="1" customHeight="1" x14ac:dyDescent="0.25">
      <c r="A1560" s="168"/>
      <c r="B1560" s="167"/>
      <c r="C1560" s="168"/>
      <c r="D1560" s="167"/>
      <c r="E1560" s="167"/>
      <c r="F1560" s="167"/>
      <c r="G1560" s="167"/>
      <c r="H1560" s="167"/>
      <c r="I1560" s="164">
        <f t="shared" ref="I1560:I1623" ca="1" si="25">TODAY()</f>
        <v>44939</v>
      </c>
      <c r="J1560" s="163">
        <v>0.33333333333333331</v>
      </c>
      <c r="K1560" s="162" t="s">
        <v>749</v>
      </c>
      <c r="L1560" s="166"/>
      <c r="M1560" s="166"/>
      <c r="N1560" s="164"/>
      <c r="O1560" s="166"/>
      <c r="P1560" s="165"/>
    </row>
    <row r="1561" spans="1:16" ht="15" hidden="1" customHeight="1" x14ac:dyDescent="0.25">
      <c r="A1561" s="168"/>
      <c r="B1561" s="167"/>
      <c r="C1561" s="168"/>
      <c r="D1561" s="167"/>
      <c r="E1561" s="167"/>
      <c r="F1561" s="167"/>
      <c r="G1561" s="167"/>
      <c r="H1561" s="167"/>
      <c r="I1561" s="164">
        <f t="shared" ca="1" si="25"/>
        <v>44939</v>
      </c>
      <c r="J1561" s="163">
        <v>0.33333333333333331</v>
      </c>
      <c r="K1561" s="162" t="s">
        <v>749</v>
      </c>
      <c r="L1561" s="166"/>
      <c r="M1561" s="166"/>
      <c r="N1561" s="164"/>
      <c r="O1561" s="166"/>
      <c r="P1561" s="165"/>
    </row>
    <row r="1562" spans="1:16" ht="15" hidden="1" customHeight="1" x14ac:dyDescent="0.25">
      <c r="A1562" s="168"/>
      <c r="B1562" s="167"/>
      <c r="C1562" s="168"/>
      <c r="D1562" s="167"/>
      <c r="E1562" s="167"/>
      <c r="F1562" s="167"/>
      <c r="G1562" s="167"/>
      <c r="H1562" s="167"/>
      <c r="I1562" s="164">
        <f t="shared" ca="1" si="25"/>
        <v>44939</v>
      </c>
      <c r="J1562" s="163">
        <v>0.33333333333333331</v>
      </c>
      <c r="K1562" s="162" t="s">
        <v>749</v>
      </c>
      <c r="L1562" s="166"/>
      <c r="M1562" s="166"/>
      <c r="N1562" s="164"/>
      <c r="O1562" s="166"/>
      <c r="P1562" s="165"/>
    </row>
    <row r="1563" spans="1:16" ht="15" hidden="1" customHeight="1" x14ac:dyDescent="0.25">
      <c r="A1563" s="168"/>
      <c r="B1563" s="167"/>
      <c r="C1563" s="168"/>
      <c r="D1563" s="167"/>
      <c r="E1563" s="167"/>
      <c r="F1563" s="167"/>
      <c r="G1563" s="167"/>
      <c r="H1563" s="167"/>
      <c r="I1563" s="164">
        <f t="shared" ca="1" si="25"/>
        <v>44939</v>
      </c>
      <c r="J1563" s="163">
        <v>0.33333333333333331</v>
      </c>
      <c r="K1563" s="162" t="s">
        <v>749</v>
      </c>
      <c r="L1563" s="166"/>
      <c r="M1563" s="166"/>
      <c r="N1563" s="164"/>
      <c r="O1563" s="166"/>
      <c r="P1563" s="165"/>
    </row>
    <row r="1564" spans="1:16" ht="15" hidden="1" customHeight="1" x14ac:dyDescent="0.25">
      <c r="A1564" s="168"/>
      <c r="B1564" s="167"/>
      <c r="C1564" s="168"/>
      <c r="D1564" s="167"/>
      <c r="E1564" s="167"/>
      <c r="F1564" s="167"/>
      <c r="G1564" s="167"/>
      <c r="H1564" s="167"/>
      <c r="I1564" s="164">
        <f t="shared" ca="1" si="25"/>
        <v>44939</v>
      </c>
      <c r="J1564" s="163">
        <v>0.33333333333333331</v>
      </c>
      <c r="K1564" s="162" t="s">
        <v>749</v>
      </c>
      <c r="L1564" s="166"/>
      <c r="M1564" s="166"/>
      <c r="N1564" s="164"/>
      <c r="O1564" s="166"/>
      <c r="P1564" s="165"/>
    </row>
    <row r="1565" spans="1:16" ht="15" hidden="1" customHeight="1" x14ac:dyDescent="0.25">
      <c r="A1565" s="168"/>
      <c r="B1565" s="167"/>
      <c r="C1565" s="168"/>
      <c r="D1565" s="167"/>
      <c r="E1565" s="167"/>
      <c r="F1565" s="167"/>
      <c r="G1565" s="167"/>
      <c r="H1565" s="167"/>
      <c r="I1565" s="164">
        <f t="shared" ca="1" si="25"/>
        <v>44939</v>
      </c>
      <c r="J1565" s="163">
        <v>0.33333333333333331</v>
      </c>
      <c r="K1565" s="162" t="s">
        <v>749</v>
      </c>
      <c r="L1565" s="166"/>
      <c r="M1565" s="166"/>
      <c r="N1565" s="164"/>
      <c r="O1565" s="166"/>
      <c r="P1565" s="165"/>
    </row>
    <row r="1566" spans="1:16" ht="15" hidden="1" customHeight="1" x14ac:dyDescent="0.25">
      <c r="A1566" s="168"/>
      <c r="B1566" s="167"/>
      <c r="C1566" s="168"/>
      <c r="D1566" s="167"/>
      <c r="E1566" s="167"/>
      <c r="F1566" s="167"/>
      <c r="G1566" s="167"/>
      <c r="H1566" s="167"/>
      <c r="I1566" s="164">
        <f t="shared" ca="1" si="25"/>
        <v>44939</v>
      </c>
      <c r="J1566" s="163">
        <v>0.33333333333333331</v>
      </c>
      <c r="K1566" s="162" t="s">
        <v>749</v>
      </c>
      <c r="L1566" s="166"/>
      <c r="M1566" s="166"/>
      <c r="N1566" s="164"/>
      <c r="O1566" s="166"/>
      <c r="P1566" s="165"/>
    </row>
    <row r="1567" spans="1:16" ht="15" hidden="1" customHeight="1" x14ac:dyDescent="0.25">
      <c r="A1567" s="168"/>
      <c r="B1567" s="167"/>
      <c r="C1567" s="168"/>
      <c r="D1567" s="167"/>
      <c r="E1567" s="167"/>
      <c r="F1567" s="167"/>
      <c r="G1567" s="167"/>
      <c r="H1567" s="167"/>
      <c r="I1567" s="164">
        <f t="shared" ca="1" si="25"/>
        <v>44939</v>
      </c>
      <c r="J1567" s="163">
        <v>0.33333333333333331</v>
      </c>
      <c r="K1567" s="162" t="s">
        <v>749</v>
      </c>
      <c r="L1567" s="166"/>
      <c r="M1567" s="166"/>
      <c r="N1567" s="164"/>
      <c r="O1567" s="166"/>
      <c r="P1567" s="165"/>
    </row>
    <row r="1568" spans="1:16" ht="15" hidden="1" customHeight="1" x14ac:dyDescent="0.25">
      <c r="A1568" s="168"/>
      <c r="B1568" s="167"/>
      <c r="C1568" s="168"/>
      <c r="D1568" s="167"/>
      <c r="E1568" s="167"/>
      <c r="F1568" s="167"/>
      <c r="G1568" s="167"/>
      <c r="H1568" s="167"/>
      <c r="I1568" s="164">
        <f t="shared" ca="1" si="25"/>
        <v>44939</v>
      </c>
      <c r="J1568" s="163">
        <v>0.33333333333333331</v>
      </c>
      <c r="K1568" s="162" t="s">
        <v>749</v>
      </c>
      <c r="L1568" s="166"/>
      <c r="M1568" s="166"/>
      <c r="N1568" s="164"/>
      <c r="O1568" s="166"/>
      <c r="P1568" s="165"/>
    </row>
    <row r="1569" spans="1:16" ht="15" hidden="1" customHeight="1" x14ac:dyDescent="0.25">
      <c r="A1569" s="168"/>
      <c r="B1569" s="167"/>
      <c r="C1569" s="168"/>
      <c r="D1569" s="167"/>
      <c r="E1569" s="167"/>
      <c r="F1569" s="167"/>
      <c r="G1569" s="167"/>
      <c r="H1569" s="167"/>
      <c r="I1569" s="164">
        <f t="shared" ca="1" si="25"/>
        <v>44939</v>
      </c>
      <c r="J1569" s="163">
        <v>0.33333333333333331</v>
      </c>
      <c r="K1569" s="162" t="s">
        <v>749</v>
      </c>
      <c r="L1569" s="166"/>
      <c r="M1569" s="166"/>
      <c r="N1569" s="164"/>
      <c r="O1569" s="166"/>
      <c r="P1569" s="165"/>
    </row>
    <row r="1570" spans="1:16" ht="15" hidden="1" customHeight="1" x14ac:dyDescent="0.25">
      <c r="A1570" s="168"/>
      <c r="B1570" s="167"/>
      <c r="C1570" s="168"/>
      <c r="D1570" s="167"/>
      <c r="E1570" s="167"/>
      <c r="F1570" s="167"/>
      <c r="G1570" s="167"/>
      <c r="H1570" s="167"/>
      <c r="I1570" s="164">
        <f t="shared" ca="1" si="25"/>
        <v>44939</v>
      </c>
      <c r="J1570" s="163">
        <v>0.33333333333333331</v>
      </c>
      <c r="K1570" s="162" t="s">
        <v>749</v>
      </c>
      <c r="L1570" s="166"/>
      <c r="M1570" s="166"/>
      <c r="N1570" s="164"/>
      <c r="O1570" s="166"/>
      <c r="P1570" s="165"/>
    </row>
    <row r="1571" spans="1:16" ht="15" hidden="1" customHeight="1" x14ac:dyDescent="0.25">
      <c r="A1571" s="168"/>
      <c r="B1571" s="167"/>
      <c r="C1571" s="168"/>
      <c r="D1571" s="167"/>
      <c r="E1571" s="167"/>
      <c r="F1571" s="167"/>
      <c r="G1571" s="167"/>
      <c r="H1571" s="167"/>
      <c r="I1571" s="164">
        <f t="shared" ca="1" si="25"/>
        <v>44939</v>
      </c>
      <c r="J1571" s="163">
        <v>0.33333333333333331</v>
      </c>
      <c r="K1571" s="162" t="s">
        <v>749</v>
      </c>
      <c r="L1571" s="166"/>
      <c r="M1571" s="166"/>
      <c r="N1571" s="164"/>
      <c r="O1571" s="166"/>
      <c r="P1571" s="165"/>
    </row>
    <row r="1572" spans="1:16" ht="15" hidden="1" customHeight="1" x14ac:dyDescent="0.25">
      <c r="A1572" s="168"/>
      <c r="B1572" s="167"/>
      <c r="C1572" s="168"/>
      <c r="D1572" s="167"/>
      <c r="E1572" s="167"/>
      <c r="F1572" s="167"/>
      <c r="G1572" s="167"/>
      <c r="H1572" s="167"/>
      <c r="I1572" s="164">
        <f t="shared" ca="1" si="25"/>
        <v>44939</v>
      </c>
      <c r="J1572" s="163">
        <v>0.33333333333333331</v>
      </c>
      <c r="K1572" s="162" t="s">
        <v>749</v>
      </c>
      <c r="L1572" s="166"/>
      <c r="M1572" s="166"/>
      <c r="N1572" s="164"/>
      <c r="O1572" s="166"/>
      <c r="P1572" s="165"/>
    </row>
    <row r="1573" spans="1:16" ht="15" hidden="1" customHeight="1" x14ac:dyDescent="0.25">
      <c r="A1573" s="168"/>
      <c r="B1573" s="167"/>
      <c r="C1573" s="168"/>
      <c r="D1573" s="167"/>
      <c r="E1573" s="167"/>
      <c r="F1573" s="167"/>
      <c r="G1573" s="167"/>
      <c r="H1573" s="167"/>
      <c r="I1573" s="164">
        <f t="shared" ca="1" si="25"/>
        <v>44939</v>
      </c>
      <c r="J1573" s="163">
        <v>0.33333333333333331</v>
      </c>
      <c r="K1573" s="162" t="s">
        <v>749</v>
      </c>
      <c r="L1573" s="166"/>
      <c r="M1573" s="166"/>
      <c r="N1573" s="164"/>
      <c r="O1573" s="166"/>
      <c r="P1573" s="165"/>
    </row>
    <row r="1574" spans="1:16" ht="15" hidden="1" customHeight="1" x14ac:dyDescent="0.25">
      <c r="A1574" s="168"/>
      <c r="B1574" s="167"/>
      <c r="C1574" s="168"/>
      <c r="D1574" s="167"/>
      <c r="E1574" s="167"/>
      <c r="F1574" s="167"/>
      <c r="G1574" s="167"/>
      <c r="H1574" s="167"/>
      <c r="I1574" s="164">
        <f t="shared" ca="1" si="25"/>
        <v>44939</v>
      </c>
      <c r="J1574" s="163">
        <v>0.33333333333333331</v>
      </c>
      <c r="K1574" s="162" t="s">
        <v>749</v>
      </c>
      <c r="L1574" s="166"/>
      <c r="M1574" s="166"/>
      <c r="N1574" s="164"/>
      <c r="O1574" s="166"/>
      <c r="P1574" s="165"/>
    </row>
    <row r="1575" spans="1:16" ht="15" hidden="1" customHeight="1" x14ac:dyDescent="0.25">
      <c r="A1575" s="168"/>
      <c r="B1575" s="167"/>
      <c r="C1575" s="168"/>
      <c r="D1575" s="167"/>
      <c r="E1575" s="167"/>
      <c r="F1575" s="167"/>
      <c r="G1575" s="167"/>
      <c r="H1575" s="167"/>
      <c r="I1575" s="164">
        <f t="shared" ca="1" si="25"/>
        <v>44939</v>
      </c>
      <c r="J1575" s="163">
        <v>0.33333333333333331</v>
      </c>
      <c r="K1575" s="162" t="s">
        <v>749</v>
      </c>
      <c r="L1575" s="166"/>
      <c r="M1575" s="166"/>
      <c r="N1575" s="164"/>
      <c r="O1575" s="166"/>
      <c r="P1575" s="165"/>
    </row>
    <row r="1576" spans="1:16" ht="15" hidden="1" customHeight="1" x14ac:dyDescent="0.25">
      <c r="A1576" s="168"/>
      <c r="B1576" s="167"/>
      <c r="C1576" s="168"/>
      <c r="D1576" s="167"/>
      <c r="E1576" s="167"/>
      <c r="F1576" s="167"/>
      <c r="G1576" s="167"/>
      <c r="H1576" s="167"/>
      <c r="I1576" s="164">
        <f t="shared" ca="1" si="25"/>
        <v>44939</v>
      </c>
      <c r="J1576" s="163">
        <v>0.33333333333333331</v>
      </c>
      <c r="K1576" s="162" t="s">
        <v>749</v>
      </c>
      <c r="L1576" s="166"/>
      <c r="M1576" s="166"/>
      <c r="N1576" s="164"/>
      <c r="O1576" s="166"/>
      <c r="P1576" s="165"/>
    </row>
    <row r="1577" spans="1:16" ht="15" hidden="1" customHeight="1" x14ac:dyDescent="0.25">
      <c r="A1577" s="168"/>
      <c r="B1577" s="167"/>
      <c r="C1577" s="168"/>
      <c r="D1577" s="167"/>
      <c r="E1577" s="167"/>
      <c r="F1577" s="167"/>
      <c r="G1577" s="167"/>
      <c r="H1577" s="167"/>
      <c r="I1577" s="164">
        <f t="shared" ca="1" si="25"/>
        <v>44939</v>
      </c>
      <c r="J1577" s="163">
        <v>0.33333333333333331</v>
      </c>
      <c r="K1577" s="162" t="s">
        <v>749</v>
      </c>
      <c r="L1577" s="166"/>
      <c r="M1577" s="166"/>
      <c r="N1577" s="164"/>
      <c r="O1577" s="166"/>
      <c r="P1577" s="165"/>
    </row>
    <row r="1578" spans="1:16" ht="15" hidden="1" customHeight="1" x14ac:dyDescent="0.25">
      <c r="A1578" s="168"/>
      <c r="B1578" s="167"/>
      <c r="C1578" s="168"/>
      <c r="D1578" s="167"/>
      <c r="E1578" s="167"/>
      <c r="F1578" s="167"/>
      <c r="G1578" s="167"/>
      <c r="H1578" s="167"/>
      <c r="I1578" s="164">
        <f t="shared" ca="1" si="25"/>
        <v>44939</v>
      </c>
      <c r="J1578" s="163">
        <v>0.33333333333333331</v>
      </c>
      <c r="K1578" s="162" t="s">
        <v>749</v>
      </c>
      <c r="L1578" s="166"/>
      <c r="M1578" s="166"/>
      <c r="N1578" s="164"/>
      <c r="O1578" s="166"/>
      <c r="P1578" s="165"/>
    </row>
    <row r="1579" spans="1:16" ht="15" hidden="1" customHeight="1" x14ac:dyDescent="0.25">
      <c r="A1579" s="168"/>
      <c r="B1579" s="167"/>
      <c r="C1579" s="168"/>
      <c r="D1579" s="167"/>
      <c r="E1579" s="167"/>
      <c r="F1579" s="167"/>
      <c r="G1579" s="167"/>
      <c r="H1579" s="167"/>
      <c r="I1579" s="164">
        <f t="shared" ca="1" si="25"/>
        <v>44939</v>
      </c>
      <c r="J1579" s="163">
        <v>0.33333333333333331</v>
      </c>
      <c r="K1579" s="162" t="s">
        <v>749</v>
      </c>
      <c r="L1579" s="166"/>
      <c r="M1579" s="166"/>
      <c r="N1579" s="164"/>
      <c r="O1579" s="166"/>
      <c r="P1579" s="165"/>
    </row>
    <row r="1580" spans="1:16" ht="15" hidden="1" customHeight="1" x14ac:dyDescent="0.25">
      <c r="A1580" s="168"/>
      <c r="B1580" s="167"/>
      <c r="C1580" s="168"/>
      <c r="D1580" s="167"/>
      <c r="E1580" s="167"/>
      <c r="F1580" s="167"/>
      <c r="G1580" s="167"/>
      <c r="H1580" s="167"/>
      <c r="I1580" s="164">
        <f t="shared" ca="1" si="25"/>
        <v>44939</v>
      </c>
      <c r="J1580" s="163">
        <v>0.33333333333333331</v>
      </c>
      <c r="K1580" s="162" t="s">
        <v>749</v>
      </c>
      <c r="L1580" s="166"/>
      <c r="M1580" s="166"/>
      <c r="N1580" s="164"/>
      <c r="O1580" s="166"/>
      <c r="P1580" s="165"/>
    </row>
    <row r="1581" spans="1:16" ht="15" hidden="1" customHeight="1" x14ac:dyDescent="0.25">
      <c r="A1581" s="168"/>
      <c r="B1581" s="167"/>
      <c r="C1581" s="168"/>
      <c r="D1581" s="167"/>
      <c r="E1581" s="167"/>
      <c r="F1581" s="167"/>
      <c r="G1581" s="167"/>
      <c r="H1581" s="167"/>
      <c r="I1581" s="164">
        <f t="shared" ca="1" si="25"/>
        <v>44939</v>
      </c>
      <c r="J1581" s="163">
        <v>0.33333333333333331</v>
      </c>
      <c r="K1581" s="162" t="s">
        <v>749</v>
      </c>
      <c r="L1581" s="166"/>
      <c r="M1581" s="166"/>
      <c r="N1581" s="164"/>
      <c r="O1581" s="166"/>
      <c r="P1581" s="165"/>
    </row>
    <row r="1582" spans="1:16" ht="15" hidden="1" customHeight="1" x14ac:dyDescent="0.25">
      <c r="A1582" s="168"/>
      <c r="B1582" s="167"/>
      <c r="C1582" s="168"/>
      <c r="D1582" s="167"/>
      <c r="E1582" s="167"/>
      <c r="F1582" s="167"/>
      <c r="G1582" s="167"/>
      <c r="H1582" s="167"/>
      <c r="I1582" s="164">
        <f t="shared" ca="1" si="25"/>
        <v>44939</v>
      </c>
      <c r="J1582" s="163">
        <v>0.33333333333333331</v>
      </c>
      <c r="K1582" s="162" t="s">
        <v>749</v>
      </c>
      <c r="L1582" s="166"/>
      <c r="M1582" s="166"/>
      <c r="N1582" s="164"/>
      <c r="O1582" s="166"/>
      <c r="P1582" s="165"/>
    </row>
    <row r="1583" spans="1:16" ht="15" hidden="1" customHeight="1" x14ac:dyDescent="0.25">
      <c r="A1583" s="168"/>
      <c r="B1583" s="167"/>
      <c r="C1583" s="168"/>
      <c r="D1583" s="167"/>
      <c r="E1583" s="167"/>
      <c r="F1583" s="167"/>
      <c r="G1583" s="167"/>
      <c r="H1583" s="167"/>
      <c r="I1583" s="164">
        <f t="shared" ca="1" si="25"/>
        <v>44939</v>
      </c>
      <c r="J1583" s="163">
        <v>0.33333333333333331</v>
      </c>
      <c r="K1583" s="162" t="s">
        <v>749</v>
      </c>
      <c r="L1583" s="166"/>
      <c r="M1583" s="166"/>
      <c r="N1583" s="164"/>
      <c r="O1583" s="166"/>
      <c r="P1583" s="165"/>
    </row>
    <row r="1584" spans="1:16" ht="15" hidden="1" customHeight="1" x14ac:dyDescent="0.25">
      <c r="A1584" s="168"/>
      <c r="B1584" s="167"/>
      <c r="C1584" s="168"/>
      <c r="D1584" s="167"/>
      <c r="E1584" s="167"/>
      <c r="F1584" s="167"/>
      <c r="G1584" s="167"/>
      <c r="H1584" s="167"/>
      <c r="I1584" s="164">
        <f t="shared" ca="1" si="25"/>
        <v>44939</v>
      </c>
      <c r="J1584" s="163">
        <v>0.33333333333333331</v>
      </c>
      <c r="K1584" s="162" t="s">
        <v>749</v>
      </c>
      <c r="L1584" s="166"/>
      <c r="M1584" s="166"/>
      <c r="N1584" s="164"/>
      <c r="O1584" s="166"/>
      <c r="P1584" s="165"/>
    </row>
    <row r="1585" spans="1:16" ht="15" hidden="1" customHeight="1" x14ac:dyDescent="0.25">
      <c r="A1585" s="168"/>
      <c r="B1585" s="167"/>
      <c r="C1585" s="168"/>
      <c r="D1585" s="167"/>
      <c r="E1585" s="167"/>
      <c r="F1585" s="167"/>
      <c r="G1585" s="167"/>
      <c r="H1585" s="167"/>
      <c r="I1585" s="164">
        <f t="shared" ca="1" si="25"/>
        <v>44939</v>
      </c>
      <c r="J1585" s="163">
        <v>0.33333333333333331</v>
      </c>
      <c r="K1585" s="162" t="s">
        <v>749</v>
      </c>
      <c r="L1585" s="166"/>
      <c r="M1585" s="166"/>
      <c r="N1585" s="164"/>
      <c r="O1585" s="166"/>
      <c r="P1585" s="165"/>
    </row>
    <row r="1586" spans="1:16" ht="15" hidden="1" customHeight="1" x14ac:dyDescent="0.25">
      <c r="A1586" s="168"/>
      <c r="B1586" s="167"/>
      <c r="C1586" s="168"/>
      <c r="D1586" s="167"/>
      <c r="E1586" s="167"/>
      <c r="F1586" s="167"/>
      <c r="G1586" s="167"/>
      <c r="H1586" s="167"/>
      <c r="I1586" s="164">
        <f t="shared" ca="1" si="25"/>
        <v>44939</v>
      </c>
      <c r="J1586" s="163">
        <v>0.33333333333333331</v>
      </c>
      <c r="K1586" s="162" t="s">
        <v>749</v>
      </c>
      <c r="L1586" s="166"/>
      <c r="M1586" s="166"/>
      <c r="N1586" s="164"/>
      <c r="O1586" s="166"/>
      <c r="P1586" s="165"/>
    </row>
    <row r="1587" spans="1:16" ht="15" hidden="1" customHeight="1" x14ac:dyDescent="0.25">
      <c r="A1587" s="168"/>
      <c r="B1587" s="167"/>
      <c r="C1587" s="168"/>
      <c r="D1587" s="167"/>
      <c r="E1587" s="167"/>
      <c r="F1587" s="167"/>
      <c r="G1587" s="167"/>
      <c r="H1587" s="167"/>
      <c r="I1587" s="164">
        <f t="shared" ca="1" si="25"/>
        <v>44939</v>
      </c>
      <c r="J1587" s="163">
        <v>0.33333333333333331</v>
      </c>
      <c r="K1587" s="162" t="s">
        <v>749</v>
      </c>
      <c r="L1587" s="166"/>
      <c r="M1587" s="166"/>
      <c r="N1587" s="164"/>
      <c r="O1587" s="166"/>
      <c r="P1587" s="165"/>
    </row>
    <row r="1588" spans="1:16" ht="15" hidden="1" customHeight="1" x14ac:dyDescent="0.25">
      <c r="A1588" s="168"/>
      <c r="B1588" s="167"/>
      <c r="C1588" s="168"/>
      <c r="D1588" s="167"/>
      <c r="E1588" s="167"/>
      <c r="F1588" s="167"/>
      <c r="G1588" s="167"/>
      <c r="H1588" s="167"/>
      <c r="I1588" s="164">
        <f t="shared" ca="1" si="25"/>
        <v>44939</v>
      </c>
      <c r="J1588" s="163">
        <v>0.33333333333333331</v>
      </c>
      <c r="K1588" s="162" t="s">
        <v>749</v>
      </c>
      <c r="L1588" s="166"/>
      <c r="M1588" s="166"/>
      <c r="N1588" s="164"/>
      <c r="O1588" s="166"/>
      <c r="P1588" s="165"/>
    </row>
    <row r="1589" spans="1:16" ht="15" hidden="1" customHeight="1" x14ac:dyDescent="0.25">
      <c r="A1589" s="168"/>
      <c r="B1589" s="167"/>
      <c r="C1589" s="168"/>
      <c r="D1589" s="167"/>
      <c r="E1589" s="167"/>
      <c r="F1589" s="167"/>
      <c r="G1589" s="167"/>
      <c r="H1589" s="167"/>
      <c r="I1589" s="164">
        <f t="shared" ca="1" si="25"/>
        <v>44939</v>
      </c>
      <c r="J1589" s="163">
        <v>0.33333333333333331</v>
      </c>
      <c r="K1589" s="162" t="s">
        <v>749</v>
      </c>
      <c r="L1589" s="166"/>
      <c r="M1589" s="166"/>
      <c r="N1589" s="164"/>
      <c r="O1589" s="166"/>
      <c r="P1589" s="165"/>
    </row>
    <row r="1590" spans="1:16" ht="15" hidden="1" customHeight="1" x14ac:dyDescent="0.25">
      <c r="A1590" s="168"/>
      <c r="B1590" s="167"/>
      <c r="C1590" s="168"/>
      <c r="D1590" s="167"/>
      <c r="E1590" s="167"/>
      <c r="F1590" s="167"/>
      <c r="G1590" s="167"/>
      <c r="H1590" s="167"/>
      <c r="I1590" s="164">
        <f t="shared" ca="1" si="25"/>
        <v>44939</v>
      </c>
      <c r="J1590" s="163">
        <v>0.33333333333333331</v>
      </c>
      <c r="K1590" s="162" t="s">
        <v>749</v>
      </c>
      <c r="L1590" s="166"/>
      <c r="M1590" s="166"/>
      <c r="N1590" s="164"/>
      <c r="O1590" s="166"/>
      <c r="P1590" s="165"/>
    </row>
    <row r="1591" spans="1:16" ht="15" hidden="1" customHeight="1" x14ac:dyDescent="0.25">
      <c r="A1591" s="168"/>
      <c r="B1591" s="167"/>
      <c r="C1591" s="168"/>
      <c r="D1591" s="167"/>
      <c r="E1591" s="167"/>
      <c r="F1591" s="167"/>
      <c r="G1591" s="167"/>
      <c r="H1591" s="167"/>
      <c r="I1591" s="164">
        <f t="shared" ca="1" si="25"/>
        <v>44939</v>
      </c>
      <c r="J1591" s="163">
        <v>0.33333333333333331</v>
      </c>
      <c r="K1591" s="162" t="s">
        <v>749</v>
      </c>
      <c r="L1591" s="166"/>
      <c r="M1591" s="166"/>
      <c r="N1591" s="164"/>
      <c r="O1591" s="166"/>
      <c r="P1591" s="165"/>
    </row>
    <row r="1592" spans="1:16" ht="15" hidden="1" customHeight="1" x14ac:dyDescent="0.25">
      <c r="A1592" s="168"/>
      <c r="B1592" s="167"/>
      <c r="C1592" s="168"/>
      <c r="D1592" s="167"/>
      <c r="E1592" s="167"/>
      <c r="F1592" s="167"/>
      <c r="G1592" s="167"/>
      <c r="H1592" s="167"/>
      <c r="I1592" s="164">
        <f t="shared" ca="1" si="25"/>
        <v>44939</v>
      </c>
      <c r="J1592" s="163">
        <v>0.33333333333333331</v>
      </c>
      <c r="K1592" s="162" t="s">
        <v>749</v>
      </c>
      <c r="L1592" s="166"/>
      <c r="M1592" s="166"/>
      <c r="N1592" s="164"/>
      <c r="O1592" s="166"/>
      <c r="P1592" s="165"/>
    </row>
    <row r="1593" spans="1:16" ht="15" hidden="1" customHeight="1" x14ac:dyDescent="0.25">
      <c r="A1593" s="168"/>
      <c r="B1593" s="167"/>
      <c r="C1593" s="168"/>
      <c r="D1593" s="167"/>
      <c r="E1593" s="167"/>
      <c r="F1593" s="167"/>
      <c r="G1593" s="167"/>
      <c r="H1593" s="167"/>
      <c r="I1593" s="164">
        <f t="shared" ca="1" si="25"/>
        <v>44939</v>
      </c>
      <c r="J1593" s="163">
        <v>0.33333333333333331</v>
      </c>
      <c r="K1593" s="162" t="s">
        <v>749</v>
      </c>
      <c r="L1593" s="166"/>
      <c r="M1593" s="166"/>
      <c r="N1593" s="164"/>
      <c r="O1593" s="166"/>
      <c r="P1593" s="165"/>
    </row>
    <row r="1594" spans="1:16" ht="15" hidden="1" customHeight="1" x14ac:dyDescent="0.25">
      <c r="A1594" s="168"/>
      <c r="B1594" s="167"/>
      <c r="C1594" s="168"/>
      <c r="D1594" s="167"/>
      <c r="E1594" s="167"/>
      <c r="F1594" s="167"/>
      <c r="G1594" s="167"/>
      <c r="H1594" s="167"/>
      <c r="I1594" s="164">
        <f t="shared" ca="1" si="25"/>
        <v>44939</v>
      </c>
      <c r="J1594" s="163">
        <v>0.33333333333333331</v>
      </c>
      <c r="K1594" s="162" t="s">
        <v>749</v>
      </c>
      <c r="L1594" s="166"/>
      <c r="M1594" s="166"/>
      <c r="N1594" s="164"/>
      <c r="O1594" s="166"/>
      <c r="P1594" s="165"/>
    </row>
    <row r="1595" spans="1:16" ht="15" hidden="1" customHeight="1" x14ac:dyDescent="0.25">
      <c r="A1595" s="168"/>
      <c r="B1595" s="167"/>
      <c r="C1595" s="168"/>
      <c r="D1595" s="167"/>
      <c r="E1595" s="167"/>
      <c r="F1595" s="167"/>
      <c r="G1595" s="167"/>
      <c r="H1595" s="167"/>
      <c r="I1595" s="164">
        <f t="shared" ca="1" si="25"/>
        <v>44939</v>
      </c>
      <c r="J1595" s="163">
        <v>0.33333333333333331</v>
      </c>
      <c r="K1595" s="162" t="s">
        <v>749</v>
      </c>
      <c r="L1595" s="166"/>
      <c r="M1595" s="166"/>
      <c r="N1595" s="164"/>
      <c r="O1595" s="166"/>
      <c r="P1595" s="165"/>
    </row>
    <row r="1596" spans="1:16" ht="15" hidden="1" customHeight="1" x14ac:dyDescent="0.25">
      <c r="A1596" s="168"/>
      <c r="B1596" s="167"/>
      <c r="C1596" s="168"/>
      <c r="D1596" s="167"/>
      <c r="E1596" s="167"/>
      <c r="F1596" s="167"/>
      <c r="G1596" s="167"/>
      <c r="H1596" s="167"/>
      <c r="I1596" s="164">
        <f t="shared" ca="1" si="25"/>
        <v>44939</v>
      </c>
      <c r="J1596" s="163">
        <v>0.33333333333333331</v>
      </c>
      <c r="K1596" s="162" t="s">
        <v>749</v>
      </c>
      <c r="L1596" s="166"/>
      <c r="M1596" s="166"/>
      <c r="N1596" s="164"/>
      <c r="O1596" s="166"/>
      <c r="P1596" s="165"/>
    </row>
    <row r="1597" spans="1:16" ht="15" hidden="1" customHeight="1" x14ac:dyDescent="0.25">
      <c r="A1597" s="168"/>
      <c r="B1597" s="167"/>
      <c r="C1597" s="168"/>
      <c r="D1597" s="167"/>
      <c r="E1597" s="167"/>
      <c r="F1597" s="167"/>
      <c r="G1597" s="167"/>
      <c r="H1597" s="167"/>
      <c r="I1597" s="164">
        <f t="shared" ca="1" si="25"/>
        <v>44939</v>
      </c>
      <c r="J1597" s="163">
        <v>0.33333333333333331</v>
      </c>
      <c r="K1597" s="162" t="s">
        <v>749</v>
      </c>
      <c r="L1597" s="166"/>
      <c r="M1597" s="166"/>
      <c r="N1597" s="164"/>
      <c r="O1597" s="166"/>
      <c r="P1597" s="165"/>
    </row>
    <row r="1598" spans="1:16" ht="15" hidden="1" customHeight="1" x14ac:dyDescent="0.25">
      <c r="A1598" s="168"/>
      <c r="B1598" s="167"/>
      <c r="C1598" s="168"/>
      <c r="D1598" s="167"/>
      <c r="E1598" s="167"/>
      <c r="F1598" s="167"/>
      <c r="G1598" s="167"/>
      <c r="H1598" s="167"/>
      <c r="I1598" s="164">
        <f t="shared" ca="1" si="25"/>
        <v>44939</v>
      </c>
      <c r="J1598" s="163">
        <v>0.33333333333333331</v>
      </c>
      <c r="K1598" s="162" t="s">
        <v>749</v>
      </c>
      <c r="L1598" s="166"/>
      <c r="M1598" s="166"/>
      <c r="N1598" s="164"/>
      <c r="O1598" s="166"/>
      <c r="P1598" s="165"/>
    </row>
    <row r="1599" spans="1:16" ht="15" hidden="1" customHeight="1" x14ac:dyDescent="0.25">
      <c r="A1599" s="168"/>
      <c r="B1599" s="167"/>
      <c r="C1599" s="168"/>
      <c r="D1599" s="167"/>
      <c r="E1599" s="167"/>
      <c r="F1599" s="167"/>
      <c r="G1599" s="167"/>
      <c r="H1599" s="167"/>
      <c r="I1599" s="164">
        <f t="shared" ca="1" si="25"/>
        <v>44939</v>
      </c>
      <c r="J1599" s="163">
        <v>0.33333333333333331</v>
      </c>
      <c r="K1599" s="162" t="s">
        <v>749</v>
      </c>
      <c r="L1599" s="166"/>
      <c r="M1599" s="166"/>
      <c r="N1599" s="164"/>
      <c r="O1599" s="166"/>
      <c r="P1599" s="165"/>
    </row>
    <row r="1600" spans="1:16" ht="15" hidden="1" customHeight="1" x14ac:dyDescent="0.25">
      <c r="A1600" s="168"/>
      <c r="B1600" s="167"/>
      <c r="C1600" s="168"/>
      <c r="D1600" s="167"/>
      <c r="E1600" s="167"/>
      <c r="F1600" s="167"/>
      <c r="G1600" s="167"/>
      <c r="H1600" s="167"/>
      <c r="I1600" s="164">
        <f t="shared" ca="1" si="25"/>
        <v>44939</v>
      </c>
      <c r="J1600" s="163">
        <v>0.33333333333333331</v>
      </c>
      <c r="K1600" s="162" t="s">
        <v>749</v>
      </c>
      <c r="L1600" s="166"/>
      <c r="M1600" s="166"/>
      <c r="N1600" s="164"/>
      <c r="O1600" s="166"/>
      <c r="P1600" s="165"/>
    </row>
    <row r="1601" spans="1:16" ht="15" hidden="1" customHeight="1" x14ac:dyDescent="0.25">
      <c r="A1601" s="168"/>
      <c r="B1601" s="167"/>
      <c r="C1601" s="168"/>
      <c r="D1601" s="167"/>
      <c r="E1601" s="167"/>
      <c r="F1601" s="167"/>
      <c r="G1601" s="167"/>
      <c r="H1601" s="167"/>
      <c r="I1601" s="164">
        <f t="shared" ca="1" si="25"/>
        <v>44939</v>
      </c>
      <c r="J1601" s="163">
        <v>0.33333333333333331</v>
      </c>
      <c r="K1601" s="162" t="s">
        <v>749</v>
      </c>
      <c r="L1601" s="166"/>
      <c r="M1601" s="166"/>
      <c r="N1601" s="164"/>
      <c r="O1601" s="166"/>
      <c r="P1601" s="165"/>
    </row>
    <row r="1602" spans="1:16" ht="15" hidden="1" customHeight="1" x14ac:dyDescent="0.25">
      <c r="A1602" s="168"/>
      <c r="B1602" s="167"/>
      <c r="C1602" s="168"/>
      <c r="D1602" s="167"/>
      <c r="E1602" s="167"/>
      <c r="F1602" s="167"/>
      <c r="G1602" s="167"/>
      <c r="H1602" s="167"/>
      <c r="I1602" s="164">
        <f t="shared" ca="1" si="25"/>
        <v>44939</v>
      </c>
      <c r="J1602" s="163">
        <v>0.33333333333333331</v>
      </c>
      <c r="K1602" s="162" t="s">
        <v>749</v>
      </c>
      <c r="L1602" s="166"/>
      <c r="M1602" s="166"/>
      <c r="N1602" s="164"/>
      <c r="O1602" s="166"/>
      <c r="P1602" s="165"/>
    </row>
    <row r="1603" spans="1:16" ht="15" hidden="1" customHeight="1" x14ac:dyDescent="0.25">
      <c r="A1603" s="168"/>
      <c r="B1603" s="167"/>
      <c r="C1603" s="168"/>
      <c r="D1603" s="167"/>
      <c r="E1603" s="167"/>
      <c r="F1603" s="167"/>
      <c r="G1603" s="167"/>
      <c r="H1603" s="167"/>
      <c r="I1603" s="164">
        <f t="shared" ca="1" si="25"/>
        <v>44939</v>
      </c>
      <c r="J1603" s="163">
        <v>0.33333333333333331</v>
      </c>
      <c r="K1603" s="162" t="s">
        <v>749</v>
      </c>
      <c r="L1603" s="166"/>
      <c r="M1603" s="166"/>
      <c r="N1603" s="164"/>
      <c r="O1603" s="166"/>
      <c r="P1603" s="165"/>
    </row>
    <row r="1604" spans="1:16" ht="15" hidden="1" customHeight="1" x14ac:dyDescent="0.25">
      <c r="A1604" s="168"/>
      <c r="B1604" s="167"/>
      <c r="C1604" s="168"/>
      <c r="D1604" s="167"/>
      <c r="E1604" s="167"/>
      <c r="F1604" s="167"/>
      <c r="G1604" s="167"/>
      <c r="H1604" s="167"/>
      <c r="I1604" s="164">
        <f t="shared" ca="1" si="25"/>
        <v>44939</v>
      </c>
      <c r="J1604" s="163">
        <v>0.33333333333333331</v>
      </c>
      <c r="K1604" s="162" t="s">
        <v>749</v>
      </c>
      <c r="L1604" s="166"/>
      <c r="M1604" s="166"/>
      <c r="N1604" s="164"/>
      <c r="O1604" s="166"/>
      <c r="P1604" s="165"/>
    </row>
    <row r="1605" spans="1:16" ht="15" hidden="1" customHeight="1" x14ac:dyDescent="0.25">
      <c r="A1605" s="168"/>
      <c r="B1605" s="167"/>
      <c r="C1605" s="168"/>
      <c r="D1605" s="167"/>
      <c r="E1605" s="167"/>
      <c r="F1605" s="167"/>
      <c r="G1605" s="167"/>
      <c r="H1605" s="167"/>
      <c r="I1605" s="164">
        <f t="shared" ca="1" si="25"/>
        <v>44939</v>
      </c>
      <c r="J1605" s="163">
        <v>0.33333333333333331</v>
      </c>
      <c r="K1605" s="162" t="s">
        <v>749</v>
      </c>
      <c r="L1605" s="166"/>
      <c r="M1605" s="166"/>
      <c r="N1605" s="164"/>
      <c r="O1605" s="166"/>
      <c r="P1605" s="165"/>
    </row>
    <row r="1606" spans="1:16" ht="15" hidden="1" customHeight="1" x14ac:dyDescent="0.25">
      <c r="A1606" s="168"/>
      <c r="B1606" s="167"/>
      <c r="C1606" s="168"/>
      <c r="D1606" s="167"/>
      <c r="E1606" s="167"/>
      <c r="F1606" s="167"/>
      <c r="G1606" s="167"/>
      <c r="H1606" s="167"/>
      <c r="I1606" s="164">
        <f t="shared" ca="1" si="25"/>
        <v>44939</v>
      </c>
      <c r="J1606" s="163">
        <v>0.33333333333333331</v>
      </c>
      <c r="K1606" s="162" t="s">
        <v>749</v>
      </c>
      <c r="L1606" s="166"/>
      <c r="M1606" s="166"/>
      <c r="N1606" s="164"/>
      <c r="O1606" s="166"/>
      <c r="P1606" s="165"/>
    </row>
    <row r="1607" spans="1:16" ht="15" hidden="1" customHeight="1" x14ac:dyDescent="0.25">
      <c r="A1607" s="168"/>
      <c r="B1607" s="167"/>
      <c r="C1607" s="168"/>
      <c r="D1607" s="167"/>
      <c r="E1607" s="167"/>
      <c r="F1607" s="167"/>
      <c r="G1607" s="167"/>
      <c r="H1607" s="167"/>
      <c r="I1607" s="164">
        <f t="shared" ca="1" si="25"/>
        <v>44939</v>
      </c>
      <c r="J1607" s="163">
        <v>0.33333333333333331</v>
      </c>
      <c r="K1607" s="162" t="s">
        <v>749</v>
      </c>
      <c r="L1607" s="166"/>
      <c r="M1607" s="166"/>
      <c r="N1607" s="164"/>
      <c r="O1607" s="166"/>
      <c r="P1607" s="165"/>
    </row>
    <row r="1608" spans="1:16" ht="15" hidden="1" customHeight="1" x14ac:dyDescent="0.25">
      <c r="A1608" s="168"/>
      <c r="B1608" s="167"/>
      <c r="C1608" s="168"/>
      <c r="D1608" s="167"/>
      <c r="E1608" s="167"/>
      <c r="F1608" s="167"/>
      <c r="G1608" s="167"/>
      <c r="H1608" s="167"/>
      <c r="I1608" s="164">
        <f t="shared" ca="1" si="25"/>
        <v>44939</v>
      </c>
      <c r="J1608" s="163">
        <v>0.33333333333333331</v>
      </c>
      <c r="K1608" s="162" t="s">
        <v>749</v>
      </c>
      <c r="L1608" s="166"/>
      <c r="M1608" s="166"/>
      <c r="N1608" s="164"/>
      <c r="O1608" s="166"/>
      <c r="P1608" s="165"/>
    </row>
    <row r="1609" spans="1:16" ht="15" hidden="1" customHeight="1" x14ac:dyDescent="0.25">
      <c r="A1609" s="168"/>
      <c r="B1609" s="167"/>
      <c r="C1609" s="168"/>
      <c r="D1609" s="167"/>
      <c r="E1609" s="167"/>
      <c r="F1609" s="167"/>
      <c r="G1609" s="167"/>
      <c r="H1609" s="167"/>
      <c r="I1609" s="164">
        <f t="shared" ca="1" si="25"/>
        <v>44939</v>
      </c>
      <c r="J1609" s="163">
        <v>0.33333333333333331</v>
      </c>
      <c r="K1609" s="162" t="s">
        <v>749</v>
      </c>
      <c r="L1609" s="166"/>
      <c r="M1609" s="166"/>
      <c r="N1609" s="164"/>
      <c r="O1609" s="166"/>
      <c r="P1609" s="165"/>
    </row>
    <row r="1610" spans="1:16" ht="15" hidden="1" customHeight="1" x14ac:dyDescent="0.25">
      <c r="A1610" s="168"/>
      <c r="B1610" s="167"/>
      <c r="C1610" s="168"/>
      <c r="D1610" s="167"/>
      <c r="E1610" s="167"/>
      <c r="F1610" s="167"/>
      <c r="G1610" s="167"/>
      <c r="H1610" s="167"/>
      <c r="I1610" s="164">
        <f t="shared" ca="1" si="25"/>
        <v>44939</v>
      </c>
      <c r="J1610" s="163">
        <v>0.33333333333333331</v>
      </c>
      <c r="K1610" s="162" t="s">
        <v>749</v>
      </c>
      <c r="L1610" s="166"/>
      <c r="M1610" s="166"/>
      <c r="N1610" s="164"/>
      <c r="O1610" s="166"/>
      <c r="P1610" s="165"/>
    </row>
    <row r="1611" spans="1:16" ht="15" hidden="1" customHeight="1" x14ac:dyDescent="0.25">
      <c r="A1611" s="168"/>
      <c r="B1611" s="167"/>
      <c r="C1611" s="168"/>
      <c r="D1611" s="167"/>
      <c r="E1611" s="167"/>
      <c r="F1611" s="167"/>
      <c r="G1611" s="167"/>
      <c r="H1611" s="167"/>
      <c r="I1611" s="164">
        <f t="shared" ca="1" si="25"/>
        <v>44939</v>
      </c>
      <c r="J1611" s="163">
        <v>0.33333333333333331</v>
      </c>
      <c r="K1611" s="162" t="s">
        <v>749</v>
      </c>
      <c r="L1611" s="166"/>
      <c r="M1611" s="166"/>
      <c r="N1611" s="164"/>
      <c r="O1611" s="166"/>
      <c r="P1611" s="165"/>
    </row>
    <row r="1612" spans="1:16" ht="15" hidden="1" customHeight="1" x14ac:dyDescent="0.25">
      <c r="A1612" s="168"/>
      <c r="B1612" s="167"/>
      <c r="C1612" s="168"/>
      <c r="D1612" s="167"/>
      <c r="E1612" s="167"/>
      <c r="F1612" s="167"/>
      <c r="G1612" s="167"/>
      <c r="H1612" s="167"/>
      <c r="I1612" s="164">
        <f t="shared" ca="1" si="25"/>
        <v>44939</v>
      </c>
      <c r="J1612" s="163">
        <v>0.33333333333333331</v>
      </c>
      <c r="K1612" s="162" t="s">
        <v>749</v>
      </c>
      <c r="L1612" s="166"/>
      <c r="M1612" s="166"/>
      <c r="N1612" s="164"/>
      <c r="O1612" s="166"/>
      <c r="P1612" s="165"/>
    </row>
    <row r="1613" spans="1:16" ht="15" hidden="1" customHeight="1" x14ac:dyDescent="0.25">
      <c r="A1613" s="168"/>
      <c r="B1613" s="167"/>
      <c r="C1613" s="168"/>
      <c r="D1613" s="167"/>
      <c r="E1613" s="167"/>
      <c r="F1613" s="167"/>
      <c r="G1613" s="167"/>
      <c r="H1613" s="167"/>
      <c r="I1613" s="164">
        <f t="shared" ca="1" si="25"/>
        <v>44939</v>
      </c>
      <c r="J1613" s="163">
        <v>0.33333333333333331</v>
      </c>
      <c r="K1613" s="162" t="s">
        <v>749</v>
      </c>
      <c r="L1613" s="166"/>
      <c r="M1613" s="166"/>
      <c r="N1613" s="164"/>
      <c r="O1613" s="166"/>
      <c r="P1613" s="165"/>
    </row>
    <row r="1614" spans="1:16" ht="15" hidden="1" customHeight="1" x14ac:dyDescent="0.25">
      <c r="A1614" s="168"/>
      <c r="B1614" s="167"/>
      <c r="C1614" s="168"/>
      <c r="D1614" s="167"/>
      <c r="E1614" s="167"/>
      <c r="F1614" s="167"/>
      <c r="G1614" s="167"/>
      <c r="H1614" s="167"/>
      <c r="I1614" s="164">
        <f t="shared" ca="1" si="25"/>
        <v>44939</v>
      </c>
      <c r="J1614" s="163">
        <v>0.33333333333333331</v>
      </c>
      <c r="K1614" s="162" t="s">
        <v>749</v>
      </c>
      <c r="L1614" s="166"/>
      <c r="M1614" s="166"/>
      <c r="N1614" s="164"/>
      <c r="O1614" s="166"/>
      <c r="P1614" s="165"/>
    </row>
    <row r="1615" spans="1:16" ht="15" hidden="1" customHeight="1" x14ac:dyDescent="0.25">
      <c r="A1615" s="168"/>
      <c r="B1615" s="167"/>
      <c r="C1615" s="168"/>
      <c r="D1615" s="167"/>
      <c r="E1615" s="167"/>
      <c r="F1615" s="167"/>
      <c r="G1615" s="167"/>
      <c r="H1615" s="167"/>
      <c r="I1615" s="164">
        <f t="shared" ca="1" si="25"/>
        <v>44939</v>
      </c>
      <c r="J1615" s="163">
        <v>0.33333333333333331</v>
      </c>
      <c r="K1615" s="162" t="s">
        <v>749</v>
      </c>
      <c r="L1615" s="166"/>
      <c r="M1615" s="166"/>
      <c r="N1615" s="164"/>
      <c r="O1615" s="166"/>
      <c r="P1615" s="165"/>
    </row>
    <row r="1616" spans="1:16" ht="15" hidden="1" customHeight="1" x14ac:dyDescent="0.25">
      <c r="A1616" s="168"/>
      <c r="B1616" s="167"/>
      <c r="C1616" s="168"/>
      <c r="D1616" s="167"/>
      <c r="E1616" s="167"/>
      <c r="F1616" s="167"/>
      <c r="G1616" s="167"/>
      <c r="H1616" s="167"/>
      <c r="I1616" s="164">
        <f t="shared" ca="1" si="25"/>
        <v>44939</v>
      </c>
      <c r="J1616" s="163">
        <v>0.33333333333333331</v>
      </c>
      <c r="K1616" s="162" t="s">
        <v>749</v>
      </c>
      <c r="L1616" s="166"/>
      <c r="M1616" s="166"/>
      <c r="N1616" s="164"/>
      <c r="O1616" s="166"/>
      <c r="P1616" s="165"/>
    </row>
    <row r="1617" spans="1:16" ht="15" hidden="1" customHeight="1" x14ac:dyDescent="0.25">
      <c r="A1617" s="168"/>
      <c r="B1617" s="167"/>
      <c r="C1617" s="168"/>
      <c r="D1617" s="167"/>
      <c r="E1617" s="167"/>
      <c r="F1617" s="167"/>
      <c r="G1617" s="167"/>
      <c r="H1617" s="167"/>
      <c r="I1617" s="164">
        <f t="shared" ca="1" si="25"/>
        <v>44939</v>
      </c>
      <c r="J1617" s="163">
        <v>0.33333333333333331</v>
      </c>
      <c r="K1617" s="162" t="s">
        <v>749</v>
      </c>
      <c r="L1617" s="166"/>
      <c r="M1617" s="166"/>
      <c r="N1617" s="164"/>
      <c r="O1617" s="166"/>
      <c r="P1617" s="165"/>
    </row>
    <row r="1618" spans="1:16" ht="15" hidden="1" customHeight="1" x14ac:dyDescent="0.25">
      <c r="A1618" s="168"/>
      <c r="B1618" s="167"/>
      <c r="C1618" s="168"/>
      <c r="D1618" s="167"/>
      <c r="E1618" s="167"/>
      <c r="F1618" s="167"/>
      <c r="G1618" s="167"/>
      <c r="H1618" s="167"/>
      <c r="I1618" s="164">
        <f t="shared" ca="1" si="25"/>
        <v>44939</v>
      </c>
      <c r="J1618" s="163">
        <v>0.33333333333333331</v>
      </c>
      <c r="K1618" s="162" t="s">
        <v>749</v>
      </c>
      <c r="L1618" s="166"/>
      <c r="M1618" s="166"/>
      <c r="N1618" s="164"/>
      <c r="O1618" s="166"/>
      <c r="P1618" s="165"/>
    </row>
    <row r="1619" spans="1:16" ht="15" hidden="1" customHeight="1" x14ac:dyDescent="0.25">
      <c r="A1619" s="168"/>
      <c r="B1619" s="167"/>
      <c r="C1619" s="168"/>
      <c r="D1619" s="167"/>
      <c r="E1619" s="167"/>
      <c r="F1619" s="167"/>
      <c r="G1619" s="167"/>
      <c r="H1619" s="167"/>
      <c r="I1619" s="164">
        <f t="shared" ca="1" si="25"/>
        <v>44939</v>
      </c>
      <c r="J1619" s="163">
        <v>0.33333333333333331</v>
      </c>
      <c r="K1619" s="162" t="s">
        <v>749</v>
      </c>
      <c r="L1619" s="166"/>
      <c r="M1619" s="166"/>
      <c r="N1619" s="164"/>
      <c r="O1619" s="166"/>
      <c r="P1619" s="165"/>
    </row>
    <row r="1620" spans="1:16" ht="15" hidden="1" customHeight="1" x14ac:dyDescent="0.25">
      <c r="A1620" s="168"/>
      <c r="B1620" s="167"/>
      <c r="C1620" s="168"/>
      <c r="D1620" s="167"/>
      <c r="E1620" s="167"/>
      <c r="F1620" s="167"/>
      <c r="G1620" s="167"/>
      <c r="H1620" s="167"/>
      <c r="I1620" s="164">
        <f t="shared" ca="1" si="25"/>
        <v>44939</v>
      </c>
      <c r="J1620" s="163">
        <v>0.33333333333333331</v>
      </c>
      <c r="K1620" s="162" t="s">
        <v>749</v>
      </c>
      <c r="L1620" s="166"/>
      <c r="M1620" s="166"/>
      <c r="N1620" s="164"/>
      <c r="O1620" s="166"/>
      <c r="P1620" s="165"/>
    </row>
    <row r="1621" spans="1:16" ht="15" hidden="1" customHeight="1" x14ac:dyDescent="0.25">
      <c r="A1621" s="168"/>
      <c r="B1621" s="167"/>
      <c r="C1621" s="168"/>
      <c r="D1621" s="167"/>
      <c r="E1621" s="167"/>
      <c r="F1621" s="167"/>
      <c r="G1621" s="167"/>
      <c r="H1621" s="167"/>
      <c r="I1621" s="164">
        <f t="shared" ca="1" si="25"/>
        <v>44939</v>
      </c>
      <c r="J1621" s="163">
        <v>0.33333333333333331</v>
      </c>
      <c r="K1621" s="162" t="s">
        <v>749</v>
      </c>
      <c r="L1621" s="166"/>
      <c r="M1621" s="166"/>
      <c r="N1621" s="164"/>
      <c r="O1621" s="166"/>
      <c r="P1621" s="165"/>
    </row>
    <row r="1622" spans="1:16" ht="15" hidden="1" customHeight="1" x14ac:dyDescent="0.25">
      <c r="A1622" s="168"/>
      <c r="B1622" s="167"/>
      <c r="C1622" s="168"/>
      <c r="D1622" s="167"/>
      <c r="E1622" s="167"/>
      <c r="F1622" s="167"/>
      <c r="G1622" s="167"/>
      <c r="H1622" s="167"/>
      <c r="I1622" s="164">
        <f t="shared" ca="1" si="25"/>
        <v>44939</v>
      </c>
      <c r="J1622" s="163">
        <v>0.33333333333333331</v>
      </c>
      <c r="K1622" s="162" t="s">
        <v>749</v>
      </c>
      <c r="L1622" s="166"/>
      <c r="M1622" s="166"/>
      <c r="N1622" s="164"/>
      <c r="O1622" s="166"/>
      <c r="P1622" s="165"/>
    </row>
    <row r="1623" spans="1:16" ht="15" hidden="1" customHeight="1" x14ac:dyDescent="0.25">
      <c r="A1623" s="168"/>
      <c r="B1623" s="167"/>
      <c r="C1623" s="168"/>
      <c r="D1623" s="167"/>
      <c r="E1623" s="167"/>
      <c r="F1623" s="167"/>
      <c r="G1623" s="167"/>
      <c r="H1623" s="167"/>
      <c r="I1623" s="164">
        <f t="shared" ca="1" si="25"/>
        <v>44939</v>
      </c>
      <c r="J1623" s="163">
        <v>0.33333333333333331</v>
      </c>
      <c r="K1623" s="162" t="s">
        <v>749</v>
      </c>
      <c r="L1623" s="166"/>
      <c r="M1623" s="166"/>
      <c r="N1623" s="164"/>
      <c r="O1623" s="166"/>
      <c r="P1623" s="165"/>
    </row>
    <row r="1624" spans="1:16" ht="15" hidden="1" customHeight="1" x14ac:dyDescent="0.25">
      <c r="A1624" s="168"/>
      <c r="B1624" s="167"/>
      <c r="C1624" s="168"/>
      <c r="D1624" s="167"/>
      <c r="E1624" s="167"/>
      <c r="F1624" s="167"/>
      <c r="G1624" s="167"/>
      <c r="H1624" s="167"/>
      <c r="I1624" s="164">
        <f t="shared" ref="I1624:I1687" ca="1" si="26">TODAY()</f>
        <v>44939</v>
      </c>
      <c r="J1624" s="163">
        <v>0.33333333333333331</v>
      </c>
      <c r="K1624" s="162" t="s">
        <v>749</v>
      </c>
      <c r="L1624" s="166"/>
      <c r="M1624" s="166"/>
      <c r="N1624" s="164"/>
      <c r="O1624" s="166"/>
      <c r="P1624" s="165"/>
    </row>
    <row r="1625" spans="1:16" ht="15" hidden="1" customHeight="1" x14ac:dyDescent="0.25">
      <c r="A1625" s="168"/>
      <c r="B1625" s="167"/>
      <c r="C1625" s="168"/>
      <c r="D1625" s="167"/>
      <c r="E1625" s="167"/>
      <c r="F1625" s="167"/>
      <c r="G1625" s="167"/>
      <c r="H1625" s="167"/>
      <c r="I1625" s="164">
        <f t="shared" ca="1" si="26"/>
        <v>44939</v>
      </c>
      <c r="J1625" s="163">
        <v>0.33333333333333331</v>
      </c>
      <c r="K1625" s="162" t="s">
        <v>749</v>
      </c>
      <c r="L1625" s="166"/>
      <c r="M1625" s="166"/>
      <c r="N1625" s="164"/>
      <c r="O1625" s="166"/>
      <c r="P1625" s="165"/>
    </row>
    <row r="1626" spans="1:16" ht="15" hidden="1" customHeight="1" x14ac:dyDescent="0.25">
      <c r="A1626" s="168"/>
      <c r="B1626" s="167"/>
      <c r="C1626" s="168"/>
      <c r="D1626" s="167"/>
      <c r="E1626" s="167"/>
      <c r="F1626" s="167"/>
      <c r="G1626" s="167"/>
      <c r="H1626" s="167"/>
      <c r="I1626" s="164">
        <f t="shared" ca="1" si="26"/>
        <v>44939</v>
      </c>
      <c r="J1626" s="163">
        <v>0.33333333333333331</v>
      </c>
      <c r="K1626" s="162" t="s">
        <v>749</v>
      </c>
      <c r="L1626" s="166"/>
      <c r="M1626" s="166"/>
      <c r="N1626" s="164"/>
      <c r="O1626" s="166"/>
      <c r="P1626" s="165"/>
    </row>
    <row r="1627" spans="1:16" ht="15" hidden="1" customHeight="1" x14ac:dyDescent="0.25">
      <c r="A1627" s="168"/>
      <c r="B1627" s="167"/>
      <c r="C1627" s="168"/>
      <c r="D1627" s="167"/>
      <c r="E1627" s="167"/>
      <c r="F1627" s="167"/>
      <c r="G1627" s="167"/>
      <c r="H1627" s="167"/>
      <c r="I1627" s="164">
        <f t="shared" ca="1" si="26"/>
        <v>44939</v>
      </c>
      <c r="J1627" s="163">
        <v>0.33333333333333331</v>
      </c>
      <c r="K1627" s="162" t="s">
        <v>749</v>
      </c>
      <c r="L1627" s="166"/>
      <c r="M1627" s="166"/>
      <c r="N1627" s="164"/>
      <c r="O1627" s="166"/>
      <c r="P1627" s="165"/>
    </row>
    <row r="1628" spans="1:16" ht="15" hidden="1" customHeight="1" x14ac:dyDescent="0.25">
      <c r="A1628" s="168"/>
      <c r="B1628" s="167"/>
      <c r="C1628" s="168"/>
      <c r="D1628" s="167"/>
      <c r="E1628" s="167"/>
      <c r="F1628" s="167"/>
      <c r="G1628" s="167"/>
      <c r="H1628" s="167"/>
      <c r="I1628" s="164">
        <f t="shared" ca="1" si="26"/>
        <v>44939</v>
      </c>
      <c r="J1628" s="163">
        <v>0.33333333333333331</v>
      </c>
      <c r="K1628" s="162" t="s">
        <v>749</v>
      </c>
      <c r="L1628" s="166"/>
      <c r="M1628" s="166"/>
      <c r="N1628" s="164"/>
      <c r="O1628" s="166"/>
      <c r="P1628" s="165"/>
    </row>
    <row r="1629" spans="1:16" ht="15" hidden="1" customHeight="1" x14ac:dyDescent="0.25">
      <c r="A1629" s="168"/>
      <c r="B1629" s="167"/>
      <c r="C1629" s="168"/>
      <c r="D1629" s="167"/>
      <c r="E1629" s="167"/>
      <c r="F1629" s="167"/>
      <c r="G1629" s="167"/>
      <c r="H1629" s="167"/>
      <c r="I1629" s="164">
        <f t="shared" ca="1" si="26"/>
        <v>44939</v>
      </c>
      <c r="J1629" s="163">
        <v>0.33333333333333331</v>
      </c>
      <c r="K1629" s="162" t="s">
        <v>749</v>
      </c>
      <c r="L1629" s="166"/>
      <c r="M1629" s="166"/>
      <c r="N1629" s="164"/>
      <c r="O1629" s="166"/>
      <c r="P1629" s="165"/>
    </row>
    <row r="1630" spans="1:16" ht="15" hidden="1" customHeight="1" x14ac:dyDescent="0.25">
      <c r="A1630" s="168"/>
      <c r="B1630" s="167"/>
      <c r="C1630" s="168"/>
      <c r="D1630" s="167"/>
      <c r="E1630" s="167"/>
      <c r="F1630" s="167"/>
      <c r="G1630" s="167"/>
      <c r="H1630" s="167"/>
      <c r="I1630" s="164">
        <f t="shared" ca="1" si="26"/>
        <v>44939</v>
      </c>
      <c r="J1630" s="163">
        <v>0.33333333333333331</v>
      </c>
      <c r="K1630" s="162" t="s">
        <v>749</v>
      </c>
      <c r="L1630" s="166"/>
      <c r="M1630" s="166"/>
      <c r="N1630" s="164"/>
      <c r="O1630" s="166"/>
      <c r="P1630" s="165"/>
    </row>
    <row r="1631" spans="1:16" ht="15" hidden="1" customHeight="1" x14ac:dyDescent="0.25">
      <c r="A1631" s="168"/>
      <c r="B1631" s="167"/>
      <c r="C1631" s="168"/>
      <c r="D1631" s="167"/>
      <c r="E1631" s="167"/>
      <c r="F1631" s="167"/>
      <c r="G1631" s="167"/>
      <c r="H1631" s="167"/>
      <c r="I1631" s="164">
        <f t="shared" ca="1" si="26"/>
        <v>44939</v>
      </c>
      <c r="J1631" s="163">
        <v>0.33333333333333331</v>
      </c>
      <c r="K1631" s="162" t="s">
        <v>749</v>
      </c>
      <c r="L1631" s="166"/>
      <c r="M1631" s="166"/>
      <c r="N1631" s="164"/>
      <c r="O1631" s="166"/>
      <c r="P1631" s="165"/>
    </row>
    <row r="1632" spans="1:16" ht="15" hidden="1" customHeight="1" x14ac:dyDescent="0.25">
      <c r="A1632" s="168"/>
      <c r="B1632" s="167"/>
      <c r="C1632" s="168"/>
      <c r="D1632" s="167"/>
      <c r="E1632" s="167"/>
      <c r="F1632" s="167"/>
      <c r="G1632" s="167"/>
      <c r="H1632" s="167"/>
      <c r="I1632" s="164">
        <f t="shared" ca="1" si="26"/>
        <v>44939</v>
      </c>
      <c r="J1632" s="163">
        <v>0.33333333333333331</v>
      </c>
      <c r="K1632" s="162" t="s">
        <v>749</v>
      </c>
      <c r="L1632" s="166"/>
      <c r="M1632" s="166"/>
      <c r="N1632" s="164"/>
      <c r="O1632" s="166"/>
      <c r="P1632" s="165"/>
    </row>
    <row r="1633" spans="1:16" ht="15" hidden="1" customHeight="1" x14ac:dyDescent="0.25">
      <c r="A1633" s="168"/>
      <c r="B1633" s="167"/>
      <c r="C1633" s="168"/>
      <c r="D1633" s="167"/>
      <c r="E1633" s="167"/>
      <c r="F1633" s="167"/>
      <c r="G1633" s="167"/>
      <c r="H1633" s="167"/>
      <c r="I1633" s="164">
        <f t="shared" ca="1" si="26"/>
        <v>44939</v>
      </c>
      <c r="J1633" s="163">
        <v>0.33333333333333331</v>
      </c>
      <c r="K1633" s="162" t="s">
        <v>749</v>
      </c>
      <c r="L1633" s="166"/>
      <c r="M1633" s="166"/>
      <c r="N1633" s="164"/>
      <c r="O1633" s="166"/>
      <c r="P1633" s="165"/>
    </row>
    <row r="1634" spans="1:16" ht="15" hidden="1" customHeight="1" x14ac:dyDescent="0.25">
      <c r="A1634" s="168"/>
      <c r="B1634" s="167"/>
      <c r="C1634" s="168"/>
      <c r="D1634" s="167"/>
      <c r="E1634" s="167"/>
      <c r="F1634" s="167"/>
      <c r="G1634" s="167"/>
      <c r="H1634" s="167"/>
      <c r="I1634" s="164">
        <f t="shared" ca="1" si="26"/>
        <v>44939</v>
      </c>
      <c r="J1634" s="163">
        <v>0.33333333333333331</v>
      </c>
      <c r="K1634" s="162" t="s">
        <v>749</v>
      </c>
      <c r="L1634" s="166"/>
      <c r="M1634" s="166"/>
      <c r="N1634" s="164"/>
      <c r="O1634" s="166"/>
      <c r="P1634" s="165"/>
    </row>
    <row r="1635" spans="1:16" ht="15" hidden="1" customHeight="1" x14ac:dyDescent="0.25">
      <c r="A1635" s="168"/>
      <c r="B1635" s="167"/>
      <c r="C1635" s="168"/>
      <c r="D1635" s="167"/>
      <c r="E1635" s="167"/>
      <c r="F1635" s="167"/>
      <c r="G1635" s="167"/>
      <c r="H1635" s="167"/>
      <c r="I1635" s="164">
        <f t="shared" ca="1" si="26"/>
        <v>44939</v>
      </c>
      <c r="J1635" s="163">
        <v>0.33333333333333331</v>
      </c>
      <c r="K1635" s="162" t="s">
        <v>749</v>
      </c>
      <c r="L1635" s="166"/>
      <c r="M1635" s="166"/>
      <c r="N1635" s="164"/>
      <c r="O1635" s="166"/>
      <c r="P1635" s="165"/>
    </row>
    <row r="1636" spans="1:16" ht="15" hidden="1" customHeight="1" x14ac:dyDescent="0.25">
      <c r="A1636" s="168"/>
      <c r="B1636" s="167"/>
      <c r="C1636" s="168"/>
      <c r="D1636" s="167"/>
      <c r="E1636" s="167"/>
      <c r="F1636" s="167"/>
      <c r="G1636" s="167"/>
      <c r="H1636" s="167"/>
      <c r="I1636" s="164">
        <f t="shared" ca="1" si="26"/>
        <v>44939</v>
      </c>
      <c r="J1636" s="163">
        <v>0.33333333333333331</v>
      </c>
      <c r="K1636" s="162" t="s">
        <v>749</v>
      </c>
      <c r="L1636" s="166"/>
      <c r="M1636" s="166"/>
      <c r="N1636" s="164"/>
      <c r="O1636" s="166"/>
      <c r="P1636" s="165"/>
    </row>
    <row r="1637" spans="1:16" ht="15" hidden="1" customHeight="1" x14ac:dyDescent="0.25">
      <c r="A1637" s="168"/>
      <c r="B1637" s="167"/>
      <c r="C1637" s="168"/>
      <c r="D1637" s="167"/>
      <c r="E1637" s="167"/>
      <c r="F1637" s="167"/>
      <c r="G1637" s="167"/>
      <c r="H1637" s="167"/>
      <c r="I1637" s="164">
        <f t="shared" ca="1" si="26"/>
        <v>44939</v>
      </c>
      <c r="J1637" s="163">
        <v>0.33333333333333331</v>
      </c>
      <c r="K1637" s="162" t="s">
        <v>749</v>
      </c>
      <c r="L1637" s="166"/>
      <c r="M1637" s="166"/>
      <c r="N1637" s="164"/>
      <c r="O1637" s="166"/>
      <c r="P1637" s="165"/>
    </row>
    <row r="1638" spans="1:16" ht="15" hidden="1" customHeight="1" x14ac:dyDescent="0.25">
      <c r="A1638" s="168"/>
      <c r="B1638" s="167"/>
      <c r="C1638" s="168"/>
      <c r="D1638" s="167"/>
      <c r="E1638" s="167"/>
      <c r="F1638" s="167"/>
      <c r="G1638" s="167"/>
      <c r="H1638" s="167"/>
      <c r="I1638" s="164">
        <f t="shared" ca="1" si="26"/>
        <v>44939</v>
      </c>
      <c r="J1638" s="163">
        <v>0.33333333333333331</v>
      </c>
      <c r="K1638" s="162" t="s">
        <v>749</v>
      </c>
      <c r="L1638" s="166"/>
      <c r="M1638" s="166"/>
      <c r="N1638" s="164"/>
      <c r="O1638" s="166"/>
      <c r="P1638" s="165"/>
    </row>
    <row r="1639" spans="1:16" ht="15" hidden="1" customHeight="1" x14ac:dyDescent="0.25">
      <c r="A1639" s="168"/>
      <c r="B1639" s="167"/>
      <c r="C1639" s="168"/>
      <c r="D1639" s="167"/>
      <c r="E1639" s="167"/>
      <c r="F1639" s="167"/>
      <c r="G1639" s="167"/>
      <c r="H1639" s="167"/>
      <c r="I1639" s="164">
        <f t="shared" ca="1" si="26"/>
        <v>44939</v>
      </c>
      <c r="J1639" s="163">
        <v>0.33333333333333331</v>
      </c>
      <c r="K1639" s="162" t="s">
        <v>749</v>
      </c>
      <c r="L1639" s="166"/>
      <c r="M1639" s="166"/>
      <c r="N1639" s="164"/>
      <c r="O1639" s="166"/>
      <c r="P1639" s="165"/>
    </row>
    <row r="1640" spans="1:16" ht="15" hidden="1" customHeight="1" x14ac:dyDescent="0.25">
      <c r="A1640" s="168"/>
      <c r="B1640" s="167"/>
      <c r="C1640" s="168"/>
      <c r="D1640" s="167"/>
      <c r="E1640" s="167"/>
      <c r="F1640" s="167"/>
      <c r="G1640" s="167"/>
      <c r="H1640" s="167"/>
      <c r="I1640" s="164">
        <f t="shared" ca="1" si="26"/>
        <v>44939</v>
      </c>
      <c r="J1640" s="163">
        <v>0.33333333333333331</v>
      </c>
      <c r="K1640" s="162" t="s">
        <v>749</v>
      </c>
      <c r="L1640" s="166"/>
      <c r="M1640" s="166"/>
      <c r="N1640" s="164"/>
      <c r="O1640" s="166"/>
      <c r="P1640" s="165"/>
    </row>
    <row r="1641" spans="1:16" ht="15" hidden="1" customHeight="1" x14ac:dyDescent="0.25">
      <c r="A1641" s="168"/>
      <c r="B1641" s="167"/>
      <c r="C1641" s="168"/>
      <c r="D1641" s="167"/>
      <c r="E1641" s="167"/>
      <c r="F1641" s="167"/>
      <c r="G1641" s="167"/>
      <c r="H1641" s="167"/>
      <c r="I1641" s="164">
        <f t="shared" ca="1" si="26"/>
        <v>44939</v>
      </c>
      <c r="J1641" s="163">
        <v>0.33333333333333331</v>
      </c>
      <c r="K1641" s="162" t="s">
        <v>749</v>
      </c>
      <c r="L1641" s="166"/>
      <c r="M1641" s="166"/>
      <c r="N1641" s="164"/>
      <c r="O1641" s="166"/>
      <c r="P1641" s="165"/>
    </row>
    <row r="1642" spans="1:16" ht="15" hidden="1" customHeight="1" x14ac:dyDescent="0.25">
      <c r="A1642" s="168"/>
      <c r="B1642" s="167"/>
      <c r="C1642" s="168"/>
      <c r="D1642" s="167"/>
      <c r="E1642" s="167"/>
      <c r="F1642" s="167"/>
      <c r="G1642" s="167"/>
      <c r="H1642" s="167"/>
      <c r="I1642" s="164">
        <f t="shared" ca="1" si="26"/>
        <v>44939</v>
      </c>
      <c r="J1642" s="163">
        <v>0.33333333333333331</v>
      </c>
      <c r="K1642" s="162" t="s">
        <v>749</v>
      </c>
      <c r="L1642" s="166"/>
      <c r="M1642" s="166"/>
      <c r="N1642" s="164"/>
      <c r="O1642" s="166"/>
      <c r="P1642" s="165"/>
    </row>
    <row r="1643" spans="1:16" ht="15" hidden="1" customHeight="1" x14ac:dyDescent="0.25">
      <c r="A1643" s="168"/>
      <c r="B1643" s="167"/>
      <c r="C1643" s="168"/>
      <c r="D1643" s="167"/>
      <c r="E1643" s="167"/>
      <c r="F1643" s="167"/>
      <c r="G1643" s="167"/>
      <c r="H1643" s="167"/>
      <c r="I1643" s="164">
        <f t="shared" ca="1" si="26"/>
        <v>44939</v>
      </c>
      <c r="J1643" s="163">
        <v>0.33333333333333331</v>
      </c>
      <c r="K1643" s="162" t="s">
        <v>749</v>
      </c>
      <c r="L1643" s="166"/>
      <c r="M1643" s="166"/>
      <c r="N1643" s="164"/>
      <c r="O1643" s="166"/>
      <c r="P1643" s="165"/>
    </row>
    <row r="1644" spans="1:16" ht="15" hidden="1" customHeight="1" x14ac:dyDescent="0.25">
      <c r="A1644" s="168"/>
      <c r="B1644" s="167"/>
      <c r="C1644" s="168"/>
      <c r="D1644" s="167"/>
      <c r="E1644" s="167"/>
      <c r="F1644" s="167"/>
      <c r="G1644" s="167"/>
      <c r="H1644" s="167"/>
      <c r="I1644" s="164">
        <f t="shared" ca="1" si="26"/>
        <v>44939</v>
      </c>
      <c r="J1644" s="163">
        <v>0.33333333333333331</v>
      </c>
      <c r="K1644" s="162" t="s">
        <v>749</v>
      </c>
      <c r="L1644" s="166"/>
      <c r="M1644" s="166"/>
      <c r="N1644" s="164"/>
      <c r="O1644" s="166"/>
      <c r="P1644" s="165"/>
    </row>
    <row r="1645" spans="1:16" ht="15" hidden="1" customHeight="1" x14ac:dyDescent="0.25">
      <c r="A1645" s="168"/>
      <c r="B1645" s="167"/>
      <c r="C1645" s="168"/>
      <c r="D1645" s="167"/>
      <c r="E1645" s="167"/>
      <c r="F1645" s="167"/>
      <c r="G1645" s="167"/>
      <c r="H1645" s="167"/>
      <c r="I1645" s="164">
        <f t="shared" ca="1" si="26"/>
        <v>44939</v>
      </c>
      <c r="J1645" s="163">
        <v>0.33333333333333331</v>
      </c>
      <c r="K1645" s="162" t="s">
        <v>749</v>
      </c>
      <c r="L1645" s="166"/>
      <c r="M1645" s="166"/>
      <c r="N1645" s="164"/>
      <c r="O1645" s="166"/>
      <c r="P1645" s="165"/>
    </row>
    <row r="1646" spans="1:16" ht="15" hidden="1" customHeight="1" x14ac:dyDescent="0.25">
      <c r="A1646" s="168"/>
      <c r="B1646" s="167"/>
      <c r="C1646" s="168"/>
      <c r="D1646" s="167"/>
      <c r="E1646" s="167"/>
      <c r="F1646" s="167"/>
      <c r="G1646" s="167"/>
      <c r="H1646" s="167"/>
      <c r="I1646" s="164">
        <f t="shared" ca="1" si="26"/>
        <v>44939</v>
      </c>
      <c r="J1646" s="163">
        <v>0.33333333333333331</v>
      </c>
      <c r="K1646" s="162" t="s">
        <v>749</v>
      </c>
      <c r="L1646" s="166"/>
      <c r="M1646" s="166"/>
      <c r="N1646" s="164"/>
      <c r="O1646" s="166"/>
      <c r="P1646" s="165"/>
    </row>
    <row r="1647" spans="1:16" ht="15" hidden="1" customHeight="1" x14ac:dyDescent="0.25">
      <c r="A1647" s="168"/>
      <c r="B1647" s="167"/>
      <c r="C1647" s="168"/>
      <c r="D1647" s="167"/>
      <c r="E1647" s="167"/>
      <c r="F1647" s="167"/>
      <c r="G1647" s="167"/>
      <c r="H1647" s="167"/>
      <c r="I1647" s="164">
        <f t="shared" ca="1" si="26"/>
        <v>44939</v>
      </c>
      <c r="J1647" s="163">
        <v>0.33333333333333331</v>
      </c>
      <c r="K1647" s="162" t="s">
        <v>749</v>
      </c>
      <c r="L1647" s="166"/>
      <c r="M1647" s="166"/>
      <c r="N1647" s="164"/>
      <c r="O1647" s="166"/>
      <c r="P1647" s="165"/>
    </row>
    <row r="1648" spans="1:16" ht="15" hidden="1" customHeight="1" x14ac:dyDescent="0.25">
      <c r="A1648" s="168"/>
      <c r="B1648" s="167"/>
      <c r="C1648" s="168"/>
      <c r="D1648" s="167"/>
      <c r="E1648" s="167"/>
      <c r="F1648" s="167"/>
      <c r="G1648" s="167"/>
      <c r="H1648" s="167"/>
      <c r="I1648" s="164">
        <f t="shared" ca="1" si="26"/>
        <v>44939</v>
      </c>
      <c r="J1648" s="163">
        <v>0.33333333333333331</v>
      </c>
      <c r="K1648" s="162" t="s">
        <v>749</v>
      </c>
      <c r="L1648" s="166"/>
      <c r="M1648" s="166"/>
      <c r="N1648" s="164"/>
      <c r="O1648" s="166"/>
      <c r="P1648" s="165"/>
    </row>
    <row r="1649" spans="1:16" ht="15" hidden="1" customHeight="1" x14ac:dyDescent="0.25">
      <c r="A1649" s="168"/>
      <c r="B1649" s="167"/>
      <c r="C1649" s="168"/>
      <c r="D1649" s="167"/>
      <c r="E1649" s="167"/>
      <c r="F1649" s="167"/>
      <c r="G1649" s="167"/>
      <c r="H1649" s="167"/>
      <c r="I1649" s="164">
        <f t="shared" ca="1" si="26"/>
        <v>44939</v>
      </c>
      <c r="J1649" s="163">
        <v>0.33333333333333331</v>
      </c>
      <c r="K1649" s="162" t="s">
        <v>749</v>
      </c>
      <c r="L1649" s="166"/>
      <c r="M1649" s="166"/>
      <c r="N1649" s="164"/>
      <c r="O1649" s="166"/>
      <c r="P1649" s="165"/>
    </row>
    <row r="1650" spans="1:16" ht="15" hidden="1" customHeight="1" x14ac:dyDescent="0.25">
      <c r="A1650" s="168"/>
      <c r="B1650" s="167"/>
      <c r="C1650" s="168"/>
      <c r="D1650" s="167"/>
      <c r="E1650" s="167"/>
      <c r="F1650" s="167"/>
      <c r="G1650" s="167"/>
      <c r="H1650" s="167"/>
      <c r="I1650" s="164">
        <f t="shared" ca="1" si="26"/>
        <v>44939</v>
      </c>
      <c r="J1650" s="163">
        <v>0.33333333333333331</v>
      </c>
      <c r="K1650" s="162" t="s">
        <v>749</v>
      </c>
      <c r="L1650" s="166"/>
      <c r="M1650" s="166"/>
      <c r="N1650" s="164"/>
      <c r="O1650" s="166"/>
      <c r="P1650" s="165"/>
    </row>
    <row r="1651" spans="1:16" ht="15" hidden="1" customHeight="1" x14ac:dyDescent="0.25">
      <c r="A1651" s="168"/>
      <c r="B1651" s="167"/>
      <c r="C1651" s="168"/>
      <c r="D1651" s="167"/>
      <c r="E1651" s="167"/>
      <c r="F1651" s="167"/>
      <c r="G1651" s="167"/>
      <c r="H1651" s="167"/>
      <c r="I1651" s="164">
        <f t="shared" ca="1" si="26"/>
        <v>44939</v>
      </c>
      <c r="J1651" s="163">
        <v>0.33333333333333331</v>
      </c>
      <c r="K1651" s="162" t="s">
        <v>749</v>
      </c>
      <c r="L1651" s="166"/>
      <c r="M1651" s="166"/>
      <c r="N1651" s="164"/>
      <c r="O1651" s="166"/>
      <c r="P1651" s="165"/>
    </row>
    <row r="1652" spans="1:16" ht="15" hidden="1" customHeight="1" x14ac:dyDescent="0.25">
      <c r="A1652" s="168"/>
      <c r="B1652" s="167"/>
      <c r="C1652" s="168"/>
      <c r="D1652" s="167"/>
      <c r="E1652" s="167"/>
      <c r="F1652" s="167"/>
      <c r="G1652" s="167"/>
      <c r="H1652" s="167"/>
      <c r="I1652" s="164">
        <f t="shared" ca="1" si="26"/>
        <v>44939</v>
      </c>
      <c r="J1652" s="163">
        <v>0.33333333333333331</v>
      </c>
      <c r="K1652" s="162" t="s">
        <v>749</v>
      </c>
      <c r="L1652" s="166"/>
      <c r="M1652" s="166"/>
      <c r="N1652" s="164"/>
      <c r="O1652" s="166"/>
      <c r="P1652" s="165"/>
    </row>
    <row r="1653" spans="1:16" ht="15" hidden="1" customHeight="1" x14ac:dyDescent="0.25">
      <c r="A1653" s="168"/>
      <c r="B1653" s="167"/>
      <c r="C1653" s="168"/>
      <c r="D1653" s="167"/>
      <c r="E1653" s="167"/>
      <c r="F1653" s="167"/>
      <c r="G1653" s="167"/>
      <c r="H1653" s="167"/>
      <c r="I1653" s="164">
        <f t="shared" ca="1" si="26"/>
        <v>44939</v>
      </c>
      <c r="J1653" s="163">
        <v>0.33333333333333331</v>
      </c>
      <c r="K1653" s="162" t="s">
        <v>749</v>
      </c>
      <c r="L1653" s="166"/>
      <c r="M1653" s="166"/>
      <c r="N1653" s="164"/>
      <c r="O1653" s="166"/>
      <c r="P1653" s="165"/>
    </row>
    <row r="1654" spans="1:16" ht="15" hidden="1" customHeight="1" x14ac:dyDescent="0.25">
      <c r="A1654" s="168"/>
      <c r="B1654" s="167"/>
      <c r="C1654" s="168"/>
      <c r="D1654" s="167"/>
      <c r="E1654" s="167"/>
      <c r="F1654" s="167"/>
      <c r="G1654" s="167"/>
      <c r="H1654" s="167"/>
      <c r="I1654" s="164">
        <f t="shared" ca="1" si="26"/>
        <v>44939</v>
      </c>
      <c r="J1654" s="163">
        <v>0.33333333333333331</v>
      </c>
      <c r="K1654" s="162" t="s">
        <v>749</v>
      </c>
      <c r="L1654" s="166"/>
      <c r="M1654" s="166"/>
      <c r="N1654" s="164"/>
      <c r="O1654" s="166"/>
      <c r="P1654" s="165"/>
    </row>
    <row r="1655" spans="1:16" ht="15" hidden="1" customHeight="1" x14ac:dyDescent="0.25">
      <c r="A1655" s="168"/>
      <c r="B1655" s="167"/>
      <c r="C1655" s="168"/>
      <c r="D1655" s="167"/>
      <c r="E1655" s="167"/>
      <c r="F1655" s="167"/>
      <c r="G1655" s="167"/>
      <c r="H1655" s="167"/>
      <c r="I1655" s="164">
        <f t="shared" ca="1" si="26"/>
        <v>44939</v>
      </c>
      <c r="J1655" s="163">
        <v>0.33333333333333331</v>
      </c>
      <c r="K1655" s="162" t="s">
        <v>749</v>
      </c>
      <c r="L1655" s="166"/>
      <c r="M1655" s="166"/>
      <c r="N1655" s="164"/>
      <c r="O1655" s="166"/>
      <c r="P1655" s="165"/>
    </row>
    <row r="1656" spans="1:16" ht="15" hidden="1" customHeight="1" x14ac:dyDescent="0.25">
      <c r="A1656" s="168"/>
      <c r="B1656" s="167"/>
      <c r="C1656" s="168"/>
      <c r="D1656" s="167"/>
      <c r="E1656" s="167"/>
      <c r="F1656" s="167"/>
      <c r="G1656" s="167"/>
      <c r="H1656" s="167"/>
      <c r="I1656" s="164">
        <f t="shared" ca="1" si="26"/>
        <v>44939</v>
      </c>
      <c r="J1656" s="163">
        <v>0.33333333333333331</v>
      </c>
      <c r="K1656" s="162" t="s">
        <v>749</v>
      </c>
      <c r="L1656" s="166"/>
      <c r="M1656" s="166"/>
      <c r="N1656" s="164"/>
      <c r="O1656" s="166"/>
      <c r="P1656" s="165"/>
    </row>
    <row r="1657" spans="1:16" ht="15" hidden="1" customHeight="1" x14ac:dyDescent="0.25">
      <c r="A1657" s="168"/>
      <c r="B1657" s="167"/>
      <c r="C1657" s="168"/>
      <c r="D1657" s="167"/>
      <c r="E1657" s="167"/>
      <c r="F1657" s="167"/>
      <c r="G1657" s="167"/>
      <c r="H1657" s="167"/>
      <c r="I1657" s="164">
        <f t="shared" ca="1" si="26"/>
        <v>44939</v>
      </c>
      <c r="J1657" s="163">
        <v>0.33333333333333331</v>
      </c>
      <c r="K1657" s="162" t="s">
        <v>749</v>
      </c>
      <c r="L1657" s="166"/>
      <c r="M1657" s="166"/>
      <c r="N1657" s="164"/>
      <c r="O1657" s="166"/>
      <c r="P1657" s="165"/>
    </row>
    <row r="1658" spans="1:16" ht="15" hidden="1" customHeight="1" x14ac:dyDescent="0.25">
      <c r="A1658" s="168"/>
      <c r="B1658" s="167"/>
      <c r="C1658" s="168"/>
      <c r="D1658" s="167"/>
      <c r="E1658" s="167"/>
      <c r="F1658" s="167"/>
      <c r="G1658" s="167"/>
      <c r="H1658" s="167"/>
      <c r="I1658" s="164">
        <f t="shared" ca="1" si="26"/>
        <v>44939</v>
      </c>
      <c r="J1658" s="163">
        <v>0.33333333333333331</v>
      </c>
      <c r="K1658" s="162" t="s">
        <v>749</v>
      </c>
      <c r="L1658" s="166"/>
      <c r="M1658" s="166"/>
      <c r="N1658" s="164"/>
      <c r="O1658" s="166"/>
      <c r="P1658" s="165"/>
    </row>
    <row r="1659" spans="1:16" ht="15" hidden="1" customHeight="1" x14ac:dyDescent="0.25">
      <c r="A1659" s="168"/>
      <c r="B1659" s="167"/>
      <c r="C1659" s="168"/>
      <c r="D1659" s="167"/>
      <c r="E1659" s="167"/>
      <c r="F1659" s="167"/>
      <c r="G1659" s="167"/>
      <c r="H1659" s="167"/>
      <c r="I1659" s="164">
        <f t="shared" ca="1" si="26"/>
        <v>44939</v>
      </c>
      <c r="J1659" s="163">
        <v>0.33333333333333331</v>
      </c>
      <c r="K1659" s="162" t="s">
        <v>749</v>
      </c>
      <c r="L1659" s="166"/>
      <c r="M1659" s="166"/>
      <c r="N1659" s="164"/>
      <c r="O1659" s="166"/>
      <c r="P1659" s="165"/>
    </row>
    <row r="1660" spans="1:16" ht="15" hidden="1" customHeight="1" x14ac:dyDescent="0.25">
      <c r="A1660" s="168"/>
      <c r="B1660" s="167"/>
      <c r="C1660" s="168"/>
      <c r="D1660" s="167"/>
      <c r="E1660" s="167"/>
      <c r="F1660" s="167"/>
      <c r="G1660" s="167"/>
      <c r="H1660" s="167"/>
      <c r="I1660" s="164">
        <f t="shared" ca="1" si="26"/>
        <v>44939</v>
      </c>
      <c r="J1660" s="163">
        <v>0.33333333333333331</v>
      </c>
      <c r="K1660" s="162" t="s">
        <v>749</v>
      </c>
      <c r="L1660" s="166"/>
      <c r="M1660" s="166"/>
      <c r="N1660" s="164"/>
      <c r="O1660" s="166"/>
      <c r="P1660" s="165"/>
    </row>
    <row r="1661" spans="1:16" ht="15" hidden="1" customHeight="1" x14ac:dyDescent="0.25">
      <c r="A1661" s="168"/>
      <c r="B1661" s="167"/>
      <c r="C1661" s="168"/>
      <c r="D1661" s="167"/>
      <c r="E1661" s="167"/>
      <c r="F1661" s="167"/>
      <c r="G1661" s="167"/>
      <c r="H1661" s="167"/>
      <c r="I1661" s="164">
        <f t="shared" ca="1" si="26"/>
        <v>44939</v>
      </c>
      <c r="J1661" s="163">
        <v>0.33333333333333331</v>
      </c>
      <c r="K1661" s="162" t="s">
        <v>749</v>
      </c>
      <c r="L1661" s="166"/>
      <c r="M1661" s="166"/>
      <c r="N1661" s="164"/>
      <c r="O1661" s="166"/>
      <c r="P1661" s="165"/>
    </row>
    <row r="1662" spans="1:16" ht="15" hidden="1" customHeight="1" x14ac:dyDescent="0.25">
      <c r="A1662" s="168"/>
      <c r="B1662" s="167"/>
      <c r="C1662" s="168"/>
      <c r="D1662" s="167"/>
      <c r="E1662" s="167"/>
      <c r="F1662" s="167"/>
      <c r="G1662" s="167"/>
      <c r="H1662" s="167"/>
      <c r="I1662" s="164">
        <f t="shared" ca="1" si="26"/>
        <v>44939</v>
      </c>
      <c r="J1662" s="163">
        <v>0.33333333333333331</v>
      </c>
      <c r="K1662" s="162" t="s">
        <v>749</v>
      </c>
      <c r="L1662" s="166"/>
      <c r="M1662" s="166"/>
      <c r="N1662" s="164"/>
      <c r="O1662" s="166"/>
      <c r="P1662" s="165"/>
    </row>
    <row r="1663" spans="1:16" ht="15" hidden="1" customHeight="1" x14ac:dyDescent="0.25">
      <c r="A1663" s="168"/>
      <c r="B1663" s="167"/>
      <c r="C1663" s="168"/>
      <c r="D1663" s="167"/>
      <c r="E1663" s="167"/>
      <c r="F1663" s="167"/>
      <c r="G1663" s="167"/>
      <c r="H1663" s="167"/>
      <c r="I1663" s="164">
        <f t="shared" ca="1" si="26"/>
        <v>44939</v>
      </c>
      <c r="J1663" s="163">
        <v>0.33333333333333331</v>
      </c>
      <c r="K1663" s="162" t="s">
        <v>749</v>
      </c>
      <c r="L1663" s="166"/>
      <c r="M1663" s="166"/>
      <c r="N1663" s="164"/>
      <c r="O1663" s="166"/>
      <c r="P1663" s="165"/>
    </row>
    <row r="1664" spans="1:16" ht="15" hidden="1" customHeight="1" x14ac:dyDescent="0.25">
      <c r="A1664" s="168"/>
      <c r="B1664" s="167"/>
      <c r="C1664" s="168"/>
      <c r="D1664" s="167"/>
      <c r="E1664" s="167"/>
      <c r="F1664" s="167"/>
      <c r="G1664" s="167"/>
      <c r="H1664" s="167"/>
      <c r="I1664" s="164">
        <f t="shared" ca="1" si="26"/>
        <v>44939</v>
      </c>
      <c r="J1664" s="163">
        <v>0.33333333333333331</v>
      </c>
      <c r="K1664" s="162" t="s">
        <v>749</v>
      </c>
      <c r="L1664" s="166"/>
      <c r="M1664" s="166"/>
      <c r="N1664" s="164"/>
      <c r="O1664" s="166"/>
      <c r="P1664" s="165"/>
    </row>
    <row r="1665" spans="1:16" ht="15" hidden="1" customHeight="1" x14ac:dyDescent="0.25">
      <c r="A1665" s="168"/>
      <c r="B1665" s="167"/>
      <c r="C1665" s="168"/>
      <c r="D1665" s="167"/>
      <c r="E1665" s="167"/>
      <c r="F1665" s="167"/>
      <c r="G1665" s="167"/>
      <c r="H1665" s="167"/>
      <c r="I1665" s="164">
        <f t="shared" ca="1" si="26"/>
        <v>44939</v>
      </c>
      <c r="J1665" s="163">
        <v>0.33333333333333331</v>
      </c>
      <c r="K1665" s="162" t="s">
        <v>749</v>
      </c>
      <c r="L1665" s="166"/>
      <c r="M1665" s="166"/>
      <c r="N1665" s="164"/>
      <c r="O1665" s="166"/>
      <c r="P1665" s="165"/>
    </row>
    <row r="1666" spans="1:16" ht="15" hidden="1" customHeight="1" x14ac:dyDescent="0.25">
      <c r="A1666" s="168"/>
      <c r="B1666" s="167"/>
      <c r="C1666" s="168"/>
      <c r="D1666" s="167"/>
      <c r="E1666" s="167"/>
      <c r="F1666" s="167"/>
      <c r="G1666" s="167"/>
      <c r="H1666" s="167"/>
      <c r="I1666" s="164">
        <f t="shared" ca="1" si="26"/>
        <v>44939</v>
      </c>
      <c r="J1666" s="163">
        <v>0.33333333333333331</v>
      </c>
      <c r="K1666" s="162" t="s">
        <v>749</v>
      </c>
      <c r="L1666" s="166"/>
      <c r="M1666" s="166"/>
      <c r="N1666" s="164"/>
      <c r="O1666" s="166"/>
      <c r="P1666" s="165"/>
    </row>
    <row r="1667" spans="1:16" ht="15" hidden="1" customHeight="1" x14ac:dyDescent="0.25">
      <c r="A1667" s="168"/>
      <c r="B1667" s="167"/>
      <c r="C1667" s="168"/>
      <c r="D1667" s="167"/>
      <c r="E1667" s="167"/>
      <c r="F1667" s="167"/>
      <c r="G1667" s="167"/>
      <c r="H1667" s="167"/>
      <c r="I1667" s="164">
        <f t="shared" ca="1" si="26"/>
        <v>44939</v>
      </c>
      <c r="J1667" s="163">
        <v>0.33333333333333331</v>
      </c>
      <c r="K1667" s="162" t="s">
        <v>749</v>
      </c>
      <c r="L1667" s="166"/>
      <c r="M1667" s="166"/>
      <c r="N1667" s="164"/>
      <c r="O1667" s="166"/>
      <c r="P1667" s="165"/>
    </row>
    <row r="1668" spans="1:16" ht="15" hidden="1" customHeight="1" x14ac:dyDescent="0.25">
      <c r="A1668" s="168"/>
      <c r="B1668" s="167"/>
      <c r="C1668" s="168"/>
      <c r="D1668" s="167"/>
      <c r="E1668" s="167"/>
      <c r="F1668" s="167"/>
      <c r="G1668" s="167"/>
      <c r="H1668" s="167"/>
      <c r="I1668" s="164">
        <f t="shared" ca="1" si="26"/>
        <v>44939</v>
      </c>
      <c r="J1668" s="163">
        <v>0.33333333333333331</v>
      </c>
      <c r="K1668" s="162" t="s">
        <v>749</v>
      </c>
      <c r="L1668" s="166"/>
      <c r="M1668" s="166"/>
      <c r="N1668" s="164"/>
      <c r="O1668" s="166"/>
      <c r="P1668" s="165"/>
    </row>
    <row r="1669" spans="1:16" ht="15" hidden="1" customHeight="1" x14ac:dyDescent="0.25">
      <c r="A1669" s="168"/>
      <c r="B1669" s="167"/>
      <c r="C1669" s="168"/>
      <c r="D1669" s="167"/>
      <c r="E1669" s="167"/>
      <c r="F1669" s="167"/>
      <c r="G1669" s="167"/>
      <c r="H1669" s="167"/>
      <c r="I1669" s="164">
        <f t="shared" ca="1" si="26"/>
        <v>44939</v>
      </c>
      <c r="J1669" s="163">
        <v>0.33333333333333331</v>
      </c>
      <c r="K1669" s="162" t="s">
        <v>749</v>
      </c>
      <c r="L1669" s="166"/>
      <c r="M1669" s="166"/>
      <c r="N1669" s="164"/>
      <c r="O1669" s="166"/>
      <c r="P1669" s="165"/>
    </row>
    <row r="1670" spans="1:16" ht="15" hidden="1" customHeight="1" x14ac:dyDescent="0.25">
      <c r="A1670" s="168"/>
      <c r="B1670" s="167"/>
      <c r="C1670" s="168"/>
      <c r="D1670" s="167"/>
      <c r="E1670" s="167"/>
      <c r="F1670" s="167"/>
      <c r="G1670" s="167"/>
      <c r="H1670" s="167"/>
      <c r="I1670" s="164">
        <f t="shared" ca="1" si="26"/>
        <v>44939</v>
      </c>
      <c r="J1670" s="163">
        <v>0.33333333333333331</v>
      </c>
      <c r="K1670" s="162" t="s">
        <v>749</v>
      </c>
      <c r="L1670" s="166"/>
      <c r="M1670" s="166"/>
      <c r="N1670" s="164"/>
      <c r="O1670" s="166"/>
      <c r="P1670" s="165"/>
    </row>
    <row r="1671" spans="1:16" ht="15" hidden="1" customHeight="1" x14ac:dyDescent="0.25">
      <c r="A1671" s="168"/>
      <c r="B1671" s="167"/>
      <c r="C1671" s="168"/>
      <c r="D1671" s="167"/>
      <c r="E1671" s="167"/>
      <c r="F1671" s="167"/>
      <c r="G1671" s="167"/>
      <c r="H1671" s="167"/>
      <c r="I1671" s="164">
        <f t="shared" ca="1" si="26"/>
        <v>44939</v>
      </c>
      <c r="J1671" s="163">
        <v>0.33333333333333331</v>
      </c>
      <c r="K1671" s="162" t="s">
        <v>749</v>
      </c>
      <c r="L1671" s="166"/>
      <c r="M1671" s="166"/>
      <c r="N1671" s="164"/>
      <c r="O1671" s="166"/>
      <c r="P1671" s="165"/>
    </row>
    <row r="1672" spans="1:16" ht="15" hidden="1" customHeight="1" x14ac:dyDescent="0.25">
      <c r="A1672" s="168"/>
      <c r="B1672" s="167"/>
      <c r="C1672" s="168"/>
      <c r="D1672" s="167"/>
      <c r="E1672" s="167"/>
      <c r="F1672" s="167"/>
      <c r="G1672" s="167"/>
      <c r="H1672" s="167"/>
      <c r="I1672" s="164">
        <f t="shared" ca="1" si="26"/>
        <v>44939</v>
      </c>
      <c r="J1672" s="163">
        <v>0.33333333333333331</v>
      </c>
      <c r="K1672" s="162" t="s">
        <v>749</v>
      </c>
      <c r="L1672" s="166"/>
      <c r="M1672" s="166"/>
      <c r="N1672" s="164"/>
      <c r="O1672" s="166"/>
      <c r="P1672" s="165"/>
    </row>
    <row r="1673" spans="1:16" ht="15" hidden="1" customHeight="1" x14ac:dyDescent="0.25">
      <c r="A1673" s="168"/>
      <c r="B1673" s="167"/>
      <c r="C1673" s="168"/>
      <c r="D1673" s="167"/>
      <c r="E1673" s="167"/>
      <c r="F1673" s="167"/>
      <c r="G1673" s="167"/>
      <c r="H1673" s="167"/>
      <c r="I1673" s="164">
        <f t="shared" ca="1" si="26"/>
        <v>44939</v>
      </c>
      <c r="J1673" s="163">
        <v>0.33333333333333331</v>
      </c>
      <c r="K1673" s="162" t="s">
        <v>749</v>
      </c>
      <c r="L1673" s="166"/>
      <c r="M1673" s="166"/>
      <c r="N1673" s="164"/>
      <c r="O1673" s="166"/>
      <c r="P1673" s="165"/>
    </row>
    <row r="1674" spans="1:16" ht="15" hidden="1" customHeight="1" x14ac:dyDescent="0.25">
      <c r="A1674" s="168"/>
      <c r="B1674" s="167"/>
      <c r="C1674" s="168"/>
      <c r="D1674" s="167"/>
      <c r="E1674" s="167"/>
      <c r="F1674" s="167"/>
      <c r="G1674" s="167"/>
      <c r="H1674" s="167"/>
      <c r="I1674" s="164">
        <f t="shared" ca="1" si="26"/>
        <v>44939</v>
      </c>
      <c r="J1674" s="163">
        <v>0.33333333333333331</v>
      </c>
      <c r="K1674" s="162" t="s">
        <v>749</v>
      </c>
      <c r="L1674" s="166"/>
      <c r="M1674" s="166"/>
      <c r="N1674" s="164"/>
      <c r="O1674" s="166"/>
      <c r="P1674" s="165"/>
    </row>
    <row r="1675" spans="1:16" ht="15" hidden="1" customHeight="1" x14ac:dyDescent="0.25">
      <c r="A1675" s="168"/>
      <c r="B1675" s="167"/>
      <c r="C1675" s="168"/>
      <c r="D1675" s="167"/>
      <c r="E1675" s="167"/>
      <c r="F1675" s="167"/>
      <c r="G1675" s="167"/>
      <c r="H1675" s="167"/>
      <c r="I1675" s="164">
        <f t="shared" ca="1" si="26"/>
        <v>44939</v>
      </c>
      <c r="J1675" s="163">
        <v>0.33333333333333331</v>
      </c>
      <c r="K1675" s="162" t="s">
        <v>749</v>
      </c>
      <c r="L1675" s="166"/>
      <c r="M1675" s="166"/>
      <c r="N1675" s="164"/>
      <c r="O1675" s="166"/>
      <c r="P1675" s="165"/>
    </row>
    <row r="1676" spans="1:16" ht="15" hidden="1" customHeight="1" x14ac:dyDescent="0.25">
      <c r="A1676" s="168"/>
      <c r="B1676" s="167"/>
      <c r="C1676" s="168"/>
      <c r="D1676" s="167"/>
      <c r="E1676" s="167"/>
      <c r="F1676" s="167"/>
      <c r="G1676" s="167"/>
      <c r="H1676" s="167"/>
      <c r="I1676" s="164">
        <f t="shared" ca="1" si="26"/>
        <v>44939</v>
      </c>
      <c r="J1676" s="163">
        <v>0.33333333333333331</v>
      </c>
      <c r="K1676" s="162" t="s">
        <v>749</v>
      </c>
      <c r="L1676" s="166"/>
      <c r="M1676" s="166"/>
      <c r="N1676" s="164"/>
      <c r="O1676" s="166"/>
      <c r="P1676" s="165"/>
    </row>
    <row r="1677" spans="1:16" ht="15" hidden="1" customHeight="1" x14ac:dyDescent="0.25">
      <c r="A1677" s="168"/>
      <c r="B1677" s="167"/>
      <c r="C1677" s="168"/>
      <c r="D1677" s="167"/>
      <c r="E1677" s="167"/>
      <c r="F1677" s="167"/>
      <c r="G1677" s="167"/>
      <c r="H1677" s="167"/>
      <c r="I1677" s="164">
        <f t="shared" ca="1" si="26"/>
        <v>44939</v>
      </c>
      <c r="J1677" s="163">
        <v>0.33333333333333331</v>
      </c>
      <c r="K1677" s="162" t="s">
        <v>749</v>
      </c>
      <c r="L1677" s="166"/>
      <c r="M1677" s="166"/>
      <c r="N1677" s="164"/>
      <c r="O1677" s="166"/>
      <c r="P1677" s="165"/>
    </row>
    <row r="1678" spans="1:16" ht="15" hidden="1" customHeight="1" x14ac:dyDescent="0.25">
      <c r="A1678" s="168"/>
      <c r="B1678" s="167"/>
      <c r="C1678" s="168"/>
      <c r="D1678" s="167"/>
      <c r="E1678" s="167"/>
      <c r="F1678" s="167"/>
      <c r="G1678" s="167"/>
      <c r="H1678" s="167"/>
      <c r="I1678" s="164">
        <f t="shared" ca="1" si="26"/>
        <v>44939</v>
      </c>
      <c r="J1678" s="163">
        <v>0.33333333333333331</v>
      </c>
      <c r="K1678" s="162" t="s">
        <v>749</v>
      </c>
      <c r="L1678" s="166"/>
      <c r="M1678" s="166"/>
      <c r="N1678" s="164"/>
      <c r="O1678" s="166"/>
      <c r="P1678" s="165"/>
    </row>
    <row r="1679" spans="1:16" ht="15" hidden="1" customHeight="1" x14ac:dyDescent="0.25">
      <c r="A1679" s="168"/>
      <c r="B1679" s="167"/>
      <c r="C1679" s="168"/>
      <c r="D1679" s="167"/>
      <c r="E1679" s="167"/>
      <c r="F1679" s="167"/>
      <c r="G1679" s="167"/>
      <c r="H1679" s="167"/>
      <c r="I1679" s="164">
        <f t="shared" ca="1" si="26"/>
        <v>44939</v>
      </c>
      <c r="J1679" s="163">
        <v>0.33333333333333331</v>
      </c>
      <c r="K1679" s="162" t="s">
        <v>749</v>
      </c>
      <c r="L1679" s="166"/>
      <c r="M1679" s="166"/>
      <c r="N1679" s="164"/>
      <c r="O1679" s="166"/>
      <c r="P1679" s="165"/>
    </row>
    <row r="1680" spans="1:16" ht="15" hidden="1" customHeight="1" x14ac:dyDescent="0.25">
      <c r="A1680" s="168"/>
      <c r="B1680" s="167"/>
      <c r="C1680" s="168"/>
      <c r="D1680" s="167"/>
      <c r="E1680" s="167"/>
      <c r="F1680" s="167"/>
      <c r="G1680" s="167"/>
      <c r="H1680" s="167"/>
      <c r="I1680" s="164">
        <f t="shared" ca="1" si="26"/>
        <v>44939</v>
      </c>
      <c r="J1680" s="163">
        <v>0.33333333333333331</v>
      </c>
      <c r="K1680" s="162" t="s">
        <v>749</v>
      </c>
      <c r="L1680" s="166"/>
      <c r="M1680" s="166"/>
      <c r="N1680" s="164"/>
      <c r="O1680" s="166"/>
      <c r="P1680" s="165"/>
    </row>
    <row r="1681" spans="1:16" ht="15" hidden="1" customHeight="1" x14ac:dyDescent="0.25">
      <c r="A1681" s="168"/>
      <c r="B1681" s="167"/>
      <c r="C1681" s="168"/>
      <c r="D1681" s="167"/>
      <c r="E1681" s="167"/>
      <c r="F1681" s="167"/>
      <c r="G1681" s="167"/>
      <c r="H1681" s="167"/>
      <c r="I1681" s="164">
        <f t="shared" ca="1" si="26"/>
        <v>44939</v>
      </c>
      <c r="J1681" s="163">
        <v>0.33333333333333331</v>
      </c>
      <c r="K1681" s="162" t="s">
        <v>749</v>
      </c>
      <c r="L1681" s="166"/>
      <c r="M1681" s="166"/>
      <c r="N1681" s="164"/>
      <c r="O1681" s="166"/>
      <c r="P1681" s="165"/>
    </row>
    <row r="1682" spans="1:16" ht="15" hidden="1" customHeight="1" x14ac:dyDescent="0.25">
      <c r="A1682" s="168"/>
      <c r="B1682" s="167"/>
      <c r="C1682" s="168"/>
      <c r="D1682" s="167"/>
      <c r="E1682" s="167"/>
      <c r="F1682" s="167"/>
      <c r="G1682" s="167"/>
      <c r="H1682" s="167"/>
      <c r="I1682" s="164">
        <f t="shared" ca="1" si="26"/>
        <v>44939</v>
      </c>
      <c r="J1682" s="163">
        <v>0.33333333333333331</v>
      </c>
      <c r="K1682" s="162" t="s">
        <v>749</v>
      </c>
      <c r="L1682" s="166"/>
      <c r="M1682" s="166"/>
      <c r="N1682" s="164"/>
      <c r="O1682" s="166"/>
      <c r="P1682" s="165"/>
    </row>
    <row r="1683" spans="1:16" ht="15" hidden="1" customHeight="1" x14ac:dyDescent="0.25">
      <c r="A1683" s="168"/>
      <c r="B1683" s="167"/>
      <c r="C1683" s="168"/>
      <c r="D1683" s="167"/>
      <c r="E1683" s="167"/>
      <c r="F1683" s="167"/>
      <c r="G1683" s="167"/>
      <c r="H1683" s="167"/>
      <c r="I1683" s="164">
        <f t="shared" ca="1" si="26"/>
        <v>44939</v>
      </c>
      <c r="J1683" s="163">
        <v>0.33333333333333331</v>
      </c>
      <c r="K1683" s="162" t="s">
        <v>749</v>
      </c>
      <c r="L1683" s="166"/>
      <c r="M1683" s="166"/>
      <c r="N1683" s="164"/>
      <c r="O1683" s="166"/>
      <c r="P1683" s="165"/>
    </row>
    <row r="1684" spans="1:16" ht="15" hidden="1" customHeight="1" x14ac:dyDescent="0.25">
      <c r="A1684" s="168"/>
      <c r="B1684" s="167"/>
      <c r="C1684" s="168"/>
      <c r="D1684" s="167"/>
      <c r="E1684" s="167"/>
      <c r="F1684" s="167"/>
      <c r="G1684" s="167"/>
      <c r="H1684" s="167"/>
      <c r="I1684" s="164">
        <f t="shared" ca="1" si="26"/>
        <v>44939</v>
      </c>
      <c r="J1684" s="163">
        <v>0.33333333333333331</v>
      </c>
      <c r="K1684" s="162" t="s">
        <v>749</v>
      </c>
      <c r="L1684" s="166"/>
      <c r="M1684" s="166"/>
      <c r="N1684" s="164"/>
      <c r="O1684" s="166"/>
      <c r="P1684" s="165"/>
    </row>
    <row r="1685" spans="1:16" ht="15" hidden="1" customHeight="1" x14ac:dyDescent="0.25">
      <c r="A1685" s="168"/>
      <c r="B1685" s="167"/>
      <c r="C1685" s="168"/>
      <c r="D1685" s="167"/>
      <c r="E1685" s="167"/>
      <c r="F1685" s="167"/>
      <c r="G1685" s="167"/>
      <c r="H1685" s="167"/>
      <c r="I1685" s="164">
        <f t="shared" ca="1" si="26"/>
        <v>44939</v>
      </c>
      <c r="J1685" s="163">
        <v>0.33333333333333331</v>
      </c>
      <c r="K1685" s="162" t="s">
        <v>749</v>
      </c>
      <c r="L1685" s="166"/>
      <c r="M1685" s="166"/>
      <c r="N1685" s="164"/>
      <c r="O1685" s="166"/>
      <c r="P1685" s="165"/>
    </row>
    <row r="1686" spans="1:16" ht="15" hidden="1" customHeight="1" x14ac:dyDescent="0.25">
      <c r="A1686" s="168"/>
      <c r="B1686" s="167"/>
      <c r="C1686" s="168"/>
      <c r="D1686" s="167"/>
      <c r="E1686" s="167"/>
      <c r="F1686" s="167"/>
      <c r="G1686" s="167"/>
      <c r="H1686" s="167"/>
      <c r="I1686" s="164">
        <f t="shared" ca="1" si="26"/>
        <v>44939</v>
      </c>
      <c r="J1686" s="163">
        <v>0.33333333333333331</v>
      </c>
      <c r="K1686" s="162" t="s">
        <v>749</v>
      </c>
      <c r="L1686" s="166"/>
      <c r="M1686" s="166"/>
      <c r="N1686" s="164"/>
      <c r="O1686" s="166"/>
      <c r="P1686" s="165"/>
    </row>
    <row r="1687" spans="1:16" ht="15" hidden="1" customHeight="1" x14ac:dyDescent="0.25">
      <c r="A1687" s="168"/>
      <c r="B1687" s="167"/>
      <c r="C1687" s="168"/>
      <c r="D1687" s="167"/>
      <c r="E1687" s="167"/>
      <c r="F1687" s="167"/>
      <c r="G1687" s="167"/>
      <c r="H1687" s="167"/>
      <c r="I1687" s="164">
        <f t="shared" ca="1" si="26"/>
        <v>44939</v>
      </c>
      <c r="J1687" s="163">
        <v>0.33333333333333331</v>
      </c>
      <c r="K1687" s="162" t="s">
        <v>749</v>
      </c>
      <c r="L1687" s="166"/>
      <c r="M1687" s="166"/>
      <c r="N1687" s="164"/>
      <c r="O1687" s="166"/>
      <c r="P1687" s="165"/>
    </row>
    <row r="1688" spans="1:16" ht="15" hidden="1" customHeight="1" x14ac:dyDescent="0.25">
      <c r="A1688" s="168"/>
      <c r="B1688" s="167"/>
      <c r="C1688" s="168"/>
      <c r="D1688" s="167"/>
      <c r="E1688" s="167"/>
      <c r="F1688" s="167"/>
      <c r="G1688" s="167"/>
      <c r="H1688" s="167"/>
      <c r="I1688" s="164">
        <f t="shared" ref="I1688:I1751" ca="1" si="27">TODAY()</f>
        <v>44939</v>
      </c>
      <c r="J1688" s="163">
        <v>0.33333333333333331</v>
      </c>
      <c r="K1688" s="162" t="s">
        <v>749</v>
      </c>
      <c r="L1688" s="166"/>
      <c r="M1688" s="166"/>
      <c r="N1688" s="164"/>
      <c r="O1688" s="166"/>
      <c r="P1688" s="165"/>
    </row>
    <row r="1689" spans="1:16" ht="15" hidden="1" customHeight="1" x14ac:dyDescent="0.25">
      <c r="A1689" s="168"/>
      <c r="B1689" s="167"/>
      <c r="C1689" s="168"/>
      <c r="D1689" s="167"/>
      <c r="E1689" s="167"/>
      <c r="F1689" s="167"/>
      <c r="G1689" s="167"/>
      <c r="H1689" s="167"/>
      <c r="I1689" s="164">
        <f t="shared" ca="1" si="27"/>
        <v>44939</v>
      </c>
      <c r="J1689" s="163">
        <v>0.33333333333333331</v>
      </c>
      <c r="K1689" s="162" t="s">
        <v>749</v>
      </c>
      <c r="L1689" s="166"/>
      <c r="M1689" s="166"/>
      <c r="N1689" s="164"/>
      <c r="O1689" s="166"/>
      <c r="P1689" s="165"/>
    </row>
    <row r="1690" spans="1:16" ht="15" hidden="1" customHeight="1" x14ac:dyDescent="0.25">
      <c r="A1690" s="168"/>
      <c r="B1690" s="167"/>
      <c r="C1690" s="168"/>
      <c r="D1690" s="167"/>
      <c r="E1690" s="167"/>
      <c r="F1690" s="167"/>
      <c r="G1690" s="167"/>
      <c r="H1690" s="167"/>
      <c r="I1690" s="164">
        <f t="shared" ca="1" si="27"/>
        <v>44939</v>
      </c>
      <c r="J1690" s="163">
        <v>0.33333333333333331</v>
      </c>
      <c r="K1690" s="162" t="s">
        <v>749</v>
      </c>
      <c r="L1690" s="166"/>
      <c r="M1690" s="166"/>
      <c r="N1690" s="164"/>
      <c r="O1690" s="166"/>
      <c r="P1690" s="165"/>
    </row>
    <row r="1691" spans="1:16" ht="15" hidden="1" customHeight="1" x14ac:dyDescent="0.25">
      <c r="A1691" s="168"/>
      <c r="B1691" s="167"/>
      <c r="C1691" s="168"/>
      <c r="D1691" s="167"/>
      <c r="E1691" s="167"/>
      <c r="F1691" s="167"/>
      <c r="G1691" s="167"/>
      <c r="H1691" s="167"/>
      <c r="I1691" s="164">
        <f t="shared" ca="1" si="27"/>
        <v>44939</v>
      </c>
      <c r="J1691" s="163">
        <v>0.33333333333333331</v>
      </c>
      <c r="K1691" s="162" t="s">
        <v>749</v>
      </c>
      <c r="L1691" s="166"/>
      <c r="M1691" s="166"/>
      <c r="N1691" s="164"/>
      <c r="O1691" s="166"/>
      <c r="P1691" s="165"/>
    </row>
    <row r="1692" spans="1:16" ht="15" hidden="1" customHeight="1" x14ac:dyDescent="0.25">
      <c r="A1692" s="168"/>
      <c r="B1692" s="167"/>
      <c r="C1692" s="168"/>
      <c r="D1692" s="167"/>
      <c r="E1692" s="167"/>
      <c r="F1692" s="167"/>
      <c r="G1692" s="167"/>
      <c r="H1692" s="167"/>
      <c r="I1692" s="164">
        <f t="shared" ca="1" si="27"/>
        <v>44939</v>
      </c>
      <c r="J1692" s="163">
        <v>0.33333333333333331</v>
      </c>
      <c r="K1692" s="162" t="s">
        <v>749</v>
      </c>
      <c r="L1692" s="166"/>
      <c r="M1692" s="166"/>
      <c r="N1692" s="164"/>
      <c r="O1692" s="166"/>
      <c r="P1692" s="165"/>
    </row>
    <row r="1693" spans="1:16" ht="15" hidden="1" customHeight="1" x14ac:dyDescent="0.25">
      <c r="A1693" s="168"/>
      <c r="B1693" s="167"/>
      <c r="C1693" s="168"/>
      <c r="D1693" s="167"/>
      <c r="E1693" s="167"/>
      <c r="F1693" s="167"/>
      <c r="G1693" s="167"/>
      <c r="H1693" s="167"/>
      <c r="I1693" s="164">
        <f t="shared" ca="1" si="27"/>
        <v>44939</v>
      </c>
      <c r="J1693" s="163">
        <v>0.33333333333333331</v>
      </c>
      <c r="K1693" s="162" t="s">
        <v>749</v>
      </c>
      <c r="L1693" s="166"/>
      <c r="M1693" s="166"/>
      <c r="N1693" s="164"/>
      <c r="O1693" s="166"/>
      <c r="P1693" s="165"/>
    </row>
    <row r="1694" spans="1:16" ht="15" hidden="1" customHeight="1" x14ac:dyDescent="0.25">
      <c r="A1694" s="168"/>
      <c r="B1694" s="167"/>
      <c r="C1694" s="168"/>
      <c r="D1694" s="167"/>
      <c r="E1694" s="167"/>
      <c r="F1694" s="167"/>
      <c r="G1694" s="167"/>
      <c r="H1694" s="167"/>
      <c r="I1694" s="164">
        <f t="shared" ca="1" si="27"/>
        <v>44939</v>
      </c>
      <c r="J1694" s="163">
        <v>0.33333333333333331</v>
      </c>
      <c r="K1694" s="162" t="s">
        <v>749</v>
      </c>
      <c r="L1694" s="166"/>
      <c r="M1694" s="166"/>
      <c r="N1694" s="164"/>
      <c r="O1694" s="166"/>
      <c r="P1694" s="165"/>
    </row>
    <row r="1695" spans="1:16" ht="15" hidden="1" customHeight="1" x14ac:dyDescent="0.25">
      <c r="A1695" s="168"/>
      <c r="B1695" s="167"/>
      <c r="C1695" s="168"/>
      <c r="D1695" s="167"/>
      <c r="E1695" s="167"/>
      <c r="F1695" s="167"/>
      <c r="G1695" s="167"/>
      <c r="H1695" s="167"/>
      <c r="I1695" s="164">
        <f t="shared" ca="1" si="27"/>
        <v>44939</v>
      </c>
      <c r="J1695" s="163">
        <v>0.33333333333333331</v>
      </c>
      <c r="K1695" s="162" t="s">
        <v>749</v>
      </c>
      <c r="L1695" s="166"/>
      <c r="M1695" s="166"/>
      <c r="N1695" s="164"/>
      <c r="O1695" s="166"/>
      <c r="P1695" s="165"/>
    </row>
    <row r="1696" spans="1:16" ht="15" hidden="1" customHeight="1" x14ac:dyDescent="0.25">
      <c r="A1696" s="168"/>
      <c r="B1696" s="167"/>
      <c r="C1696" s="168"/>
      <c r="D1696" s="167"/>
      <c r="E1696" s="167"/>
      <c r="F1696" s="167"/>
      <c r="G1696" s="167"/>
      <c r="H1696" s="167"/>
      <c r="I1696" s="164">
        <f t="shared" ca="1" si="27"/>
        <v>44939</v>
      </c>
      <c r="J1696" s="163">
        <v>0.33333333333333331</v>
      </c>
      <c r="K1696" s="162" t="s">
        <v>749</v>
      </c>
      <c r="L1696" s="166"/>
      <c r="M1696" s="166"/>
      <c r="N1696" s="164"/>
      <c r="O1696" s="166"/>
      <c r="P1696" s="165"/>
    </row>
    <row r="1697" spans="1:16" ht="15" hidden="1" customHeight="1" x14ac:dyDescent="0.25">
      <c r="A1697" s="168"/>
      <c r="B1697" s="167"/>
      <c r="C1697" s="168"/>
      <c r="D1697" s="167"/>
      <c r="E1697" s="167"/>
      <c r="F1697" s="167"/>
      <c r="G1697" s="167"/>
      <c r="H1697" s="167"/>
      <c r="I1697" s="164">
        <f t="shared" ca="1" si="27"/>
        <v>44939</v>
      </c>
      <c r="J1697" s="163">
        <v>0.33333333333333331</v>
      </c>
      <c r="K1697" s="162" t="s">
        <v>749</v>
      </c>
      <c r="L1697" s="166"/>
      <c r="M1697" s="166"/>
      <c r="N1697" s="164"/>
      <c r="O1697" s="166"/>
      <c r="P1697" s="165"/>
    </row>
    <row r="1698" spans="1:16" ht="15" hidden="1" customHeight="1" x14ac:dyDescent="0.25">
      <c r="A1698" s="168"/>
      <c r="B1698" s="167"/>
      <c r="C1698" s="168"/>
      <c r="D1698" s="167"/>
      <c r="E1698" s="167"/>
      <c r="F1698" s="167"/>
      <c r="G1698" s="167"/>
      <c r="H1698" s="167"/>
      <c r="I1698" s="164">
        <f t="shared" ca="1" si="27"/>
        <v>44939</v>
      </c>
      <c r="J1698" s="163">
        <v>0.33333333333333331</v>
      </c>
      <c r="K1698" s="162" t="s">
        <v>749</v>
      </c>
      <c r="L1698" s="166"/>
      <c r="M1698" s="166"/>
      <c r="N1698" s="164"/>
      <c r="O1698" s="166"/>
      <c r="P1698" s="165"/>
    </row>
    <row r="1699" spans="1:16" ht="15" hidden="1" customHeight="1" x14ac:dyDescent="0.25">
      <c r="A1699" s="168"/>
      <c r="B1699" s="167"/>
      <c r="C1699" s="168"/>
      <c r="D1699" s="167"/>
      <c r="E1699" s="167"/>
      <c r="F1699" s="167"/>
      <c r="G1699" s="167"/>
      <c r="H1699" s="167"/>
      <c r="I1699" s="164">
        <f t="shared" ca="1" si="27"/>
        <v>44939</v>
      </c>
      <c r="J1699" s="163">
        <v>0.33333333333333331</v>
      </c>
      <c r="K1699" s="162" t="s">
        <v>749</v>
      </c>
      <c r="L1699" s="166"/>
      <c r="M1699" s="166"/>
      <c r="N1699" s="164"/>
      <c r="O1699" s="166"/>
      <c r="P1699" s="165"/>
    </row>
    <row r="1700" spans="1:16" ht="15" hidden="1" customHeight="1" x14ac:dyDescent="0.25">
      <c r="A1700" s="168"/>
      <c r="B1700" s="167"/>
      <c r="C1700" s="168"/>
      <c r="D1700" s="167"/>
      <c r="E1700" s="167"/>
      <c r="F1700" s="167"/>
      <c r="G1700" s="167"/>
      <c r="H1700" s="167"/>
      <c r="I1700" s="164">
        <f t="shared" ca="1" si="27"/>
        <v>44939</v>
      </c>
      <c r="J1700" s="163">
        <v>0.33333333333333331</v>
      </c>
      <c r="K1700" s="162" t="s">
        <v>749</v>
      </c>
      <c r="L1700" s="166"/>
      <c r="M1700" s="166"/>
      <c r="N1700" s="164"/>
      <c r="O1700" s="166"/>
      <c r="P1700" s="165"/>
    </row>
    <row r="1701" spans="1:16" ht="15" hidden="1" customHeight="1" x14ac:dyDescent="0.25">
      <c r="A1701" s="168"/>
      <c r="B1701" s="167"/>
      <c r="C1701" s="168"/>
      <c r="D1701" s="167"/>
      <c r="E1701" s="167"/>
      <c r="F1701" s="167"/>
      <c r="G1701" s="167"/>
      <c r="H1701" s="167"/>
      <c r="I1701" s="164">
        <f t="shared" ca="1" si="27"/>
        <v>44939</v>
      </c>
      <c r="J1701" s="163">
        <v>0.33333333333333331</v>
      </c>
      <c r="K1701" s="162" t="s">
        <v>749</v>
      </c>
      <c r="L1701" s="166"/>
      <c r="M1701" s="166"/>
      <c r="N1701" s="164"/>
      <c r="O1701" s="166"/>
      <c r="P1701" s="165"/>
    </row>
    <row r="1702" spans="1:16" ht="15" hidden="1" customHeight="1" x14ac:dyDescent="0.25">
      <c r="A1702" s="168"/>
      <c r="B1702" s="167"/>
      <c r="C1702" s="168"/>
      <c r="D1702" s="167"/>
      <c r="E1702" s="167"/>
      <c r="F1702" s="167"/>
      <c r="G1702" s="167"/>
      <c r="H1702" s="167"/>
      <c r="I1702" s="164">
        <f t="shared" ca="1" si="27"/>
        <v>44939</v>
      </c>
      <c r="J1702" s="163">
        <v>0.33333333333333331</v>
      </c>
      <c r="K1702" s="162" t="s">
        <v>749</v>
      </c>
      <c r="L1702" s="166"/>
      <c r="M1702" s="166"/>
      <c r="N1702" s="164"/>
      <c r="O1702" s="166"/>
      <c r="P1702" s="165"/>
    </row>
    <row r="1703" spans="1:16" ht="15" hidden="1" customHeight="1" x14ac:dyDescent="0.25">
      <c r="A1703" s="168"/>
      <c r="B1703" s="167"/>
      <c r="C1703" s="168"/>
      <c r="D1703" s="167"/>
      <c r="E1703" s="167"/>
      <c r="F1703" s="167"/>
      <c r="G1703" s="167"/>
      <c r="H1703" s="167"/>
      <c r="I1703" s="164">
        <f t="shared" ca="1" si="27"/>
        <v>44939</v>
      </c>
      <c r="J1703" s="163">
        <v>0.33333333333333331</v>
      </c>
      <c r="K1703" s="162" t="s">
        <v>749</v>
      </c>
      <c r="L1703" s="166"/>
      <c r="M1703" s="166"/>
      <c r="N1703" s="164"/>
      <c r="O1703" s="166"/>
      <c r="P1703" s="165"/>
    </row>
    <row r="1704" spans="1:16" ht="15" hidden="1" customHeight="1" x14ac:dyDescent="0.25">
      <c r="A1704" s="168"/>
      <c r="B1704" s="167"/>
      <c r="C1704" s="168"/>
      <c r="D1704" s="167"/>
      <c r="E1704" s="167"/>
      <c r="F1704" s="167"/>
      <c r="G1704" s="167"/>
      <c r="H1704" s="167"/>
      <c r="I1704" s="164">
        <f t="shared" ca="1" si="27"/>
        <v>44939</v>
      </c>
      <c r="J1704" s="163">
        <v>0.33333333333333331</v>
      </c>
      <c r="K1704" s="162" t="s">
        <v>749</v>
      </c>
      <c r="L1704" s="166"/>
      <c r="M1704" s="166"/>
      <c r="N1704" s="164"/>
      <c r="O1704" s="166"/>
      <c r="P1704" s="165"/>
    </row>
    <row r="1705" spans="1:16" ht="15" hidden="1" customHeight="1" x14ac:dyDescent="0.25">
      <c r="A1705" s="168"/>
      <c r="B1705" s="167"/>
      <c r="C1705" s="168"/>
      <c r="D1705" s="167"/>
      <c r="E1705" s="167"/>
      <c r="F1705" s="167"/>
      <c r="G1705" s="167"/>
      <c r="H1705" s="167"/>
      <c r="I1705" s="164">
        <f t="shared" ca="1" si="27"/>
        <v>44939</v>
      </c>
      <c r="J1705" s="163">
        <v>0.33333333333333331</v>
      </c>
      <c r="K1705" s="162" t="s">
        <v>749</v>
      </c>
      <c r="L1705" s="166"/>
      <c r="M1705" s="166"/>
      <c r="N1705" s="164"/>
      <c r="O1705" s="166"/>
      <c r="P1705" s="165"/>
    </row>
    <row r="1706" spans="1:16" ht="15" hidden="1" customHeight="1" x14ac:dyDescent="0.25">
      <c r="A1706" s="168"/>
      <c r="B1706" s="167"/>
      <c r="C1706" s="168"/>
      <c r="D1706" s="167"/>
      <c r="E1706" s="167"/>
      <c r="F1706" s="167"/>
      <c r="G1706" s="167"/>
      <c r="H1706" s="167"/>
      <c r="I1706" s="164">
        <f t="shared" ca="1" si="27"/>
        <v>44939</v>
      </c>
      <c r="J1706" s="163">
        <v>0.33333333333333331</v>
      </c>
      <c r="K1706" s="162" t="s">
        <v>749</v>
      </c>
      <c r="L1706" s="166"/>
      <c r="M1706" s="166"/>
      <c r="N1706" s="164"/>
      <c r="O1706" s="166"/>
      <c r="P1706" s="165"/>
    </row>
    <row r="1707" spans="1:16" ht="15" hidden="1" customHeight="1" x14ac:dyDescent="0.25">
      <c r="A1707" s="168"/>
      <c r="B1707" s="167"/>
      <c r="C1707" s="168"/>
      <c r="D1707" s="167"/>
      <c r="E1707" s="167"/>
      <c r="F1707" s="167"/>
      <c r="G1707" s="167"/>
      <c r="H1707" s="167"/>
      <c r="I1707" s="164">
        <f t="shared" ca="1" si="27"/>
        <v>44939</v>
      </c>
      <c r="J1707" s="163">
        <v>0.33333333333333331</v>
      </c>
      <c r="K1707" s="162" t="s">
        <v>749</v>
      </c>
      <c r="L1707" s="166"/>
      <c r="M1707" s="166"/>
      <c r="N1707" s="164"/>
      <c r="O1707" s="166"/>
      <c r="P1707" s="165"/>
    </row>
    <row r="1708" spans="1:16" ht="15" hidden="1" customHeight="1" x14ac:dyDescent="0.25">
      <c r="A1708" s="168"/>
      <c r="B1708" s="167"/>
      <c r="C1708" s="168"/>
      <c r="D1708" s="167"/>
      <c r="E1708" s="167"/>
      <c r="F1708" s="167"/>
      <c r="G1708" s="167"/>
      <c r="H1708" s="167"/>
      <c r="I1708" s="164">
        <f t="shared" ca="1" si="27"/>
        <v>44939</v>
      </c>
      <c r="J1708" s="163">
        <v>0.33333333333333331</v>
      </c>
      <c r="K1708" s="162" t="s">
        <v>749</v>
      </c>
      <c r="L1708" s="166"/>
      <c r="M1708" s="166"/>
      <c r="N1708" s="164"/>
      <c r="O1708" s="166"/>
      <c r="P1708" s="165"/>
    </row>
    <row r="1709" spans="1:16" ht="15" hidden="1" customHeight="1" x14ac:dyDescent="0.25">
      <c r="A1709" s="168"/>
      <c r="B1709" s="167"/>
      <c r="C1709" s="168"/>
      <c r="D1709" s="167"/>
      <c r="E1709" s="167"/>
      <c r="F1709" s="167"/>
      <c r="G1709" s="167"/>
      <c r="H1709" s="167"/>
      <c r="I1709" s="164">
        <f t="shared" ca="1" si="27"/>
        <v>44939</v>
      </c>
      <c r="J1709" s="163">
        <v>0.33333333333333331</v>
      </c>
      <c r="K1709" s="162" t="s">
        <v>749</v>
      </c>
      <c r="L1709" s="166"/>
      <c r="M1709" s="166"/>
      <c r="N1709" s="164"/>
      <c r="O1709" s="166"/>
      <c r="P1709" s="165"/>
    </row>
    <row r="1710" spans="1:16" ht="15" hidden="1" customHeight="1" x14ac:dyDescent="0.25">
      <c r="A1710" s="168"/>
      <c r="B1710" s="167"/>
      <c r="C1710" s="168"/>
      <c r="D1710" s="167"/>
      <c r="E1710" s="167"/>
      <c r="F1710" s="167"/>
      <c r="G1710" s="167"/>
      <c r="H1710" s="167"/>
      <c r="I1710" s="164">
        <f t="shared" ca="1" si="27"/>
        <v>44939</v>
      </c>
      <c r="J1710" s="163">
        <v>0.33333333333333331</v>
      </c>
      <c r="K1710" s="162" t="s">
        <v>749</v>
      </c>
      <c r="L1710" s="166"/>
      <c r="M1710" s="166"/>
      <c r="N1710" s="164"/>
      <c r="O1710" s="166"/>
      <c r="P1710" s="165"/>
    </row>
    <row r="1711" spans="1:16" ht="15" hidden="1" customHeight="1" x14ac:dyDescent="0.25">
      <c r="A1711" s="168"/>
      <c r="B1711" s="167"/>
      <c r="C1711" s="168"/>
      <c r="D1711" s="167"/>
      <c r="E1711" s="167"/>
      <c r="F1711" s="167"/>
      <c r="G1711" s="167"/>
      <c r="H1711" s="167"/>
      <c r="I1711" s="164">
        <f t="shared" ca="1" si="27"/>
        <v>44939</v>
      </c>
      <c r="J1711" s="163">
        <v>0.33333333333333331</v>
      </c>
      <c r="K1711" s="162" t="s">
        <v>749</v>
      </c>
      <c r="L1711" s="166"/>
      <c r="M1711" s="166"/>
      <c r="N1711" s="164"/>
      <c r="O1711" s="166"/>
      <c r="P1711" s="165"/>
    </row>
    <row r="1712" spans="1:16" ht="15" hidden="1" customHeight="1" x14ac:dyDescent="0.25">
      <c r="A1712" s="168"/>
      <c r="B1712" s="167"/>
      <c r="C1712" s="168"/>
      <c r="D1712" s="167"/>
      <c r="E1712" s="167"/>
      <c r="F1712" s="167"/>
      <c r="G1712" s="167"/>
      <c r="H1712" s="167"/>
      <c r="I1712" s="164">
        <f t="shared" ca="1" si="27"/>
        <v>44939</v>
      </c>
      <c r="J1712" s="163">
        <v>0.33333333333333331</v>
      </c>
      <c r="K1712" s="162" t="s">
        <v>749</v>
      </c>
      <c r="L1712" s="166"/>
      <c r="M1712" s="166"/>
      <c r="N1712" s="164"/>
      <c r="O1712" s="166"/>
      <c r="P1712" s="165"/>
    </row>
    <row r="1713" spans="1:16" ht="15" hidden="1" customHeight="1" x14ac:dyDescent="0.25">
      <c r="A1713" s="168"/>
      <c r="B1713" s="167"/>
      <c r="C1713" s="168"/>
      <c r="D1713" s="167"/>
      <c r="E1713" s="167"/>
      <c r="F1713" s="167"/>
      <c r="G1713" s="167"/>
      <c r="H1713" s="167"/>
      <c r="I1713" s="164">
        <f t="shared" ca="1" si="27"/>
        <v>44939</v>
      </c>
      <c r="J1713" s="163">
        <v>0.33333333333333331</v>
      </c>
      <c r="K1713" s="162" t="s">
        <v>749</v>
      </c>
      <c r="L1713" s="166"/>
      <c r="M1713" s="166"/>
      <c r="N1713" s="164"/>
      <c r="O1713" s="166"/>
      <c r="P1713" s="165"/>
    </row>
    <row r="1714" spans="1:16" ht="15" hidden="1" customHeight="1" x14ac:dyDescent="0.25">
      <c r="A1714" s="168"/>
      <c r="B1714" s="167"/>
      <c r="C1714" s="168"/>
      <c r="D1714" s="167"/>
      <c r="E1714" s="167"/>
      <c r="F1714" s="167"/>
      <c r="G1714" s="167"/>
      <c r="H1714" s="167"/>
      <c r="I1714" s="164">
        <f t="shared" ca="1" si="27"/>
        <v>44939</v>
      </c>
      <c r="J1714" s="163">
        <v>0.33333333333333331</v>
      </c>
      <c r="K1714" s="162" t="s">
        <v>749</v>
      </c>
      <c r="L1714" s="166"/>
      <c r="M1714" s="166"/>
      <c r="N1714" s="164"/>
      <c r="O1714" s="166"/>
      <c r="P1714" s="165"/>
    </row>
    <row r="1715" spans="1:16" ht="15" hidden="1" customHeight="1" x14ac:dyDescent="0.25">
      <c r="A1715" s="168"/>
      <c r="B1715" s="167"/>
      <c r="C1715" s="168"/>
      <c r="D1715" s="167"/>
      <c r="E1715" s="167"/>
      <c r="F1715" s="167"/>
      <c r="G1715" s="167"/>
      <c r="H1715" s="167"/>
      <c r="I1715" s="164">
        <f t="shared" ca="1" si="27"/>
        <v>44939</v>
      </c>
      <c r="J1715" s="163">
        <v>0.33333333333333331</v>
      </c>
      <c r="K1715" s="162" t="s">
        <v>749</v>
      </c>
      <c r="L1715" s="166"/>
      <c r="M1715" s="166"/>
      <c r="N1715" s="164"/>
      <c r="O1715" s="166"/>
      <c r="P1715" s="165"/>
    </row>
    <row r="1716" spans="1:16" ht="15" hidden="1" customHeight="1" x14ac:dyDescent="0.25">
      <c r="A1716" s="168"/>
      <c r="B1716" s="167"/>
      <c r="C1716" s="168"/>
      <c r="D1716" s="167"/>
      <c r="E1716" s="167"/>
      <c r="F1716" s="167"/>
      <c r="G1716" s="167"/>
      <c r="H1716" s="167"/>
      <c r="I1716" s="164">
        <f t="shared" ca="1" si="27"/>
        <v>44939</v>
      </c>
      <c r="J1716" s="163">
        <v>0.33333333333333331</v>
      </c>
      <c r="K1716" s="162" t="s">
        <v>749</v>
      </c>
      <c r="L1716" s="166"/>
      <c r="M1716" s="166"/>
      <c r="N1716" s="164"/>
      <c r="O1716" s="166"/>
      <c r="P1716" s="165"/>
    </row>
    <row r="1717" spans="1:16" ht="15" hidden="1" customHeight="1" x14ac:dyDescent="0.25">
      <c r="A1717" s="168"/>
      <c r="B1717" s="167"/>
      <c r="C1717" s="168"/>
      <c r="D1717" s="167"/>
      <c r="E1717" s="167"/>
      <c r="F1717" s="167"/>
      <c r="G1717" s="167"/>
      <c r="H1717" s="167"/>
      <c r="I1717" s="164">
        <f t="shared" ca="1" si="27"/>
        <v>44939</v>
      </c>
      <c r="J1717" s="163">
        <v>0.33333333333333331</v>
      </c>
      <c r="K1717" s="162" t="s">
        <v>749</v>
      </c>
      <c r="L1717" s="166"/>
      <c r="M1717" s="166"/>
      <c r="N1717" s="164"/>
      <c r="O1717" s="166"/>
      <c r="P1717" s="165"/>
    </row>
    <row r="1718" spans="1:16" ht="15" hidden="1" customHeight="1" x14ac:dyDescent="0.25">
      <c r="A1718" s="168"/>
      <c r="B1718" s="167"/>
      <c r="C1718" s="168"/>
      <c r="D1718" s="167"/>
      <c r="E1718" s="167"/>
      <c r="F1718" s="167"/>
      <c r="G1718" s="167"/>
      <c r="H1718" s="167"/>
      <c r="I1718" s="164">
        <f t="shared" ca="1" si="27"/>
        <v>44939</v>
      </c>
      <c r="J1718" s="163">
        <v>0.33333333333333331</v>
      </c>
      <c r="K1718" s="162" t="s">
        <v>749</v>
      </c>
      <c r="L1718" s="166"/>
      <c r="M1718" s="166"/>
      <c r="N1718" s="164"/>
      <c r="O1718" s="166"/>
      <c r="P1718" s="165"/>
    </row>
    <row r="1719" spans="1:16" ht="15" hidden="1" customHeight="1" x14ac:dyDescent="0.25">
      <c r="A1719" s="168"/>
      <c r="B1719" s="167"/>
      <c r="C1719" s="168"/>
      <c r="D1719" s="167"/>
      <c r="E1719" s="167"/>
      <c r="F1719" s="167"/>
      <c r="G1719" s="167"/>
      <c r="H1719" s="167"/>
      <c r="I1719" s="164">
        <f t="shared" ca="1" si="27"/>
        <v>44939</v>
      </c>
      <c r="J1719" s="163">
        <v>0.33333333333333331</v>
      </c>
      <c r="K1719" s="162" t="s">
        <v>749</v>
      </c>
      <c r="L1719" s="166"/>
      <c r="M1719" s="166"/>
      <c r="N1719" s="164"/>
      <c r="O1719" s="166"/>
      <c r="P1719" s="165"/>
    </row>
    <row r="1720" spans="1:16" ht="15" hidden="1" customHeight="1" x14ac:dyDescent="0.25">
      <c r="A1720" s="168"/>
      <c r="B1720" s="167"/>
      <c r="C1720" s="168"/>
      <c r="D1720" s="167"/>
      <c r="E1720" s="167"/>
      <c r="F1720" s="167"/>
      <c r="G1720" s="167"/>
      <c r="H1720" s="167"/>
      <c r="I1720" s="164">
        <f t="shared" ca="1" si="27"/>
        <v>44939</v>
      </c>
      <c r="J1720" s="163">
        <v>0.33333333333333331</v>
      </c>
      <c r="K1720" s="162" t="s">
        <v>749</v>
      </c>
      <c r="L1720" s="166"/>
      <c r="M1720" s="166"/>
      <c r="N1720" s="164"/>
      <c r="O1720" s="166"/>
      <c r="P1720" s="165"/>
    </row>
    <row r="1721" spans="1:16" ht="15" hidden="1" customHeight="1" x14ac:dyDescent="0.25">
      <c r="A1721" s="168"/>
      <c r="B1721" s="167"/>
      <c r="C1721" s="168"/>
      <c r="D1721" s="167"/>
      <c r="E1721" s="167"/>
      <c r="F1721" s="167"/>
      <c r="G1721" s="167"/>
      <c r="H1721" s="167"/>
      <c r="I1721" s="164">
        <f t="shared" ca="1" si="27"/>
        <v>44939</v>
      </c>
      <c r="J1721" s="163">
        <v>0.33333333333333331</v>
      </c>
      <c r="K1721" s="162" t="s">
        <v>749</v>
      </c>
      <c r="L1721" s="166"/>
      <c r="M1721" s="166"/>
      <c r="N1721" s="164"/>
      <c r="O1721" s="166"/>
      <c r="P1721" s="165"/>
    </row>
    <row r="1722" spans="1:16" ht="15" hidden="1" customHeight="1" x14ac:dyDescent="0.25">
      <c r="A1722" s="168"/>
      <c r="B1722" s="167"/>
      <c r="C1722" s="168"/>
      <c r="D1722" s="167"/>
      <c r="E1722" s="167"/>
      <c r="F1722" s="167"/>
      <c r="G1722" s="167"/>
      <c r="H1722" s="167"/>
      <c r="I1722" s="164">
        <f t="shared" ca="1" si="27"/>
        <v>44939</v>
      </c>
      <c r="J1722" s="163">
        <v>0.33333333333333331</v>
      </c>
      <c r="K1722" s="162" t="s">
        <v>749</v>
      </c>
      <c r="L1722" s="166"/>
      <c r="M1722" s="166"/>
      <c r="N1722" s="164"/>
      <c r="O1722" s="166"/>
      <c r="P1722" s="165"/>
    </row>
    <row r="1723" spans="1:16" ht="15" hidden="1" customHeight="1" x14ac:dyDescent="0.25">
      <c r="A1723" s="168"/>
      <c r="B1723" s="167"/>
      <c r="C1723" s="168"/>
      <c r="D1723" s="167"/>
      <c r="E1723" s="167"/>
      <c r="F1723" s="167"/>
      <c r="G1723" s="167"/>
      <c r="H1723" s="167"/>
      <c r="I1723" s="164">
        <f t="shared" ca="1" si="27"/>
        <v>44939</v>
      </c>
      <c r="J1723" s="163">
        <v>0.33333333333333331</v>
      </c>
      <c r="K1723" s="162" t="s">
        <v>749</v>
      </c>
      <c r="L1723" s="166"/>
      <c r="M1723" s="166"/>
      <c r="N1723" s="164"/>
      <c r="O1723" s="166"/>
      <c r="P1723" s="165"/>
    </row>
    <row r="1724" spans="1:16" ht="15" hidden="1" customHeight="1" x14ac:dyDescent="0.25">
      <c r="A1724" s="168"/>
      <c r="B1724" s="167"/>
      <c r="C1724" s="168"/>
      <c r="D1724" s="167"/>
      <c r="E1724" s="167"/>
      <c r="F1724" s="167"/>
      <c r="G1724" s="167"/>
      <c r="H1724" s="167"/>
      <c r="I1724" s="164">
        <f t="shared" ca="1" si="27"/>
        <v>44939</v>
      </c>
      <c r="J1724" s="163">
        <v>0.33333333333333331</v>
      </c>
      <c r="K1724" s="162" t="s">
        <v>749</v>
      </c>
      <c r="L1724" s="166"/>
      <c r="M1724" s="166"/>
      <c r="N1724" s="164"/>
      <c r="O1724" s="166"/>
      <c r="P1724" s="165"/>
    </row>
    <row r="1725" spans="1:16" ht="15" hidden="1" customHeight="1" x14ac:dyDescent="0.25">
      <c r="A1725" s="168"/>
      <c r="B1725" s="167"/>
      <c r="C1725" s="168"/>
      <c r="D1725" s="167"/>
      <c r="E1725" s="167"/>
      <c r="F1725" s="167"/>
      <c r="G1725" s="167"/>
      <c r="H1725" s="167"/>
      <c r="I1725" s="164">
        <f t="shared" ca="1" si="27"/>
        <v>44939</v>
      </c>
      <c r="J1725" s="163">
        <v>0.33333333333333331</v>
      </c>
      <c r="K1725" s="162" t="s">
        <v>749</v>
      </c>
      <c r="L1725" s="166"/>
      <c r="M1725" s="166"/>
      <c r="N1725" s="164"/>
      <c r="O1725" s="166"/>
      <c r="P1725" s="165"/>
    </row>
    <row r="1726" spans="1:16" ht="15" hidden="1" customHeight="1" x14ac:dyDescent="0.25">
      <c r="A1726" s="168"/>
      <c r="B1726" s="167"/>
      <c r="C1726" s="168"/>
      <c r="D1726" s="167"/>
      <c r="E1726" s="167"/>
      <c r="F1726" s="167"/>
      <c r="G1726" s="167"/>
      <c r="H1726" s="167"/>
      <c r="I1726" s="164">
        <f t="shared" ca="1" si="27"/>
        <v>44939</v>
      </c>
      <c r="J1726" s="163">
        <v>0.33333333333333331</v>
      </c>
      <c r="K1726" s="162" t="s">
        <v>749</v>
      </c>
      <c r="L1726" s="166"/>
      <c r="M1726" s="166"/>
      <c r="N1726" s="164"/>
      <c r="O1726" s="166"/>
      <c r="P1726" s="165"/>
    </row>
    <row r="1727" spans="1:16" ht="15" hidden="1" customHeight="1" x14ac:dyDescent="0.25">
      <c r="A1727" s="168"/>
      <c r="B1727" s="167"/>
      <c r="C1727" s="168"/>
      <c r="D1727" s="167"/>
      <c r="E1727" s="167"/>
      <c r="F1727" s="167"/>
      <c r="G1727" s="167"/>
      <c r="H1727" s="167"/>
      <c r="I1727" s="164">
        <f t="shared" ca="1" si="27"/>
        <v>44939</v>
      </c>
      <c r="J1727" s="163">
        <v>0.33333333333333331</v>
      </c>
      <c r="K1727" s="162" t="s">
        <v>749</v>
      </c>
      <c r="L1727" s="166"/>
      <c r="M1727" s="166"/>
      <c r="N1727" s="164"/>
      <c r="O1727" s="166"/>
      <c r="P1727" s="165"/>
    </row>
    <row r="1728" spans="1:16" ht="15" hidden="1" customHeight="1" x14ac:dyDescent="0.25">
      <c r="A1728" s="168"/>
      <c r="B1728" s="167"/>
      <c r="C1728" s="168"/>
      <c r="D1728" s="167"/>
      <c r="E1728" s="167"/>
      <c r="F1728" s="167"/>
      <c r="G1728" s="167"/>
      <c r="H1728" s="167"/>
      <c r="I1728" s="164">
        <f t="shared" ca="1" si="27"/>
        <v>44939</v>
      </c>
      <c r="J1728" s="163">
        <v>0.33333333333333331</v>
      </c>
      <c r="K1728" s="162" t="s">
        <v>749</v>
      </c>
      <c r="L1728" s="166"/>
      <c r="M1728" s="166"/>
      <c r="N1728" s="164"/>
      <c r="O1728" s="166"/>
      <c r="P1728" s="165"/>
    </row>
    <row r="1729" spans="1:16" ht="15" hidden="1" customHeight="1" x14ac:dyDescent="0.25">
      <c r="A1729" s="168"/>
      <c r="B1729" s="167"/>
      <c r="C1729" s="168"/>
      <c r="D1729" s="167"/>
      <c r="E1729" s="167"/>
      <c r="F1729" s="167"/>
      <c r="G1729" s="167"/>
      <c r="H1729" s="167"/>
      <c r="I1729" s="164">
        <f t="shared" ca="1" si="27"/>
        <v>44939</v>
      </c>
      <c r="J1729" s="163">
        <v>0.33333333333333331</v>
      </c>
      <c r="K1729" s="162" t="s">
        <v>749</v>
      </c>
      <c r="L1729" s="166"/>
      <c r="M1729" s="166"/>
      <c r="N1729" s="164"/>
      <c r="O1729" s="166"/>
      <c r="P1729" s="165"/>
    </row>
    <row r="1730" spans="1:16" ht="15" hidden="1" customHeight="1" x14ac:dyDescent="0.25">
      <c r="A1730" s="168"/>
      <c r="B1730" s="167"/>
      <c r="C1730" s="168"/>
      <c r="D1730" s="167"/>
      <c r="E1730" s="167"/>
      <c r="F1730" s="167"/>
      <c r="G1730" s="167"/>
      <c r="H1730" s="167"/>
      <c r="I1730" s="164">
        <f t="shared" ca="1" si="27"/>
        <v>44939</v>
      </c>
      <c r="J1730" s="163">
        <v>0.33333333333333331</v>
      </c>
      <c r="K1730" s="162" t="s">
        <v>749</v>
      </c>
      <c r="L1730" s="166"/>
      <c r="M1730" s="166"/>
      <c r="N1730" s="164"/>
      <c r="O1730" s="166"/>
      <c r="P1730" s="165"/>
    </row>
    <row r="1731" spans="1:16" ht="15" hidden="1" customHeight="1" x14ac:dyDescent="0.25">
      <c r="A1731" s="168"/>
      <c r="B1731" s="167"/>
      <c r="C1731" s="168"/>
      <c r="D1731" s="167"/>
      <c r="E1731" s="167"/>
      <c r="F1731" s="167"/>
      <c r="G1731" s="167"/>
      <c r="H1731" s="167"/>
      <c r="I1731" s="164">
        <f t="shared" ca="1" si="27"/>
        <v>44939</v>
      </c>
      <c r="J1731" s="163">
        <v>0.33333333333333331</v>
      </c>
      <c r="K1731" s="162" t="s">
        <v>749</v>
      </c>
      <c r="L1731" s="166"/>
      <c r="M1731" s="166"/>
      <c r="N1731" s="164"/>
      <c r="O1731" s="166"/>
      <c r="P1731" s="165"/>
    </row>
    <row r="1732" spans="1:16" ht="15" hidden="1" customHeight="1" x14ac:dyDescent="0.25">
      <c r="A1732" s="168"/>
      <c r="B1732" s="167"/>
      <c r="C1732" s="168"/>
      <c r="D1732" s="167"/>
      <c r="E1732" s="167"/>
      <c r="F1732" s="167"/>
      <c r="G1732" s="167"/>
      <c r="H1732" s="167"/>
      <c r="I1732" s="164">
        <f t="shared" ca="1" si="27"/>
        <v>44939</v>
      </c>
      <c r="J1732" s="163">
        <v>0.33333333333333331</v>
      </c>
      <c r="K1732" s="162" t="s">
        <v>749</v>
      </c>
      <c r="L1732" s="166"/>
      <c r="M1732" s="166"/>
      <c r="N1732" s="164"/>
      <c r="O1732" s="166"/>
      <c r="P1732" s="165"/>
    </row>
    <row r="1733" spans="1:16" ht="15" hidden="1" customHeight="1" x14ac:dyDescent="0.25">
      <c r="A1733" s="168"/>
      <c r="B1733" s="167"/>
      <c r="C1733" s="168"/>
      <c r="D1733" s="167"/>
      <c r="E1733" s="167"/>
      <c r="F1733" s="167"/>
      <c r="G1733" s="167"/>
      <c r="H1733" s="167"/>
      <c r="I1733" s="164">
        <f t="shared" ca="1" si="27"/>
        <v>44939</v>
      </c>
      <c r="J1733" s="163">
        <v>0.33333333333333331</v>
      </c>
      <c r="K1733" s="162" t="s">
        <v>749</v>
      </c>
      <c r="L1733" s="166"/>
      <c r="M1733" s="166"/>
      <c r="N1733" s="164"/>
      <c r="O1733" s="166"/>
      <c r="P1733" s="165"/>
    </row>
    <row r="1734" spans="1:16" ht="15" hidden="1" customHeight="1" x14ac:dyDescent="0.25">
      <c r="A1734" s="168"/>
      <c r="B1734" s="167"/>
      <c r="C1734" s="168"/>
      <c r="D1734" s="167"/>
      <c r="E1734" s="167"/>
      <c r="F1734" s="167"/>
      <c r="G1734" s="167"/>
      <c r="H1734" s="167"/>
      <c r="I1734" s="164">
        <f t="shared" ca="1" si="27"/>
        <v>44939</v>
      </c>
      <c r="J1734" s="163">
        <v>0.33333333333333331</v>
      </c>
      <c r="K1734" s="162" t="s">
        <v>749</v>
      </c>
      <c r="L1734" s="166"/>
      <c r="M1734" s="166"/>
      <c r="N1734" s="164"/>
      <c r="O1734" s="166"/>
      <c r="P1734" s="165"/>
    </row>
    <row r="1735" spans="1:16" ht="15" hidden="1" customHeight="1" x14ac:dyDescent="0.25">
      <c r="A1735" s="168"/>
      <c r="B1735" s="167"/>
      <c r="C1735" s="168"/>
      <c r="D1735" s="167"/>
      <c r="E1735" s="167"/>
      <c r="F1735" s="167"/>
      <c r="G1735" s="167"/>
      <c r="H1735" s="167"/>
      <c r="I1735" s="164">
        <f t="shared" ca="1" si="27"/>
        <v>44939</v>
      </c>
      <c r="J1735" s="163">
        <v>0.33333333333333331</v>
      </c>
      <c r="K1735" s="162" t="s">
        <v>749</v>
      </c>
      <c r="L1735" s="166"/>
      <c r="M1735" s="166"/>
      <c r="N1735" s="164"/>
      <c r="O1735" s="166"/>
      <c r="P1735" s="165"/>
    </row>
    <row r="1736" spans="1:16" ht="15" hidden="1" customHeight="1" x14ac:dyDescent="0.25">
      <c r="A1736" s="168"/>
      <c r="B1736" s="167"/>
      <c r="C1736" s="168"/>
      <c r="D1736" s="167"/>
      <c r="E1736" s="167"/>
      <c r="F1736" s="167"/>
      <c r="G1736" s="167"/>
      <c r="H1736" s="167"/>
      <c r="I1736" s="164">
        <f t="shared" ca="1" si="27"/>
        <v>44939</v>
      </c>
      <c r="J1736" s="163">
        <v>0.33333333333333331</v>
      </c>
      <c r="K1736" s="162" t="s">
        <v>749</v>
      </c>
      <c r="L1736" s="166"/>
      <c r="M1736" s="166"/>
      <c r="N1736" s="164"/>
      <c r="O1736" s="166"/>
      <c r="P1736" s="165"/>
    </row>
    <row r="1737" spans="1:16" ht="15" hidden="1" customHeight="1" x14ac:dyDescent="0.25">
      <c r="A1737" s="168"/>
      <c r="B1737" s="167"/>
      <c r="C1737" s="168"/>
      <c r="D1737" s="167"/>
      <c r="E1737" s="167"/>
      <c r="F1737" s="167"/>
      <c r="G1737" s="167"/>
      <c r="H1737" s="167"/>
      <c r="I1737" s="164">
        <f t="shared" ca="1" si="27"/>
        <v>44939</v>
      </c>
      <c r="J1737" s="163">
        <v>0.33333333333333331</v>
      </c>
      <c r="K1737" s="162" t="s">
        <v>749</v>
      </c>
      <c r="L1737" s="166"/>
      <c r="M1737" s="166"/>
      <c r="N1737" s="164"/>
      <c r="O1737" s="166"/>
      <c r="P1737" s="165"/>
    </row>
    <row r="1738" spans="1:16" ht="15" hidden="1" customHeight="1" x14ac:dyDescent="0.25">
      <c r="A1738" s="168"/>
      <c r="B1738" s="167"/>
      <c r="C1738" s="168"/>
      <c r="D1738" s="167"/>
      <c r="E1738" s="167"/>
      <c r="F1738" s="167"/>
      <c r="G1738" s="167"/>
      <c r="H1738" s="167"/>
      <c r="I1738" s="164">
        <f t="shared" ca="1" si="27"/>
        <v>44939</v>
      </c>
      <c r="J1738" s="163">
        <v>0.33333333333333331</v>
      </c>
      <c r="K1738" s="162" t="s">
        <v>749</v>
      </c>
      <c r="L1738" s="166"/>
      <c r="M1738" s="166"/>
      <c r="N1738" s="164"/>
      <c r="O1738" s="166"/>
      <c r="P1738" s="165"/>
    </row>
    <row r="1739" spans="1:16" ht="15" hidden="1" customHeight="1" x14ac:dyDescent="0.25">
      <c r="A1739" s="168"/>
      <c r="B1739" s="167"/>
      <c r="C1739" s="168"/>
      <c r="D1739" s="167"/>
      <c r="E1739" s="167"/>
      <c r="F1739" s="167"/>
      <c r="G1739" s="167"/>
      <c r="H1739" s="167"/>
      <c r="I1739" s="164">
        <f t="shared" ca="1" si="27"/>
        <v>44939</v>
      </c>
      <c r="J1739" s="163">
        <v>0.33333333333333331</v>
      </c>
      <c r="K1739" s="162" t="s">
        <v>749</v>
      </c>
      <c r="L1739" s="166"/>
      <c r="M1739" s="166"/>
      <c r="N1739" s="164"/>
      <c r="O1739" s="166"/>
      <c r="P1739" s="165"/>
    </row>
    <row r="1740" spans="1:16" ht="15" hidden="1" customHeight="1" x14ac:dyDescent="0.25">
      <c r="A1740" s="168"/>
      <c r="B1740" s="167"/>
      <c r="C1740" s="168"/>
      <c r="D1740" s="167"/>
      <c r="E1740" s="167"/>
      <c r="F1740" s="167"/>
      <c r="G1740" s="167"/>
      <c r="H1740" s="167"/>
      <c r="I1740" s="164">
        <f t="shared" ca="1" si="27"/>
        <v>44939</v>
      </c>
      <c r="J1740" s="163">
        <v>0.33333333333333331</v>
      </c>
      <c r="K1740" s="162" t="s">
        <v>749</v>
      </c>
      <c r="L1740" s="166"/>
      <c r="M1740" s="166"/>
      <c r="N1740" s="164"/>
      <c r="O1740" s="166"/>
      <c r="P1740" s="165"/>
    </row>
    <row r="1741" spans="1:16" ht="15" hidden="1" customHeight="1" x14ac:dyDescent="0.25">
      <c r="A1741" s="168"/>
      <c r="B1741" s="167"/>
      <c r="C1741" s="168"/>
      <c r="D1741" s="167"/>
      <c r="E1741" s="167"/>
      <c r="F1741" s="167"/>
      <c r="G1741" s="167"/>
      <c r="H1741" s="167"/>
      <c r="I1741" s="164">
        <f t="shared" ca="1" si="27"/>
        <v>44939</v>
      </c>
      <c r="J1741" s="163">
        <v>0.33333333333333331</v>
      </c>
      <c r="K1741" s="162" t="s">
        <v>749</v>
      </c>
      <c r="L1741" s="166"/>
      <c r="M1741" s="166"/>
      <c r="N1741" s="164"/>
      <c r="O1741" s="166"/>
      <c r="P1741" s="165"/>
    </row>
    <row r="1742" spans="1:16" ht="15" hidden="1" customHeight="1" x14ac:dyDescent="0.25">
      <c r="A1742" s="168"/>
      <c r="B1742" s="167"/>
      <c r="C1742" s="168"/>
      <c r="D1742" s="167"/>
      <c r="E1742" s="167"/>
      <c r="F1742" s="167"/>
      <c r="G1742" s="167"/>
      <c r="H1742" s="167"/>
      <c r="I1742" s="164">
        <f t="shared" ca="1" si="27"/>
        <v>44939</v>
      </c>
      <c r="J1742" s="163">
        <v>0.33333333333333331</v>
      </c>
      <c r="K1742" s="162" t="s">
        <v>749</v>
      </c>
      <c r="L1742" s="166"/>
      <c r="M1742" s="166"/>
      <c r="N1742" s="164"/>
      <c r="O1742" s="166"/>
      <c r="P1742" s="165"/>
    </row>
    <row r="1743" spans="1:16" ht="15" hidden="1" customHeight="1" x14ac:dyDescent="0.25">
      <c r="A1743" s="168"/>
      <c r="B1743" s="167"/>
      <c r="C1743" s="168"/>
      <c r="D1743" s="167"/>
      <c r="E1743" s="167"/>
      <c r="F1743" s="167"/>
      <c r="G1743" s="167"/>
      <c r="H1743" s="167"/>
      <c r="I1743" s="164">
        <f t="shared" ca="1" si="27"/>
        <v>44939</v>
      </c>
      <c r="J1743" s="163">
        <v>0.33333333333333331</v>
      </c>
      <c r="K1743" s="162" t="s">
        <v>749</v>
      </c>
      <c r="L1743" s="166"/>
      <c r="M1743" s="166"/>
      <c r="N1743" s="164"/>
      <c r="O1743" s="166"/>
      <c r="P1743" s="165"/>
    </row>
    <row r="1744" spans="1:16" ht="15" hidden="1" customHeight="1" x14ac:dyDescent="0.25">
      <c r="A1744" s="168"/>
      <c r="B1744" s="167"/>
      <c r="C1744" s="168"/>
      <c r="D1744" s="167"/>
      <c r="E1744" s="167"/>
      <c r="F1744" s="167"/>
      <c r="G1744" s="167"/>
      <c r="H1744" s="167"/>
      <c r="I1744" s="164">
        <f t="shared" ca="1" si="27"/>
        <v>44939</v>
      </c>
      <c r="J1744" s="163">
        <v>0.33333333333333331</v>
      </c>
      <c r="K1744" s="162" t="s">
        <v>749</v>
      </c>
      <c r="L1744" s="166"/>
      <c r="M1744" s="166"/>
      <c r="N1744" s="164"/>
      <c r="O1744" s="166"/>
      <c r="P1744" s="165"/>
    </row>
    <row r="1745" spans="1:16" ht="15" hidden="1" customHeight="1" x14ac:dyDescent="0.25">
      <c r="A1745" s="168"/>
      <c r="B1745" s="167"/>
      <c r="C1745" s="168"/>
      <c r="D1745" s="167"/>
      <c r="E1745" s="167"/>
      <c r="F1745" s="167"/>
      <c r="G1745" s="167"/>
      <c r="H1745" s="167"/>
      <c r="I1745" s="164">
        <f t="shared" ca="1" si="27"/>
        <v>44939</v>
      </c>
      <c r="J1745" s="163">
        <v>0.33333333333333331</v>
      </c>
      <c r="K1745" s="162" t="s">
        <v>749</v>
      </c>
      <c r="L1745" s="166"/>
      <c r="M1745" s="166"/>
      <c r="N1745" s="164"/>
      <c r="O1745" s="166"/>
      <c r="P1745" s="165"/>
    </row>
    <row r="1746" spans="1:16" ht="15" hidden="1" customHeight="1" x14ac:dyDescent="0.25">
      <c r="A1746" s="168"/>
      <c r="B1746" s="167"/>
      <c r="C1746" s="168"/>
      <c r="D1746" s="167"/>
      <c r="E1746" s="167"/>
      <c r="F1746" s="167"/>
      <c r="G1746" s="167"/>
      <c r="H1746" s="167"/>
      <c r="I1746" s="164">
        <f t="shared" ca="1" si="27"/>
        <v>44939</v>
      </c>
      <c r="J1746" s="163">
        <v>0.33333333333333331</v>
      </c>
      <c r="K1746" s="162" t="s">
        <v>749</v>
      </c>
      <c r="L1746" s="166"/>
      <c r="M1746" s="166"/>
      <c r="N1746" s="164"/>
      <c r="O1746" s="166"/>
      <c r="P1746" s="165"/>
    </row>
    <row r="1747" spans="1:16" ht="15" hidden="1" customHeight="1" x14ac:dyDescent="0.25">
      <c r="A1747" s="168"/>
      <c r="B1747" s="167"/>
      <c r="C1747" s="168"/>
      <c r="D1747" s="167"/>
      <c r="E1747" s="167"/>
      <c r="F1747" s="167"/>
      <c r="G1747" s="167"/>
      <c r="H1747" s="167"/>
      <c r="I1747" s="164">
        <f t="shared" ca="1" si="27"/>
        <v>44939</v>
      </c>
      <c r="J1747" s="163">
        <v>0.33333333333333331</v>
      </c>
      <c r="K1747" s="162" t="s">
        <v>749</v>
      </c>
      <c r="L1747" s="166"/>
      <c r="M1747" s="166"/>
      <c r="N1747" s="164"/>
      <c r="O1747" s="166"/>
      <c r="P1747" s="165"/>
    </row>
    <row r="1748" spans="1:16" ht="15" hidden="1" customHeight="1" x14ac:dyDescent="0.25">
      <c r="A1748" s="168"/>
      <c r="B1748" s="167"/>
      <c r="C1748" s="168"/>
      <c r="D1748" s="167"/>
      <c r="E1748" s="167"/>
      <c r="F1748" s="167"/>
      <c r="G1748" s="167"/>
      <c r="H1748" s="167"/>
      <c r="I1748" s="164">
        <f t="shared" ca="1" si="27"/>
        <v>44939</v>
      </c>
      <c r="J1748" s="163">
        <v>0.33333333333333331</v>
      </c>
      <c r="K1748" s="162" t="s">
        <v>749</v>
      </c>
      <c r="L1748" s="166"/>
      <c r="M1748" s="166"/>
      <c r="N1748" s="164"/>
      <c r="O1748" s="166"/>
      <c r="P1748" s="165"/>
    </row>
    <row r="1749" spans="1:16" ht="15" hidden="1" customHeight="1" x14ac:dyDescent="0.25">
      <c r="A1749" s="168"/>
      <c r="B1749" s="167"/>
      <c r="C1749" s="168"/>
      <c r="D1749" s="167"/>
      <c r="E1749" s="167"/>
      <c r="F1749" s="167"/>
      <c r="G1749" s="167"/>
      <c r="H1749" s="167"/>
      <c r="I1749" s="164">
        <f t="shared" ca="1" si="27"/>
        <v>44939</v>
      </c>
      <c r="J1749" s="163">
        <v>0.33333333333333331</v>
      </c>
      <c r="K1749" s="162" t="s">
        <v>749</v>
      </c>
      <c r="L1749" s="166"/>
      <c r="M1749" s="166"/>
      <c r="N1749" s="164"/>
      <c r="O1749" s="166"/>
      <c r="P1749" s="165"/>
    </row>
    <row r="1750" spans="1:16" ht="15" hidden="1" customHeight="1" x14ac:dyDescent="0.25">
      <c r="A1750" s="168"/>
      <c r="B1750" s="167"/>
      <c r="C1750" s="168"/>
      <c r="D1750" s="167"/>
      <c r="E1750" s="167"/>
      <c r="F1750" s="167"/>
      <c r="G1750" s="167"/>
      <c r="H1750" s="167"/>
      <c r="I1750" s="164">
        <f t="shared" ca="1" si="27"/>
        <v>44939</v>
      </c>
      <c r="J1750" s="163">
        <v>0.33333333333333331</v>
      </c>
      <c r="K1750" s="162" t="s">
        <v>749</v>
      </c>
      <c r="L1750" s="166"/>
      <c r="M1750" s="166"/>
      <c r="N1750" s="164"/>
      <c r="O1750" s="166"/>
      <c r="P1750" s="165"/>
    </row>
    <row r="1751" spans="1:16" ht="15" hidden="1" customHeight="1" x14ac:dyDescent="0.25">
      <c r="A1751" s="168"/>
      <c r="B1751" s="167"/>
      <c r="C1751" s="168"/>
      <c r="D1751" s="167"/>
      <c r="E1751" s="167"/>
      <c r="F1751" s="167"/>
      <c r="G1751" s="167"/>
      <c r="H1751" s="167"/>
      <c r="I1751" s="164">
        <f t="shared" ca="1" si="27"/>
        <v>44939</v>
      </c>
      <c r="J1751" s="163">
        <v>0.33333333333333331</v>
      </c>
      <c r="K1751" s="162" t="s">
        <v>749</v>
      </c>
      <c r="L1751" s="166"/>
      <c r="M1751" s="166"/>
      <c r="N1751" s="164"/>
      <c r="O1751" s="166"/>
      <c r="P1751" s="165"/>
    </row>
    <row r="1752" spans="1:16" ht="15" hidden="1" customHeight="1" x14ac:dyDescent="0.25">
      <c r="A1752" s="168"/>
      <c r="B1752" s="167"/>
      <c r="C1752" s="168"/>
      <c r="D1752" s="167"/>
      <c r="E1752" s="167"/>
      <c r="F1752" s="167"/>
      <c r="G1752" s="167"/>
      <c r="H1752" s="167"/>
      <c r="I1752" s="164">
        <f t="shared" ref="I1752:I1815" ca="1" si="28">TODAY()</f>
        <v>44939</v>
      </c>
      <c r="J1752" s="163">
        <v>0.33333333333333331</v>
      </c>
      <c r="K1752" s="162" t="s">
        <v>749</v>
      </c>
      <c r="L1752" s="166"/>
      <c r="M1752" s="166"/>
      <c r="N1752" s="164"/>
      <c r="O1752" s="166"/>
      <c r="P1752" s="165"/>
    </row>
    <row r="1753" spans="1:16" ht="15" hidden="1" customHeight="1" x14ac:dyDescent="0.25">
      <c r="A1753" s="168"/>
      <c r="B1753" s="167"/>
      <c r="C1753" s="168"/>
      <c r="D1753" s="167"/>
      <c r="E1753" s="167"/>
      <c r="F1753" s="167"/>
      <c r="G1753" s="167"/>
      <c r="H1753" s="167"/>
      <c r="I1753" s="164">
        <f t="shared" ca="1" si="28"/>
        <v>44939</v>
      </c>
      <c r="J1753" s="163">
        <v>0.33333333333333331</v>
      </c>
      <c r="K1753" s="162" t="s">
        <v>749</v>
      </c>
      <c r="L1753" s="166"/>
      <c r="M1753" s="166"/>
      <c r="N1753" s="164"/>
      <c r="O1753" s="166"/>
      <c r="P1753" s="165"/>
    </row>
    <row r="1754" spans="1:16" ht="15" hidden="1" customHeight="1" x14ac:dyDescent="0.25">
      <c r="A1754" s="168"/>
      <c r="B1754" s="167"/>
      <c r="C1754" s="168"/>
      <c r="D1754" s="167"/>
      <c r="E1754" s="167"/>
      <c r="F1754" s="167"/>
      <c r="G1754" s="167"/>
      <c r="H1754" s="167"/>
      <c r="I1754" s="164">
        <f t="shared" ca="1" si="28"/>
        <v>44939</v>
      </c>
      <c r="J1754" s="163">
        <v>0.33333333333333331</v>
      </c>
      <c r="K1754" s="162" t="s">
        <v>749</v>
      </c>
      <c r="L1754" s="166"/>
      <c r="M1754" s="166"/>
      <c r="N1754" s="164"/>
      <c r="O1754" s="166"/>
      <c r="P1754" s="165"/>
    </row>
    <row r="1755" spans="1:16" ht="15" hidden="1" customHeight="1" x14ac:dyDescent="0.25">
      <c r="A1755" s="168"/>
      <c r="B1755" s="167"/>
      <c r="C1755" s="168"/>
      <c r="D1755" s="167"/>
      <c r="E1755" s="167"/>
      <c r="F1755" s="167"/>
      <c r="G1755" s="167"/>
      <c r="H1755" s="167"/>
      <c r="I1755" s="164">
        <f t="shared" ca="1" si="28"/>
        <v>44939</v>
      </c>
      <c r="J1755" s="163">
        <v>0.33333333333333331</v>
      </c>
      <c r="K1755" s="162" t="s">
        <v>749</v>
      </c>
      <c r="L1755" s="166"/>
      <c r="M1755" s="166"/>
      <c r="N1755" s="164"/>
      <c r="O1755" s="166"/>
      <c r="P1755" s="165"/>
    </row>
    <row r="1756" spans="1:16" ht="15" hidden="1" customHeight="1" x14ac:dyDescent="0.25">
      <c r="A1756" s="168"/>
      <c r="B1756" s="167"/>
      <c r="C1756" s="168"/>
      <c r="D1756" s="167"/>
      <c r="E1756" s="167"/>
      <c r="F1756" s="167"/>
      <c r="G1756" s="167"/>
      <c r="H1756" s="167"/>
      <c r="I1756" s="164">
        <f t="shared" ca="1" si="28"/>
        <v>44939</v>
      </c>
      <c r="J1756" s="163">
        <v>0.33333333333333331</v>
      </c>
      <c r="K1756" s="162" t="s">
        <v>749</v>
      </c>
      <c r="L1756" s="166"/>
      <c r="M1756" s="166"/>
      <c r="N1756" s="164"/>
      <c r="O1756" s="166"/>
      <c r="P1756" s="165"/>
    </row>
    <row r="1757" spans="1:16" ht="15" hidden="1" customHeight="1" x14ac:dyDescent="0.25">
      <c r="A1757" s="168"/>
      <c r="B1757" s="167"/>
      <c r="C1757" s="168"/>
      <c r="D1757" s="167"/>
      <c r="E1757" s="167"/>
      <c r="F1757" s="167"/>
      <c r="G1757" s="167"/>
      <c r="H1757" s="167"/>
      <c r="I1757" s="164">
        <f t="shared" ca="1" si="28"/>
        <v>44939</v>
      </c>
      <c r="J1757" s="163">
        <v>0.33333333333333331</v>
      </c>
      <c r="K1757" s="162" t="s">
        <v>749</v>
      </c>
      <c r="L1757" s="166"/>
      <c r="M1757" s="166"/>
      <c r="N1757" s="164"/>
      <c r="O1757" s="166"/>
      <c r="P1757" s="165"/>
    </row>
    <row r="1758" spans="1:16" ht="15" hidden="1" customHeight="1" x14ac:dyDescent="0.25">
      <c r="A1758" s="168"/>
      <c r="B1758" s="167"/>
      <c r="C1758" s="168"/>
      <c r="D1758" s="167"/>
      <c r="E1758" s="167"/>
      <c r="F1758" s="167"/>
      <c r="G1758" s="167"/>
      <c r="H1758" s="167"/>
      <c r="I1758" s="164">
        <f t="shared" ca="1" si="28"/>
        <v>44939</v>
      </c>
      <c r="J1758" s="163">
        <v>0.33333333333333331</v>
      </c>
      <c r="K1758" s="162" t="s">
        <v>749</v>
      </c>
      <c r="L1758" s="166"/>
      <c r="M1758" s="166"/>
      <c r="N1758" s="164"/>
      <c r="O1758" s="166"/>
      <c r="P1758" s="165"/>
    </row>
    <row r="1759" spans="1:16" ht="15" hidden="1" customHeight="1" x14ac:dyDescent="0.25">
      <c r="A1759" s="168"/>
      <c r="B1759" s="167"/>
      <c r="C1759" s="168"/>
      <c r="D1759" s="167"/>
      <c r="E1759" s="167"/>
      <c r="F1759" s="167"/>
      <c r="G1759" s="167"/>
      <c r="H1759" s="167"/>
      <c r="I1759" s="164">
        <f t="shared" ca="1" si="28"/>
        <v>44939</v>
      </c>
      <c r="J1759" s="163">
        <v>0.33333333333333331</v>
      </c>
      <c r="K1759" s="162" t="s">
        <v>749</v>
      </c>
      <c r="L1759" s="166"/>
      <c r="M1759" s="166"/>
      <c r="N1759" s="164"/>
      <c r="O1759" s="166"/>
      <c r="P1759" s="165"/>
    </row>
    <row r="1760" spans="1:16" ht="15" hidden="1" customHeight="1" x14ac:dyDescent="0.25">
      <c r="A1760" s="168"/>
      <c r="B1760" s="167"/>
      <c r="C1760" s="168"/>
      <c r="D1760" s="167"/>
      <c r="E1760" s="167"/>
      <c r="F1760" s="167"/>
      <c r="G1760" s="167"/>
      <c r="H1760" s="167"/>
      <c r="I1760" s="164">
        <f t="shared" ca="1" si="28"/>
        <v>44939</v>
      </c>
      <c r="J1760" s="163">
        <v>0.33333333333333331</v>
      </c>
      <c r="K1760" s="162" t="s">
        <v>749</v>
      </c>
      <c r="L1760" s="166"/>
      <c r="M1760" s="166"/>
      <c r="N1760" s="164"/>
      <c r="O1760" s="166"/>
      <c r="P1760" s="165"/>
    </row>
    <row r="1761" spans="1:16" ht="15" hidden="1" customHeight="1" x14ac:dyDescent="0.25">
      <c r="A1761" s="168"/>
      <c r="B1761" s="167"/>
      <c r="C1761" s="168"/>
      <c r="D1761" s="167"/>
      <c r="E1761" s="167"/>
      <c r="F1761" s="167"/>
      <c r="G1761" s="167"/>
      <c r="H1761" s="167"/>
      <c r="I1761" s="164">
        <f t="shared" ca="1" si="28"/>
        <v>44939</v>
      </c>
      <c r="J1761" s="163">
        <v>0.33333333333333331</v>
      </c>
      <c r="K1761" s="162" t="s">
        <v>749</v>
      </c>
      <c r="L1761" s="166"/>
      <c r="M1761" s="166"/>
      <c r="N1761" s="164"/>
      <c r="O1761" s="166"/>
      <c r="P1761" s="165"/>
    </row>
    <row r="1762" spans="1:16" ht="15" hidden="1" customHeight="1" x14ac:dyDescent="0.25">
      <c r="A1762" s="168"/>
      <c r="B1762" s="167"/>
      <c r="C1762" s="168"/>
      <c r="D1762" s="167"/>
      <c r="E1762" s="167"/>
      <c r="F1762" s="167"/>
      <c r="G1762" s="167"/>
      <c r="H1762" s="167"/>
      <c r="I1762" s="164">
        <f t="shared" ca="1" si="28"/>
        <v>44939</v>
      </c>
      <c r="J1762" s="163">
        <v>0.33333333333333331</v>
      </c>
      <c r="K1762" s="162" t="s">
        <v>749</v>
      </c>
      <c r="L1762" s="166"/>
      <c r="M1762" s="166"/>
      <c r="N1762" s="164"/>
      <c r="O1762" s="166"/>
      <c r="P1762" s="165"/>
    </row>
    <row r="1763" spans="1:16" ht="15" hidden="1" customHeight="1" x14ac:dyDescent="0.25">
      <c r="A1763" s="168"/>
      <c r="B1763" s="167"/>
      <c r="C1763" s="168"/>
      <c r="D1763" s="167"/>
      <c r="E1763" s="167"/>
      <c r="F1763" s="167"/>
      <c r="G1763" s="167"/>
      <c r="H1763" s="167"/>
      <c r="I1763" s="164">
        <f t="shared" ca="1" si="28"/>
        <v>44939</v>
      </c>
      <c r="J1763" s="163">
        <v>0.33333333333333331</v>
      </c>
      <c r="K1763" s="162" t="s">
        <v>749</v>
      </c>
      <c r="L1763" s="166"/>
      <c r="M1763" s="166"/>
      <c r="N1763" s="164"/>
      <c r="O1763" s="166"/>
      <c r="P1763" s="165"/>
    </row>
    <row r="1764" spans="1:16" ht="15" hidden="1" customHeight="1" x14ac:dyDescent="0.25">
      <c r="A1764" s="168"/>
      <c r="B1764" s="167"/>
      <c r="C1764" s="168"/>
      <c r="D1764" s="167"/>
      <c r="E1764" s="167"/>
      <c r="F1764" s="167"/>
      <c r="G1764" s="167"/>
      <c r="H1764" s="167"/>
      <c r="I1764" s="164">
        <f t="shared" ca="1" si="28"/>
        <v>44939</v>
      </c>
      <c r="J1764" s="163">
        <v>0.33333333333333331</v>
      </c>
      <c r="K1764" s="162" t="s">
        <v>749</v>
      </c>
      <c r="L1764" s="166"/>
      <c r="M1764" s="166"/>
      <c r="N1764" s="164"/>
      <c r="O1764" s="166"/>
      <c r="P1764" s="165"/>
    </row>
    <row r="1765" spans="1:16" ht="15" hidden="1" customHeight="1" x14ac:dyDescent="0.25">
      <c r="A1765" s="168"/>
      <c r="B1765" s="167"/>
      <c r="C1765" s="168"/>
      <c r="D1765" s="167"/>
      <c r="E1765" s="167"/>
      <c r="F1765" s="167"/>
      <c r="G1765" s="167"/>
      <c r="H1765" s="167"/>
      <c r="I1765" s="164">
        <f t="shared" ca="1" si="28"/>
        <v>44939</v>
      </c>
      <c r="J1765" s="163">
        <v>0.33333333333333331</v>
      </c>
      <c r="K1765" s="162" t="s">
        <v>749</v>
      </c>
      <c r="L1765" s="166"/>
      <c r="M1765" s="166"/>
      <c r="N1765" s="164"/>
      <c r="O1765" s="166"/>
      <c r="P1765" s="165"/>
    </row>
    <row r="1766" spans="1:16" ht="15" hidden="1" customHeight="1" x14ac:dyDescent="0.25">
      <c r="A1766" s="168"/>
      <c r="B1766" s="167"/>
      <c r="C1766" s="168"/>
      <c r="D1766" s="167"/>
      <c r="E1766" s="167"/>
      <c r="F1766" s="167"/>
      <c r="G1766" s="167"/>
      <c r="H1766" s="167"/>
      <c r="I1766" s="164">
        <f t="shared" ca="1" si="28"/>
        <v>44939</v>
      </c>
      <c r="J1766" s="163">
        <v>0.33333333333333331</v>
      </c>
      <c r="K1766" s="162" t="s">
        <v>749</v>
      </c>
      <c r="L1766" s="166"/>
      <c r="M1766" s="166"/>
      <c r="N1766" s="164"/>
      <c r="O1766" s="166"/>
      <c r="P1766" s="165"/>
    </row>
    <row r="1767" spans="1:16" ht="15" hidden="1" customHeight="1" x14ac:dyDescent="0.25">
      <c r="A1767" s="168"/>
      <c r="B1767" s="167"/>
      <c r="C1767" s="168"/>
      <c r="D1767" s="167"/>
      <c r="E1767" s="167"/>
      <c r="F1767" s="167"/>
      <c r="G1767" s="167"/>
      <c r="H1767" s="167"/>
      <c r="I1767" s="164">
        <f t="shared" ca="1" si="28"/>
        <v>44939</v>
      </c>
      <c r="J1767" s="163">
        <v>0.33333333333333331</v>
      </c>
      <c r="K1767" s="162" t="s">
        <v>749</v>
      </c>
      <c r="L1767" s="166"/>
      <c r="M1767" s="166"/>
      <c r="N1767" s="164"/>
      <c r="O1767" s="166"/>
      <c r="P1767" s="165"/>
    </row>
    <row r="1768" spans="1:16" ht="15" hidden="1" customHeight="1" x14ac:dyDescent="0.25">
      <c r="A1768" s="168"/>
      <c r="B1768" s="167"/>
      <c r="C1768" s="168"/>
      <c r="D1768" s="167"/>
      <c r="E1768" s="167"/>
      <c r="F1768" s="167"/>
      <c r="G1768" s="167"/>
      <c r="H1768" s="167"/>
      <c r="I1768" s="164">
        <f t="shared" ca="1" si="28"/>
        <v>44939</v>
      </c>
      <c r="J1768" s="163">
        <v>0.33333333333333331</v>
      </c>
      <c r="K1768" s="162" t="s">
        <v>749</v>
      </c>
      <c r="L1768" s="166"/>
      <c r="M1768" s="166"/>
      <c r="N1768" s="164"/>
      <c r="O1768" s="166"/>
      <c r="P1768" s="165"/>
    </row>
    <row r="1769" spans="1:16" ht="15" hidden="1" customHeight="1" x14ac:dyDescent="0.25">
      <c r="A1769" s="168"/>
      <c r="B1769" s="167"/>
      <c r="C1769" s="168"/>
      <c r="D1769" s="167"/>
      <c r="E1769" s="167"/>
      <c r="F1769" s="167"/>
      <c r="G1769" s="167"/>
      <c r="H1769" s="167"/>
      <c r="I1769" s="164">
        <f t="shared" ca="1" si="28"/>
        <v>44939</v>
      </c>
      <c r="J1769" s="163">
        <v>0.33333333333333331</v>
      </c>
      <c r="K1769" s="162" t="s">
        <v>749</v>
      </c>
      <c r="L1769" s="166"/>
      <c r="M1769" s="166"/>
      <c r="N1769" s="164"/>
      <c r="O1769" s="166"/>
      <c r="P1769" s="165"/>
    </row>
    <row r="1770" spans="1:16" ht="15" hidden="1" customHeight="1" x14ac:dyDescent="0.25">
      <c r="A1770" s="168"/>
      <c r="B1770" s="167"/>
      <c r="C1770" s="168"/>
      <c r="D1770" s="167"/>
      <c r="E1770" s="167"/>
      <c r="F1770" s="167"/>
      <c r="G1770" s="167"/>
      <c r="H1770" s="167"/>
      <c r="I1770" s="164">
        <f t="shared" ca="1" si="28"/>
        <v>44939</v>
      </c>
      <c r="J1770" s="163">
        <v>0.33333333333333331</v>
      </c>
      <c r="K1770" s="162" t="s">
        <v>749</v>
      </c>
      <c r="L1770" s="166"/>
      <c r="M1770" s="166"/>
      <c r="N1770" s="164"/>
      <c r="O1770" s="166"/>
      <c r="P1770" s="165"/>
    </row>
    <row r="1771" spans="1:16" ht="15" hidden="1" customHeight="1" x14ac:dyDescent="0.25">
      <c r="A1771" s="168"/>
      <c r="B1771" s="167"/>
      <c r="C1771" s="168"/>
      <c r="D1771" s="167"/>
      <c r="E1771" s="167"/>
      <c r="F1771" s="167"/>
      <c r="G1771" s="167"/>
      <c r="H1771" s="167"/>
      <c r="I1771" s="164">
        <f t="shared" ca="1" si="28"/>
        <v>44939</v>
      </c>
      <c r="J1771" s="163">
        <v>0.33333333333333331</v>
      </c>
      <c r="K1771" s="162" t="s">
        <v>749</v>
      </c>
      <c r="L1771" s="166"/>
      <c r="M1771" s="166"/>
      <c r="N1771" s="164"/>
      <c r="O1771" s="166"/>
      <c r="P1771" s="165"/>
    </row>
    <row r="1772" spans="1:16" ht="15" hidden="1" customHeight="1" x14ac:dyDescent="0.25">
      <c r="A1772" s="168"/>
      <c r="B1772" s="167"/>
      <c r="C1772" s="168"/>
      <c r="D1772" s="167"/>
      <c r="E1772" s="167"/>
      <c r="F1772" s="167"/>
      <c r="G1772" s="167"/>
      <c r="H1772" s="167"/>
      <c r="I1772" s="164">
        <f t="shared" ca="1" si="28"/>
        <v>44939</v>
      </c>
      <c r="J1772" s="163">
        <v>0.33333333333333331</v>
      </c>
      <c r="K1772" s="162" t="s">
        <v>749</v>
      </c>
      <c r="L1772" s="166"/>
      <c r="M1772" s="166"/>
      <c r="N1772" s="164"/>
      <c r="O1772" s="166"/>
      <c r="P1772" s="165"/>
    </row>
    <row r="1773" spans="1:16" ht="15" hidden="1" customHeight="1" x14ac:dyDescent="0.25">
      <c r="A1773" s="168"/>
      <c r="B1773" s="167"/>
      <c r="C1773" s="168"/>
      <c r="D1773" s="167"/>
      <c r="E1773" s="167"/>
      <c r="F1773" s="167"/>
      <c r="G1773" s="167"/>
      <c r="H1773" s="167"/>
      <c r="I1773" s="164">
        <f t="shared" ca="1" si="28"/>
        <v>44939</v>
      </c>
      <c r="J1773" s="163">
        <v>0.33333333333333331</v>
      </c>
      <c r="K1773" s="162" t="s">
        <v>749</v>
      </c>
      <c r="L1773" s="166"/>
      <c r="M1773" s="166"/>
      <c r="N1773" s="164"/>
      <c r="O1773" s="166"/>
      <c r="P1773" s="165"/>
    </row>
    <row r="1774" spans="1:16" ht="15" hidden="1" customHeight="1" x14ac:dyDescent="0.25">
      <c r="A1774" s="168"/>
      <c r="B1774" s="167"/>
      <c r="C1774" s="168"/>
      <c r="D1774" s="167"/>
      <c r="E1774" s="167"/>
      <c r="F1774" s="167"/>
      <c r="G1774" s="167"/>
      <c r="H1774" s="167"/>
      <c r="I1774" s="164">
        <f t="shared" ca="1" si="28"/>
        <v>44939</v>
      </c>
      <c r="J1774" s="163">
        <v>0.33333333333333331</v>
      </c>
      <c r="K1774" s="162" t="s">
        <v>749</v>
      </c>
      <c r="L1774" s="166"/>
      <c r="M1774" s="166"/>
      <c r="N1774" s="164"/>
      <c r="O1774" s="166"/>
      <c r="P1774" s="165"/>
    </row>
    <row r="1775" spans="1:16" ht="15" hidden="1" customHeight="1" x14ac:dyDescent="0.25">
      <c r="A1775" s="168"/>
      <c r="B1775" s="167"/>
      <c r="C1775" s="168"/>
      <c r="D1775" s="167"/>
      <c r="E1775" s="167"/>
      <c r="F1775" s="167"/>
      <c r="G1775" s="167"/>
      <c r="H1775" s="167"/>
      <c r="I1775" s="164">
        <f t="shared" ca="1" si="28"/>
        <v>44939</v>
      </c>
      <c r="J1775" s="163">
        <v>0.33333333333333331</v>
      </c>
      <c r="K1775" s="162" t="s">
        <v>749</v>
      </c>
      <c r="L1775" s="166"/>
      <c r="M1775" s="166"/>
      <c r="N1775" s="164"/>
      <c r="O1775" s="166"/>
      <c r="P1775" s="165"/>
    </row>
    <row r="1776" spans="1:16" ht="15" hidden="1" customHeight="1" x14ac:dyDescent="0.25">
      <c r="A1776" s="168"/>
      <c r="B1776" s="167"/>
      <c r="C1776" s="168"/>
      <c r="D1776" s="167"/>
      <c r="E1776" s="167"/>
      <c r="F1776" s="167"/>
      <c r="G1776" s="167"/>
      <c r="H1776" s="167"/>
      <c r="I1776" s="164">
        <f t="shared" ca="1" si="28"/>
        <v>44939</v>
      </c>
      <c r="J1776" s="163">
        <v>0.33333333333333331</v>
      </c>
      <c r="K1776" s="162" t="s">
        <v>749</v>
      </c>
      <c r="L1776" s="166"/>
      <c r="M1776" s="166"/>
      <c r="N1776" s="164"/>
      <c r="O1776" s="166"/>
      <c r="P1776" s="165"/>
    </row>
    <row r="1777" spans="1:16" ht="15" hidden="1" customHeight="1" x14ac:dyDescent="0.25">
      <c r="A1777" s="168"/>
      <c r="B1777" s="167"/>
      <c r="C1777" s="168"/>
      <c r="D1777" s="167"/>
      <c r="E1777" s="167"/>
      <c r="F1777" s="167"/>
      <c r="G1777" s="167"/>
      <c r="H1777" s="167"/>
      <c r="I1777" s="164">
        <f t="shared" ca="1" si="28"/>
        <v>44939</v>
      </c>
      <c r="J1777" s="163">
        <v>0.33333333333333331</v>
      </c>
      <c r="K1777" s="162" t="s">
        <v>749</v>
      </c>
      <c r="L1777" s="166"/>
      <c r="M1777" s="166"/>
      <c r="N1777" s="164"/>
      <c r="O1777" s="166"/>
      <c r="P1777" s="165"/>
    </row>
    <row r="1778" spans="1:16" ht="15" hidden="1" customHeight="1" x14ac:dyDescent="0.25">
      <c r="A1778" s="168"/>
      <c r="B1778" s="167"/>
      <c r="C1778" s="168"/>
      <c r="D1778" s="167"/>
      <c r="E1778" s="167"/>
      <c r="F1778" s="167"/>
      <c r="G1778" s="167"/>
      <c r="H1778" s="167"/>
      <c r="I1778" s="164">
        <f t="shared" ca="1" si="28"/>
        <v>44939</v>
      </c>
      <c r="J1778" s="163">
        <v>0.33333333333333331</v>
      </c>
      <c r="K1778" s="162" t="s">
        <v>749</v>
      </c>
      <c r="L1778" s="166"/>
      <c r="M1778" s="166"/>
      <c r="N1778" s="164"/>
      <c r="O1778" s="166"/>
      <c r="P1778" s="165"/>
    </row>
    <row r="1779" spans="1:16" ht="15" hidden="1" customHeight="1" x14ac:dyDescent="0.25">
      <c r="A1779" s="168"/>
      <c r="B1779" s="167"/>
      <c r="C1779" s="168"/>
      <c r="D1779" s="167"/>
      <c r="E1779" s="167"/>
      <c r="F1779" s="167"/>
      <c r="G1779" s="167"/>
      <c r="H1779" s="167"/>
      <c r="I1779" s="164">
        <f t="shared" ca="1" si="28"/>
        <v>44939</v>
      </c>
      <c r="J1779" s="163">
        <v>0.33333333333333331</v>
      </c>
      <c r="K1779" s="162" t="s">
        <v>749</v>
      </c>
      <c r="L1779" s="166"/>
      <c r="M1779" s="166"/>
      <c r="N1779" s="164"/>
      <c r="O1779" s="166"/>
      <c r="P1779" s="165"/>
    </row>
    <row r="1780" spans="1:16" ht="15" hidden="1" customHeight="1" x14ac:dyDescent="0.25">
      <c r="A1780" s="168"/>
      <c r="B1780" s="167"/>
      <c r="C1780" s="168"/>
      <c r="D1780" s="167"/>
      <c r="E1780" s="167"/>
      <c r="F1780" s="167"/>
      <c r="G1780" s="167"/>
      <c r="H1780" s="167"/>
      <c r="I1780" s="164">
        <f t="shared" ca="1" si="28"/>
        <v>44939</v>
      </c>
      <c r="J1780" s="163">
        <v>0.33333333333333331</v>
      </c>
      <c r="K1780" s="162" t="s">
        <v>749</v>
      </c>
      <c r="L1780" s="166"/>
      <c r="M1780" s="166"/>
      <c r="N1780" s="164"/>
      <c r="O1780" s="166"/>
      <c r="P1780" s="165"/>
    </row>
    <row r="1781" spans="1:16" ht="15" hidden="1" customHeight="1" x14ac:dyDescent="0.25">
      <c r="A1781" s="168"/>
      <c r="B1781" s="167"/>
      <c r="C1781" s="168"/>
      <c r="D1781" s="167"/>
      <c r="E1781" s="167"/>
      <c r="F1781" s="167"/>
      <c r="G1781" s="167"/>
      <c r="H1781" s="167"/>
      <c r="I1781" s="164">
        <f t="shared" ca="1" si="28"/>
        <v>44939</v>
      </c>
      <c r="J1781" s="163">
        <v>0.33333333333333331</v>
      </c>
      <c r="K1781" s="162" t="s">
        <v>749</v>
      </c>
      <c r="L1781" s="166"/>
      <c r="M1781" s="166"/>
      <c r="N1781" s="164"/>
      <c r="O1781" s="166"/>
      <c r="P1781" s="165"/>
    </row>
    <row r="1782" spans="1:16" ht="15" hidden="1" customHeight="1" x14ac:dyDescent="0.25">
      <c r="A1782" s="168"/>
      <c r="B1782" s="167"/>
      <c r="C1782" s="168"/>
      <c r="D1782" s="167"/>
      <c r="E1782" s="167"/>
      <c r="F1782" s="167"/>
      <c r="G1782" s="167"/>
      <c r="H1782" s="167"/>
      <c r="I1782" s="164">
        <f t="shared" ca="1" si="28"/>
        <v>44939</v>
      </c>
      <c r="J1782" s="163">
        <v>0.33333333333333331</v>
      </c>
      <c r="K1782" s="162" t="s">
        <v>749</v>
      </c>
      <c r="L1782" s="166"/>
      <c r="M1782" s="166"/>
      <c r="N1782" s="164"/>
      <c r="O1782" s="166"/>
      <c r="P1782" s="165"/>
    </row>
    <row r="1783" spans="1:16" ht="15" hidden="1" customHeight="1" x14ac:dyDescent="0.25">
      <c r="A1783" s="168"/>
      <c r="B1783" s="167"/>
      <c r="C1783" s="168"/>
      <c r="D1783" s="167"/>
      <c r="E1783" s="167"/>
      <c r="F1783" s="167"/>
      <c r="G1783" s="167"/>
      <c r="H1783" s="167"/>
      <c r="I1783" s="164">
        <f t="shared" ca="1" si="28"/>
        <v>44939</v>
      </c>
      <c r="J1783" s="163">
        <v>0.33333333333333331</v>
      </c>
      <c r="K1783" s="162" t="s">
        <v>749</v>
      </c>
      <c r="L1783" s="166"/>
      <c r="M1783" s="166"/>
      <c r="N1783" s="164"/>
      <c r="O1783" s="166"/>
      <c r="P1783" s="165"/>
    </row>
    <row r="1784" spans="1:16" ht="15" hidden="1" customHeight="1" x14ac:dyDescent="0.25">
      <c r="A1784" s="168"/>
      <c r="B1784" s="167"/>
      <c r="C1784" s="168"/>
      <c r="D1784" s="167"/>
      <c r="E1784" s="167"/>
      <c r="F1784" s="167"/>
      <c r="G1784" s="167"/>
      <c r="H1784" s="167"/>
      <c r="I1784" s="164">
        <f t="shared" ca="1" si="28"/>
        <v>44939</v>
      </c>
      <c r="J1784" s="163">
        <v>0.33333333333333331</v>
      </c>
      <c r="K1784" s="162" t="s">
        <v>749</v>
      </c>
      <c r="L1784" s="166"/>
      <c r="M1784" s="166"/>
      <c r="N1784" s="164"/>
      <c r="O1784" s="166"/>
      <c r="P1784" s="165"/>
    </row>
    <row r="1785" spans="1:16" ht="15" hidden="1" customHeight="1" x14ac:dyDescent="0.25">
      <c r="A1785" s="168"/>
      <c r="B1785" s="167"/>
      <c r="C1785" s="168"/>
      <c r="D1785" s="167"/>
      <c r="E1785" s="167"/>
      <c r="F1785" s="167"/>
      <c r="G1785" s="167"/>
      <c r="H1785" s="167"/>
      <c r="I1785" s="164">
        <f t="shared" ca="1" si="28"/>
        <v>44939</v>
      </c>
      <c r="J1785" s="163">
        <v>0.33333333333333331</v>
      </c>
      <c r="K1785" s="162" t="s">
        <v>749</v>
      </c>
      <c r="L1785" s="166"/>
      <c r="M1785" s="166"/>
      <c r="N1785" s="164"/>
      <c r="O1785" s="166"/>
      <c r="P1785" s="165"/>
    </row>
    <row r="1786" spans="1:16" ht="15" hidden="1" customHeight="1" x14ac:dyDescent="0.25">
      <c r="A1786" s="168"/>
      <c r="B1786" s="167"/>
      <c r="C1786" s="168"/>
      <c r="D1786" s="167"/>
      <c r="E1786" s="167"/>
      <c r="F1786" s="167"/>
      <c r="G1786" s="167"/>
      <c r="H1786" s="167"/>
      <c r="I1786" s="164">
        <f t="shared" ca="1" si="28"/>
        <v>44939</v>
      </c>
      <c r="J1786" s="163">
        <v>0.33333333333333331</v>
      </c>
      <c r="K1786" s="162" t="s">
        <v>749</v>
      </c>
      <c r="L1786" s="166"/>
      <c r="M1786" s="166"/>
      <c r="N1786" s="164"/>
      <c r="O1786" s="166"/>
      <c r="P1786" s="165"/>
    </row>
    <row r="1787" spans="1:16" ht="15" hidden="1" customHeight="1" x14ac:dyDescent="0.25">
      <c r="A1787" s="168"/>
      <c r="B1787" s="167"/>
      <c r="C1787" s="168"/>
      <c r="D1787" s="167"/>
      <c r="E1787" s="167"/>
      <c r="F1787" s="167"/>
      <c r="G1787" s="167"/>
      <c r="H1787" s="167"/>
      <c r="I1787" s="164">
        <f t="shared" ca="1" si="28"/>
        <v>44939</v>
      </c>
      <c r="J1787" s="163">
        <v>0.33333333333333331</v>
      </c>
      <c r="K1787" s="162" t="s">
        <v>749</v>
      </c>
      <c r="L1787" s="166"/>
      <c r="M1787" s="166"/>
      <c r="N1787" s="164"/>
      <c r="O1787" s="166"/>
      <c r="P1787" s="165"/>
    </row>
    <row r="1788" spans="1:16" ht="15" hidden="1" customHeight="1" x14ac:dyDescent="0.25">
      <c r="A1788" s="168"/>
      <c r="B1788" s="167"/>
      <c r="C1788" s="168"/>
      <c r="D1788" s="167"/>
      <c r="E1788" s="167"/>
      <c r="F1788" s="167"/>
      <c r="G1788" s="167"/>
      <c r="H1788" s="167"/>
      <c r="I1788" s="164">
        <f t="shared" ca="1" si="28"/>
        <v>44939</v>
      </c>
      <c r="J1788" s="163">
        <v>0.33333333333333331</v>
      </c>
      <c r="K1788" s="162" t="s">
        <v>749</v>
      </c>
      <c r="L1788" s="166"/>
      <c r="M1788" s="166"/>
      <c r="N1788" s="164"/>
      <c r="O1788" s="166"/>
      <c r="P1788" s="165"/>
    </row>
    <row r="1789" spans="1:16" ht="15" hidden="1" customHeight="1" x14ac:dyDescent="0.25">
      <c r="A1789" s="168"/>
      <c r="B1789" s="167"/>
      <c r="C1789" s="168"/>
      <c r="D1789" s="167"/>
      <c r="E1789" s="167"/>
      <c r="F1789" s="167"/>
      <c r="G1789" s="167"/>
      <c r="H1789" s="167"/>
      <c r="I1789" s="164">
        <f t="shared" ca="1" si="28"/>
        <v>44939</v>
      </c>
      <c r="J1789" s="163">
        <v>0.33333333333333331</v>
      </c>
      <c r="K1789" s="162" t="s">
        <v>749</v>
      </c>
      <c r="L1789" s="166"/>
      <c r="M1789" s="166"/>
      <c r="N1789" s="164"/>
      <c r="O1789" s="166"/>
      <c r="P1789" s="165"/>
    </row>
    <row r="1790" spans="1:16" ht="15" hidden="1" customHeight="1" x14ac:dyDescent="0.25">
      <c r="A1790" s="168"/>
      <c r="B1790" s="167"/>
      <c r="C1790" s="168"/>
      <c r="D1790" s="167"/>
      <c r="E1790" s="167"/>
      <c r="F1790" s="167"/>
      <c r="G1790" s="167"/>
      <c r="H1790" s="167"/>
      <c r="I1790" s="164">
        <f t="shared" ca="1" si="28"/>
        <v>44939</v>
      </c>
      <c r="J1790" s="163">
        <v>0.33333333333333331</v>
      </c>
      <c r="K1790" s="162" t="s">
        <v>749</v>
      </c>
      <c r="L1790" s="166"/>
      <c r="M1790" s="166"/>
      <c r="N1790" s="164"/>
      <c r="O1790" s="166"/>
      <c r="P1790" s="165"/>
    </row>
    <row r="1791" spans="1:16" ht="15" hidden="1" customHeight="1" x14ac:dyDescent="0.25">
      <c r="A1791" s="168"/>
      <c r="B1791" s="167"/>
      <c r="C1791" s="168"/>
      <c r="D1791" s="167"/>
      <c r="E1791" s="167"/>
      <c r="F1791" s="167"/>
      <c r="G1791" s="167"/>
      <c r="H1791" s="167"/>
      <c r="I1791" s="164">
        <f t="shared" ca="1" si="28"/>
        <v>44939</v>
      </c>
      <c r="J1791" s="163">
        <v>0.33333333333333331</v>
      </c>
      <c r="K1791" s="162" t="s">
        <v>749</v>
      </c>
      <c r="L1791" s="166"/>
      <c r="M1791" s="166"/>
      <c r="N1791" s="164"/>
      <c r="O1791" s="166"/>
      <c r="P1791" s="165"/>
    </row>
    <row r="1792" spans="1:16" ht="15" hidden="1" customHeight="1" x14ac:dyDescent="0.25">
      <c r="A1792" s="168"/>
      <c r="B1792" s="167"/>
      <c r="C1792" s="168"/>
      <c r="D1792" s="167"/>
      <c r="E1792" s="167"/>
      <c r="F1792" s="167"/>
      <c r="G1792" s="167"/>
      <c r="H1792" s="167"/>
      <c r="I1792" s="164">
        <f t="shared" ca="1" si="28"/>
        <v>44939</v>
      </c>
      <c r="J1792" s="163">
        <v>0.33333333333333331</v>
      </c>
      <c r="K1792" s="162" t="s">
        <v>749</v>
      </c>
      <c r="L1792" s="166"/>
      <c r="M1792" s="166"/>
      <c r="N1792" s="164"/>
      <c r="O1792" s="166"/>
      <c r="P1792" s="165"/>
    </row>
    <row r="1793" spans="1:16" ht="15" hidden="1" customHeight="1" x14ac:dyDescent="0.25">
      <c r="A1793" s="168"/>
      <c r="B1793" s="167"/>
      <c r="C1793" s="168"/>
      <c r="D1793" s="167"/>
      <c r="E1793" s="167"/>
      <c r="F1793" s="167"/>
      <c r="G1793" s="167"/>
      <c r="H1793" s="167"/>
      <c r="I1793" s="164">
        <f t="shared" ca="1" si="28"/>
        <v>44939</v>
      </c>
      <c r="J1793" s="163">
        <v>0.33333333333333331</v>
      </c>
      <c r="K1793" s="162" t="s">
        <v>749</v>
      </c>
      <c r="L1793" s="166"/>
      <c r="M1793" s="166"/>
      <c r="N1793" s="164"/>
      <c r="O1793" s="166"/>
      <c r="P1793" s="165"/>
    </row>
    <row r="1794" spans="1:16" ht="15" hidden="1" customHeight="1" x14ac:dyDescent="0.25">
      <c r="A1794" s="168"/>
      <c r="B1794" s="167"/>
      <c r="C1794" s="168"/>
      <c r="D1794" s="167"/>
      <c r="E1794" s="167"/>
      <c r="F1794" s="167"/>
      <c r="G1794" s="167"/>
      <c r="H1794" s="167"/>
      <c r="I1794" s="164">
        <f t="shared" ca="1" si="28"/>
        <v>44939</v>
      </c>
      <c r="J1794" s="163">
        <v>0.33333333333333331</v>
      </c>
      <c r="K1794" s="162" t="s">
        <v>749</v>
      </c>
      <c r="L1794" s="166"/>
      <c r="M1794" s="166"/>
      <c r="N1794" s="164"/>
      <c r="O1794" s="166"/>
      <c r="P1794" s="165"/>
    </row>
    <row r="1795" spans="1:16" ht="15" hidden="1" customHeight="1" x14ac:dyDescent="0.25">
      <c r="A1795" s="168"/>
      <c r="B1795" s="167"/>
      <c r="C1795" s="168"/>
      <c r="D1795" s="167"/>
      <c r="E1795" s="167"/>
      <c r="F1795" s="167"/>
      <c r="G1795" s="167"/>
      <c r="H1795" s="167"/>
      <c r="I1795" s="164">
        <f t="shared" ca="1" si="28"/>
        <v>44939</v>
      </c>
      <c r="J1795" s="163">
        <v>0.33333333333333331</v>
      </c>
      <c r="K1795" s="162" t="s">
        <v>749</v>
      </c>
      <c r="L1795" s="166"/>
      <c r="M1795" s="166"/>
      <c r="N1795" s="164"/>
      <c r="O1795" s="166"/>
      <c r="P1795" s="165"/>
    </row>
    <row r="1796" spans="1:16" ht="15" hidden="1" customHeight="1" x14ac:dyDescent="0.25">
      <c r="A1796" s="168"/>
      <c r="B1796" s="167"/>
      <c r="C1796" s="168"/>
      <c r="D1796" s="167"/>
      <c r="E1796" s="167"/>
      <c r="F1796" s="167"/>
      <c r="G1796" s="167"/>
      <c r="H1796" s="167"/>
      <c r="I1796" s="164">
        <f t="shared" ca="1" si="28"/>
        <v>44939</v>
      </c>
      <c r="J1796" s="163">
        <v>0.33333333333333331</v>
      </c>
      <c r="K1796" s="162" t="s">
        <v>749</v>
      </c>
      <c r="L1796" s="166"/>
      <c r="M1796" s="166"/>
      <c r="N1796" s="164"/>
      <c r="O1796" s="166"/>
      <c r="P1796" s="165"/>
    </row>
    <row r="1797" spans="1:16" ht="15" hidden="1" customHeight="1" x14ac:dyDescent="0.25">
      <c r="A1797" s="168"/>
      <c r="B1797" s="167"/>
      <c r="C1797" s="168"/>
      <c r="D1797" s="167"/>
      <c r="E1797" s="167"/>
      <c r="F1797" s="167"/>
      <c r="G1797" s="167"/>
      <c r="H1797" s="167"/>
      <c r="I1797" s="164">
        <f t="shared" ca="1" si="28"/>
        <v>44939</v>
      </c>
      <c r="J1797" s="163">
        <v>0.33333333333333331</v>
      </c>
      <c r="K1797" s="162" t="s">
        <v>749</v>
      </c>
      <c r="L1797" s="166"/>
      <c r="M1797" s="166"/>
      <c r="N1797" s="164"/>
      <c r="O1797" s="166"/>
      <c r="P1797" s="165"/>
    </row>
    <row r="1798" spans="1:16" ht="15" hidden="1" customHeight="1" x14ac:dyDescent="0.25">
      <c r="A1798" s="168"/>
      <c r="B1798" s="167"/>
      <c r="C1798" s="168"/>
      <c r="D1798" s="167"/>
      <c r="E1798" s="167"/>
      <c r="F1798" s="167"/>
      <c r="G1798" s="167"/>
      <c r="H1798" s="167"/>
      <c r="I1798" s="164">
        <f t="shared" ca="1" si="28"/>
        <v>44939</v>
      </c>
      <c r="J1798" s="163">
        <v>0.33333333333333331</v>
      </c>
      <c r="K1798" s="162" t="s">
        <v>749</v>
      </c>
      <c r="L1798" s="166"/>
      <c r="M1798" s="166"/>
      <c r="N1798" s="164"/>
      <c r="O1798" s="166"/>
      <c r="P1798" s="165"/>
    </row>
    <row r="1799" spans="1:16" ht="15" hidden="1" customHeight="1" x14ac:dyDescent="0.25">
      <c r="A1799" s="168"/>
      <c r="B1799" s="167"/>
      <c r="C1799" s="168"/>
      <c r="D1799" s="167"/>
      <c r="E1799" s="167"/>
      <c r="F1799" s="167"/>
      <c r="G1799" s="167"/>
      <c r="H1799" s="167"/>
      <c r="I1799" s="164">
        <f t="shared" ca="1" si="28"/>
        <v>44939</v>
      </c>
      <c r="J1799" s="163">
        <v>0.33333333333333331</v>
      </c>
      <c r="K1799" s="162" t="s">
        <v>749</v>
      </c>
      <c r="L1799" s="166"/>
      <c r="M1799" s="166"/>
      <c r="N1799" s="164"/>
      <c r="O1799" s="166"/>
      <c r="P1799" s="165"/>
    </row>
    <row r="1800" spans="1:16" ht="15" hidden="1" customHeight="1" x14ac:dyDescent="0.25">
      <c r="A1800" s="168"/>
      <c r="B1800" s="167"/>
      <c r="C1800" s="168"/>
      <c r="D1800" s="167"/>
      <c r="E1800" s="167"/>
      <c r="F1800" s="167"/>
      <c r="G1800" s="167"/>
      <c r="H1800" s="167"/>
      <c r="I1800" s="164">
        <f t="shared" ca="1" si="28"/>
        <v>44939</v>
      </c>
      <c r="J1800" s="163">
        <v>0.33333333333333331</v>
      </c>
      <c r="K1800" s="162" t="s">
        <v>749</v>
      </c>
      <c r="L1800" s="166"/>
      <c r="M1800" s="166"/>
      <c r="N1800" s="164"/>
      <c r="O1800" s="166"/>
      <c r="P1800" s="165"/>
    </row>
    <row r="1801" spans="1:16" ht="15" hidden="1" customHeight="1" x14ac:dyDescent="0.25">
      <c r="A1801" s="168"/>
      <c r="B1801" s="167"/>
      <c r="C1801" s="168"/>
      <c r="D1801" s="167"/>
      <c r="E1801" s="167"/>
      <c r="F1801" s="167"/>
      <c r="G1801" s="167"/>
      <c r="H1801" s="167"/>
      <c r="I1801" s="164">
        <f t="shared" ca="1" si="28"/>
        <v>44939</v>
      </c>
      <c r="J1801" s="163">
        <v>0.33333333333333331</v>
      </c>
      <c r="K1801" s="162" t="s">
        <v>749</v>
      </c>
      <c r="L1801" s="166"/>
      <c r="M1801" s="166"/>
      <c r="N1801" s="164"/>
      <c r="O1801" s="166"/>
      <c r="P1801" s="165"/>
    </row>
    <row r="1802" spans="1:16" ht="15" hidden="1" customHeight="1" x14ac:dyDescent="0.25">
      <c r="A1802" s="168"/>
      <c r="B1802" s="167"/>
      <c r="C1802" s="168"/>
      <c r="D1802" s="167"/>
      <c r="E1802" s="167"/>
      <c r="F1802" s="167"/>
      <c r="G1802" s="167"/>
      <c r="H1802" s="167"/>
      <c r="I1802" s="164">
        <f t="shared" ca="1" si="28"/>
        <v>44939</v>
      </c>
      <c r="J1802" s="163">
        <v>0.33333333333333331</v>
      </c>
      <c r="K1802" s="162" t="s">
        <v>749</v>
      </c>
      <c r="L1802" s="166"/>
      <c r="M1802" s="166"/>
      <c r="N1802" s="164"/>
      <c r="O1802" s="166"/>
      <c r="P1802" s="165"/>
    </row>
    <row r="1803" spans="1:16" ht="15" hidden="1" customHeight="1" x14ac:dyDescent="0.25">
      <c r="A1803" s="168"/>
      <c r="B1803" s="167"/>
      <c r="C1803" s="168"/>
      <c r="D1803" s="167"/>
      <c r="E1803" s="167"/>
      <c r="F1803" s="167"/>
      <c r="G1803" s="167"/>
      <c r="H1803" s="167"/>
      <c r="I1803" s="164">
        <f t="shared" ca="1" si="28"/>
        <v>44939</v>
      </c>
      <c r="J1803" s="163">
        <v>0.33333333333333331</v>
      </c>
      <c r="K1803" s="162" t="s">
        <v>749</v>
      </c>
      <c r="L1803" s="166"/>
      <c r="M1803" s="166"/>
      <c r="N1803" s="164"/>
      <c r="O1803" s="166"/>
      <c r="P1803" s="165"/>
    </row>
    <row r="1804" spans="1:16" ht="15" hidden="1" customHeight="1" x14ac:dyDescent="0.25">
      <c r="A1804" s="168"/>
      <c r="B1804" s="167"/>
      <c r="C1804" s="168"/>
      <c r="D1804" s="167"/>
      <c r="E1804" s="167"/>
      <c r="F1804" s="167"/>
      <c r="G1804" s="167"/>
      <c r="H1804" s="167"/>
      <c r="I1804" s="164">
        <f t="shared" ca="1" si="28"/>
        <v>44939</v>
      </c>
      <c r="J1804" s="163">
        <v>0.33333333333333331</v>
      </c>
      <c r="K1804" s="162" t="s">
        <v>749</v>
      </c>
      <c r="L1804" s="166"/>
      <c r="M1804" s="166"/>
      <c r="N1804" s="164"/>
      <c r="O1804" s="166"/>
      <c r="P1804" s="165"/>
    </row>
    <row r="1805" spans="1:16" ht="15" hidden="1" customHeight="1" x14ac:dyDescent="0.25">
      <c r="A1805" s="168"/>
      <c r="B1805" s="167"/>
      <c r="C1805" s="168"/>
      <c r="D1805" s="167"/>
      <c r="E1805" s="167"/>
      <c r="F1805" s="167"/>
      <c r="G1805" s="167"/>
      <c r="H1805" s="167"/>
      <c r="I1805" s="164">
        <f t="shared" ca="1" si="28"/>
        <v>44939</v>
      </c>
      <c r="J1805" s="163">
        <v>0.33333333333333331</v>
      </c>
      <c r="K1805" s="162" t="s">
        <v>749</v>
      </c>
      <c r="L1805" s="166"/>
      <c r="M1805" s="166"/>
      <c r="N1805" s="164"/>
      <c r="O1805" s="166"/>
      <c r="P1805" s="165"/>
    </row>
    <row r="1806" spans="1:16" ht="15" hidden="1" customHeight="1" x14ac:dyDescent="0.25">
      <c r="A1806" s="168"/>
      <c r="B1806" s="167"/>
      <c r="C1806" s="168"/>
      <c r="D1806" s="167"/>
      <c r="E1806" s="167"/>
      <c r="F1806" s="167"/>
      <c r="G1806" s="167"/>
      <c r="H1806" s="167"/>
      <c r="I1806" s="164">
        <f t="shared" ca="1" si="28"/>
        <v>44939</v>
      </c>
      <c r="J1806" s="163">
        <v>0.33333333333333331</v>
      </c>
      <c r="K1806" s="162" t="s">
        <v>749</v>
      </c>
      <c r="L1806" s="166"/>
      <c r="M1806" s="166"/>
      <c r="N1806" s="164"/>
      <c r="O1806" s="166"/>
      <c r="P1806" s="165"/>
    </row>
    <row r="1807" spans="1:16" ht="15" hidden="1" customHeight="1" x14ac:dyDescent="0.25">
      <c r="A1807" s="168"/>
      <c r="B1807" s="167"/>
      <c r="C1807" s="168"/>
      <c r="D1807" s="167"/>
      <c r="E1807" s="167"/>
      <c r="F1807" s="167"/>
      <c r="G1807" s="167"/>
      <c r="H1807" s="167"/>
      <c r="I1807" s="164">
        <f t="shared" ca="1" si="28"/>
        <v>44939</v>
      </c>
      <c r="J1807" s="163">
        <v>0.33333333333333331</v>
      </c>
      <c r="K1807" s="162" t="s">
        <v>749</v>
      </c>
      <c r="L1807" s="166"/>
      <c r="M1807" s="166"/>
      <c r="N1807" s="164"/>
      <c r="O1807" s="166"/>
      <c r="P1807" s="165"/>
    </row>
    <row r="1808" spans="1:16" ht="15" hidden="1" customHeight="1" x14ac:dyDescent="0.25">
      <c r="A1808" s="168"/>
      <c r="B1808" s="167"/>
      <c r="C1808" s="168"/>
      <c r="D1808" s="167"/>
      <c r="E1808" s="167"/>
      <c r="F1808" s="167"/>
      <c r="G1808" s="167"/>
      <c r="H1808" s="167"/>
      <c r="I1808" s="164">
        <f t="shared" ca="1" si="28"/>
        <v>44939</v>
      </c>
      <c r="J1808" s="163">
        <v>0.33333333333333331</v>
      </c>
      <c r="K1808" s="162" t="s">
        <v>749</v>
      </c>
      <c r="L1808" s="166"/>
      <c r="M1808" s="166"/>
      <c r="N1808" s="164"/>
      <c r="O1808" s="166"/>
      <c r="P1808" s="165"/>
    </row>
    <row r="1809" spans="1:16" ht="15" hidden="1" customHeight="1" x14ac:dyDescent="0.25">
      <c r="A1809" s="168"/>
      <c r="B1809" s="167"/>
      <c r="C1809" s="168"/>
      <c r="D1809" s="167"/>
      <c r="E1809" s="167"/>
      <c r="F1809" s="167"/>
      <c r="G1809" s="167"/>
      <c r="H1809" s="167"/>
      <c r="I1809" s="164">
        <f t="shared" ca="1" si="28"/>
        <v>44939</v>
      </c>
      <c r="J1809" s="163">
        <v>0.33333333333333331</v>
      </c>
      <c r="K1809" s="162" t="s">
        <v>749</v>
      </c>
      <c r="L1809" s="166"/>
      <c r="M1809" s="166"/>
      <c r="N1809" s="164"/>
      <c r="O1809" s="166"/>
      <c r="P1809" s="165"/>
    </row>
    <row r="1810" spans="1:16" ht="15" hidden="1" customHeight="1" x14ac:dyDescent="0.25">
      <c r="A1810" s="168"/>
      <c r="B1810" s="167"/>
      <c r="C1810" s="168"/>
      <c r="D1810" s="167"/>
      <c r="E1810" s="167"/>
      <c r="F1810" s="167"/>
      <c r="G1810" s="167"/>
      <c r="H1810" s="167"/>
      <c r="I1810" s="164">
        <f t="shared" ca="1" si="28"/>
        <v>44939</v>
      </c>
      <c r="J1810" s="163">
        <v>0.33333333333333331</v>
      </c>
      <c r="K1810" s="162" t="s">
        <v>749</v>
      </c>
      <c r="L1810" s="166"/>
      <c r="M1810" s="166"/>
      <c r="N1810" s="164"/>
      <c r="O1810" s="166"/>
      <c r="P1810" s="165"/>
    </row>
    <row r="1811" spans="1:16" ht="15" hidden="1" customHeight="1" x14ac:dyDescent="0.25">
      <c r="A1811" s="168"/>
      <c r="B1811" s="167"/>
      <c r="C1811" s="168"/>
      <c r="D1811" s="167"/>
      <c r="E1811" s="167"/>
      <c r="F1811" s="167"/>
      <c r="G1811" s="167"/>
      <c r="H1811" s="167"/>
      <c r="I1811" s="164">
        <f t="shared" ca="1" si="28"/>
        <v>44939</v>
      </c>
      <c r="J1811" s="163">
        <v>0.33333333333333331</v>
      </c>
      <c r="K1811" s="162" t="s">
        <v>749</v>
      </c>
      <c r="L1811" s="166"/>
      <c r="M1811" s="166"/>
      <c r="N1811" s="164"/>
      <c r="O1811" s="166"/>
      <c r="P1811" s="165"/>
    </row>
    <row r="1812" spans="1:16" ht="15" hidden="1" customHeight="1" x14ac:dyDescent="0.25">
      <c r="A1812" s="168"/>
      <c r="B1812" s="167"/>
      <c r="C1812" s="168"/>
      <c r="D1812" s="167"/>
      <c r="E1812" s="167"/>
      <c r="F1812" s="167"/>
      <c r="G1812" s="167"/>
      <c r="H1812" s="167"/>
      <c r="I1812" s="164">
        <f t="shared" ca="1" si="28"/>
        <v>44939</v>
      </c>
      <c r="J1812" s="163">
        <v>0.33333333333333331</v>
      </c>
      <c r="K1812" s="162" t="s">
        <v>749</v>
      </c>
      <c r="L1812" s="166"/>
      <c r="M1812" s="166"/>
      <c r="N1812" s="164"/>
      <c r="O1812" s="166"/>
      <c r="P1812" s="165"/>
    </row>
    <row r="1813" spans="1:16" ht="15" hidden="1" customHeight="1" x14ac:dyDescent="0.25">
      <c r="A1813" s="168"/>
      <c r="B1813" s="167"/>
      <c r="C1813" s="168"/>
      <c r="D1813" s="167"/>
      <c r="E1813" s="167"/>
      <c r="F1813" s="167"/>
      <c r="G1813" s="167"/>
      <c r="H1813" s="167"/>
      <c r="I1813" s="164">
        <f t="shared" ca="1" si="28"/>
        <v>44939</v>
      </c>
      <c r="J1813" s="163">
        <v>0.33333333333333331</v>
      </c>
      <c r="K1813" s="162" t="s">
        <v>749</v>
      </c>
      <c r="L1813" s="166"/>
      <c r="M1813" s="166"/>
      <c r="N1813" s="164"/>
      <c r="O1813" s="166"/>
      <c r="P1813" s="165"/>
    </row>
    <row r="1814" spans="1:16" ht="15" hidden="1" customHeight="1" x14ac:dyDescent="0.25">
      <c r="A1814" s="168"/>
      <c r="B1814" s="167"/>
      <c r="C1814" s="168"/>
      <c r="D1814" s="167"/>
      <c r="E1814" s="167"/>
      <c r="F1814" s="167"/>
      <c r="G1814" s="167"/>
      <c r="H1814" s="167"/>
      <c r="I1814" s="164">
        <f t="shared" ca="1" si="28"/>
        <v>44939</v>
      </c>
      <c r="J1814" s="163">
        <v>0.33333333333333331</v>
      </c>
      <c r="K1814" s="162" t="s">
        <v>749</v>
      </c>
      <c r="L1814" s="166"/>
      <c r="M1814" s="166"/>
      <c r="N1814" s="164"/>
      <c r="O1814" s="166"/>
      <c r="P1814" s="165"/>
    </row>
    <row r="1815" spans="1:16" ht="15" hidden="1" customHeight="1" x14ac:dyDescent="0.25">
      <c r="A1815" s="168"/>
      <c r="B1815" s="167"/>
      <c r="C1815" s="168"/>
      <c r="D1815" s="167"/>
      <c r="E1815" s="167"/>
      <c r="F1815" s="167"/>
      <c r="G1815" s="167"/>
      <c r="H1815" s="167"/>
      <c r="I1815" s="164">
        <f t="shared" ca="1" si="28"/>
        <v>44939</v>
      </c>
      <c r="J1815" s="163">
        <v>0.33333333333333331</v>
      </c>
      <c r="K1815" s="162" t="s">
        <v>749</v>
      </c>
      <c r="L1815" s="166"/>
      <c r="M1815" s="166"/>
      <c r="N1815" s="164"/>
      <c r="O1815" s="166"/>
      <c r="P1815" s="165"/>
    </row>
    <row r="1816" spans="1:16" ht="15" hidden="1" customHeight="1" x14ac:dyDescent="0.25">
      <c r="A1816" s="168"/>
      <c r="B1816" s="167"/>
      <c r="C1816" s="168"/>
      <c r="D1816" s="167"/>
      <c r="E1816" s="167"/>
      <c r="F1816" s="167"/>
      <c r="G1816" s="167"/>
      <c r="H1816" s="167"/>
      <c r="I1816" s="164">
        <f t="shared" ref="I1816:I1879" ca="1" si="29">TODAY()</f>
        <v>44939</v>
      </c>
      <c r="J1816" s="163">
        <v>0.33333333333333331</v>
      </c>
      <c r="K1816" s="162" t="s">
        <v>749</v>
      </c>
      <c r="L1816" s="166"/>
      <c r="M1816" s="166"/>
      <c r="N1816" s="164"/>
      <c r="O1816" s="166"/>
      <c r="P1816" s="165"/>
    </row>
    <row r="1817" spans="1:16" ht="15" hidden="1" customHeight="1" x14ac:dyDescent="0.25">
      <c r="A1817" s="168"/>
      <c r="B1817" s="167"/>
      <c r="C1817" s="168"/>
      <c r="D1817" s="167"/>
      <c r="E1817" s="167"/>
      <c r="F1817" s="167"/>
      <c r="G1817" s="167"/>
      <c r="H1817" s="167"/>
      <c r="I1817" s="164">
        <f t="shared" ca="1" si="29"/>
        <v>44939</v>
      </c>
      <c r="J1817" s="163">
        <v>0.33333333333333331</v>
      </c>
      <c r="K1817" s="162" t="s">
        <v>749</v>
      </c>
      <c r="L1817" s="166"/>
      <c r="M1817" s="166"/>
      <c r="N1817" s="164"/>
      <c r="O1817" s="166"/>
      <c r="P1817" s="165"/>
    </row>
    <row r="1818" spans="1:16" ht="15" hidden="1" customHeight="1" x14ac:dyDescent="0.25">
      <c r="A1818" s="168"/>
      <c r="B1818" s="167"/>
      <c r="C1818" s="168"/>
      <c r="D1818" s="167"/>
      <c r="E1818" s="167"/>
      <c r="F1818" s="167"/>
      <c r="G1818" s="167"/>
      <c r="H1818" s="167"/>
      <c r="I1818" s="164">
        <f t="shared" ca="1" si="29"/>
        <v>44939</v>
      </c>
      <c r="J1818" s="163">
        <v>0.33333333333333331</v>
      </c>
      <c r="K1818" s="162" t="s">
        <v>749</v>
      </c>
      <c r="L1818" s="166"/>
      <c r="M1818" s="166"/>
      <c r="N1818" s="164"/>
      <c r="O1818" s="166"/>
      <c r="P1818" s="165"/>
    </row>
    <row r="1819" spans="1:16" ht="15" hidden="1" customHeight="1" x14ac:dyDescent="0.25">
      <c r="A1819" s="168"/>
      <c r="B1819" s="167"/>
      <c r="C1819" s="168"/>
      <c r="D1819" s="167"/>
      <c r="E1819" s="167"/>
      <c r="F1819" s="167"/>
      <c r="G1819" s="167"/>
      <c r="H1819" s="167"/>
      <c r="I1819" s="164">
        <f t="shared" ca="1" si="29"/>
        <v>44939</v>
      </c>
      <c r="J1819" s="163">
        <v>0.33333333333333331</v>
      </c>
      <c r="K1819" s="162" t="s">
        <v>749</v>
      </c>
      <c r="L1819" s="166"/>
      <c r="M1819" s="166"/>
      <c r="N1819" s="164"/>
      <c r="O1819" s="166"/>
      <c r="P1819" s="165"/>
    </row>
    <row r="1820" spans="1:16" ht="15" hidden="1" customHeight="1" x14ac:dyDescent="0.25">
      <c r="A1820" s="168"/>
      <c r="B1820" s="167"/>
      <c r="C1820" s="168"/>
      <c r="D1820" s="167"/>
      <c r="E1820" s="167"/>
      <c r="F1820" s="167"/>
      <c r="G1820" s="167"/>
      <c r="H1820" s="167"/>
      <c r="I1820" s="164">
        <f t="shared" ca="1" si="29"/>
        <v>44939</v>
      </c>
      <c r="J1820" s="163">
        <v>0.33333333333333331</v>
      </c>
      <c r="K1820" s="162" t="s">
        <v>749</v>
      </c>
      <c r="L1820" s="166"/>
      <c r="M1820" s="166"/>
      <c r="N1820" s="164"/>
      <c r="O1820" s="166"/>
      <c r="P1820" s="165"/>
    </row>
    <row r="1821" spans="1:16" ht="15" hidden="1" customHeight="1" x14ac:dyDescent="0.25">
      <c r="A1821" s="168"/>
      <c r="B1821" s="167"/>
      <c r="C1821" s="168"/>
      <c r="D1821" s="167"/>
      <c r="E1821" s="167"/>
      <c r="F1821" s="167"/>
      <c r="G1821" s="167"/>
      <c r="H1821" s="167"/>
      <c r="I1821" s="164">
        <f t="shared" ca="1" si="29"/>
        <v>44939</v>
      </c>
      <c r="J1821" s="163">
        <v>0.33333333333333331</v>
      </c>
      <c r="K1821" s="162" t="s">
        <v>749</v>
      </c>
      <c r="L1821" s="166"/>
      <c r="M1821" s="166"/>
      <c r="N1821" s="164"/>
      <c r="O1821" s="166"/>
      <c r="P1821" s="165"/>
    </row>
    <row r="1822" spans="1:16" ht="15" hidden="1" customHeight="1" x14ac:dyDescent="0.25">
      <c r="A1822" s="168"/>
      <c r="B1822" s="167"/>
      <c r="C1822" s="168"/>
      <c r="D1822" s="167"/>
      <c r="E1822" s="167"/>
      <c r="F1822" s="167"/>
      <c r="G1822" s="167"/>
      <c r="H1822" s="167"/>
      <c r="I1822" s="164">
        <f t="shared" ca="1" si="29"/>
        <v>44939</v>
      </c>
      <c r="J1822" s="163">
        <v>0.33333333333333331</v>
      </c>
      <c r="K1822" s="162" t="s">
        <v>749</v>
      </c>
      <c r="L1822" s="166"/>
      <c r="M1822" s="166"/>
      <c r="N1822" s="164"/>
      <c r="O1822" s="166"/>
      <c r="P1822" s="165"/>
    </row>
    <row r="1823" spans="1:16" ht="15" hidden="1" customHeight="1" x14ac:dyDescent="0.25">
      <c r="A1823" s="168"/>
      <c r="B1823" s="167"/>
      <c r="C1823" s="168"/>
      <c r="D1823" s="167"/>
      <c r="E1823" s="167"/>
      <c r="F1823" s="167"/>
      <c r="G1823" s="167"/>
      <c r="H1823" s="167"/>
      <c r="I1823" s="164">
        <f t="shared" ca="1" si="29"/>
        <v>44939</v>
      </c>
      <c r="J1823" s="163">
        <v>0.33333333333333331</v>
      </c>
      <c r="K1823" s="162" t="s">
        <v>749</v>
      </c>
      <c r="L1823" s="166"/>
      <c r="M1823" s="166"/>
      <c r="N1823" s="164"/>
      <c r="O1823" s="166"/>
      <c r="P1823" s="165"/>
    </row>
    <row r="1824" spans="1:16" ht="15" hidden="1" customHeight="1" x14ac:dyDescent="0.25">
      <c r="A1824" s="168"/>
      <c r="B1824" s="167"/>
      <c r="C1824" s="168"/>
      <c r="D1824" s="167"/>
      <c r="E1824" s="167"/>
      <c r="F1824" s="167"/>
      <c r="G1824" s="167"/>
      <c r="H1824" s="167"/>
      <c r="I1824" s="164">
        <f t="shared" ca="1" si="29"/>
        <v>44939</v>
      </c>
      <c r="J1824" s="163">
        <v>0.33333333333333331</v>
      </c>
      <c r="K1824" s="162" t="s">
        <v>749</v>
      </c>
      <c r="L1824" s="166"/>
      <c r="M1824" s="166"/>
      <c r="N1824" s="164"/>
      <c r="O1824" s="166"/>
      <c r="P1824" s="165"/>
    </row>
    <row r="1825" spans="1:16" ht="15" hidden="1" customHeight="1" x14ac:dyDescent="0.25">
      <c r="A1825" s="168"/>
      <c r="B1825" s="167"/>
      <c r="C1825" s="168"/>
      <c r="D1825" s="167"/>
      <c r="E1825" s="167"/>
      <c r="F1825" s="167"/>
      <c r="G1825" s="167"/>
      <c r="H1825" s="167"/>
      <c r="I1825" s="164">
        <f t="shared" ca="1" si="29"/>
        <v>44939</v>
      </c>
      <c r="J1825" s="163">
        <v>0.33333333333333331</v>
      </c>
      <c r="K1825" s="162" t="s">
        <v>749</v>
      </c>
      <c r="L1825" s="166"/>
      <c r="M1825" s="166"/>
      <c r="N1825" s="164"/>
      <c r="O1825" s="166"/>
      <c r="P1825" s="165"/>
    </row>
    <row r="1826" spans="1:16" ht="15" hidden="1" customHeight="1" x14ac:dyDescent="0.25">
      <c r="A1826" s="168"/>
      <c r="B1826" s="167"/>
      <c r="C1826" s="168"/>
      <c r="D1826" s="167"/>
      <c r="E1826" s="167"/>
      <c r="F1826" s="167"/>
      <c r="G1826" s="167"/>
      <c r="H1826" s="167"/>
      <c r="I1826" s="164">
        <f t="shared" ca="1" si="29"/>
        <v>44939</v>
      </c>
      <c r="J1826" s="163">
        <v>0.33333333333333331</v>
      </c>
      <c r="K1826" s="162" t="s">
        <v>749</v>
      </c>
      <c r="L1826" s="166"/>
      <c r="M1826" s="166"/>
      <c r="N1826" s="164"/>
      <c r="O1826" s="166"/>
      <c r="P1826" s="165"/>
    </row>
    <row r="1827" spans="1:16" ht="15" hidden="1" customHeight="1" x14ac:dyDescent="0.25">
      <c r="A1827" s="168"/>
      <c r="B1827" s="167"/>
      <c r="C1827" s="168"/>
      <c r="D1827" s="167"/>
      <c r="E1827" s="167"/>
      <c r="F1827" s="167"/>
      <c r="G1827" s="167"/>
      <c r="H1827" s="167"/>
      <c r="I1827" s="164">
        <f t="shared" ca="1" si="29"/>
        <v>44939</v>
      </c>
      <c r="J1827" s="163">
        <v>0.33333333333333331</v>
      </c>
      <c r="K1827" s="162" t="s">
        <v>749</v>
      </c>
      <c r="L1827" s="166"/>
      <c r="M1827" s="166"/>
      <c r="N1827" s="164"/>
      <c r="O1827" s="166"/>
      <c r="P1827" s="165"/>
    </row>
    <row r="1828" spans="1:16" ht="15" hidden="1" customHeight="1" x14ac:dyDescent="0.25">
      <c r="A1828" s="168"/>
      <c r="B1828" s="167"/>
      <c r="C1828" s="168"/>
      <c r="D1828" s="167"/>
      <c r="E1828" s="167"/>
      <c r="F1828" s="167"/>
      <c r="G1828" s="167"/>
      <c r="H1828" s="167"/>
      <c r="I1828" s="164">
        <f t="shared" ca="1" si="29"/>
        <v>44939</v>
      </c>
      <c r="J1828" s="163">
        <v>0.33333333333333331</v>
      </c>
      <c r="K1828" s="162" t="s">
        <v>749</v>
      </c>
      <c r="L1828" s="166"/>
      <c r="M1828" s="166"/>
      <c r="N1828" s="164"/>
      <c r="O1828" s="166"/>
      <c r="P1828" s="165"/>
    </row>
    <row r="1829" spans="1:16" ht="15" hidden="1" customHeight="1" x14ac:dyDescent="0.25">
      <c r="A1829" s="168"/>
      <c r="B1829" s="167"/>
      <c r="C1829" s="168"/>
      <c r="D1829" s="167"/>
      <c r="E1829" s="167"/>
      <c r="F1829" s="167"/>
      <c r="G1829" s="167"/>
      <c r="H1829" s="167"/>
      <c r="I1829" s="164">
        <f t="shared" ca="1" si="29"/>
        <v>44939</v>
      </c>
      <c r="J1829" s="163">
        <v>0.33333333333333331</v>
      </c>
      <c r="K1829" s="162" t="s">
        <v>749</v>
      </c>
      <c r="L1829" s="166"/>
      <c r="M1829" s="166"/>
      <c r="N1829" s="164"/>
      <c r="O1829" s="166"/>
      <c r="P1829" s="165"/>
    </row>
    <row r="1830" spans="1:16" ht="15" hidden="1" customHeight="1" x14ac:dyDescent="0.25">
      <c r="A1830" s="168"/>
      <c r="B1830" s="167"/>
      <c r="C1830" s="168"/>
      <c r="D1830" s="167"/>
      <c r="E1830" s="167"/>
      <c r="F1830" s="167"/>
      <c r="G1830" s="167"/>
      <c r="H1830" s="167"/>
      <c r="I1830" s="164">
        <f t="shared" ca="1" si="29"/>
        <v>44939</v>
      </c>
      <c r="J1830" s="163">
        <v>0.33333333333333331</v>
      </c>
      <c r="K1830" s="162" t="s">
        <v>749</v>
      </c>
      <c r="L1830" s="166"/>
      <c r="M1830" s="166"/>
      <c r="N1830" s="164"/>
      <c r="O1830" s="166"/>
      <c r="P1830" s="165"/>
    </row>
    <row r="1831" spans="1:16" ht="15" hidden="1" customHeight="1" x14ac:dyDescent="0.25">
      <c r="A1831" s="168"/>
      <c r="B1831" s="167"/>
      <c r="C1831" s="168"/>
      <c r="D1831" s="167"/>
      <c r="E1831" s="167"/>
      <c r="F1831" s="167"/>
      <c r="G1831" s="167"/>
      <c r="H1831" s="167"/>
      <c r="I1831" s="164">
        <f t="shared" ca="1" si="29"/>
        <v>44939</v>
      </c>
      <c r="J1831" s="163">
        <v>0.33333333333333331</v>
      </c>
      <c r="K1831" s="162" t="s">
        <v>749</v>
      </c>
      <c r="L1831" s="166"/>
      <c r="M1831" s="166"/>
      <c r="N1831" s="164"/>
      <c r="O1831" s="166"/>
      <c r="P1831" s="165"/>
    </row>
    <row r="1832" spans="1:16" ht="15" hidden="1" customHeight="1" x14ac:dyDescent="0.25">
      <c r="A1832" s="168"/>
      <c r="B1832" s="167"/>
      <c r="C1832" s="168"/>
      <c r="D1832" s="167"/>
      <c r="E1832" s="167"/>
      <c r="F1832" s="167"/>
      <c r="G1832" s="167"/>
      <c r="H1832" s="167"/>
      <c r="I1832" s="164">
        <f t="shared" ca="1" si="29"/>
        <v>44939</v>
      </c>
      <c r="J1832" s="163">
        <v>0.33333333333333331</v>
      </c>
      <c r="K1832" s="162" t="s">
        <v>749</v>
      </c>
      <c r="L1832" s="166"/>
      <c r="M1832" s="166"/>
      <c r="N1832" s="164"/>
      <c r="O1832" s="166"/>
      <c r="P1832" s="165"/>
    </row>
    <row r="1833" spans="1:16" ht="15" hidden="1" customHeight="1" x14ac:dyDescent="0.25">
      <c r="A1833" s="168"/>
      <c r="B1833" s="167"/>
      <c r="C1833" s="168"/>
      <c r="D1833" s="167"/>
      <c r="E1833" s="167"/>
      <c r="F1833" s="167"/>
      <c r="G1833" s="167"/>
      <c r="H1833" s="167"/>
      <c r="I1833" s="164">
        <f t="shared" ca="1" si="29"/>
        <v>44939</v>
      </c>
      <c r="J1833" s="163">
        <v>0.33333333333333331</v>
      </c>
      <c r="K1833" s="162" t="s">
        <v>749</v>
      </c>
      <c r="L1833" s="166"/>
      <c r="M1833" s="166"/>
      <c r="N1833" s="164"/>
      <c r="O1833" s="166"/>
      <c r="P1833" s="165"/>
    </row>
    <row r="1834" spans="1:16" ht="15" hidden="1" customHeight="1" x14ac:dyDescent="0.25">
      <c r="A1834" s="168"/>
      <c r="B1834" s="167"/>
      <c r="C1834" s="168"/>
      <c r="D1834" s="167"/>
      <c r="E1834" s="167"/>
      <c r="F1834" s="167"/>
      <c r="G1834" s="167"/>
      <c r="H1834" s="167"/>
      <c r="I1834" s="164">
        <f t="shared" ca="1" si="29"/>
        <v>44939</v>
      </c>
      <c r="J1834" s="163">
        <v>0.33333333333333331</v>
      </c>
      <c r="K1834" s="162" t="s">
        <v>749</v>
      </c>
      <c r="L1834" s="166"/>
      <c r="M1834" s="166"/>
      <c r="N1834" s="164"/>
      <c r="O1834" s="166"/>
      <c r="P1834" s="165"/>
    </row>
    <row r="1835" spans="1:16" ht="15" hidden="1" customHeight="1" x14ac:dyDescent="0.25">
      <c r="A1835" s="168"/>
      <c r="B1835" s="167"/>
      <c r="C1835" s="168"/>
      <c r="D1835" s="167"/>
      <c r="E1835" s="167"/>
      <c r="F1835" s="167"/>
      <c r="G1835" s="167"/>
      <c r="H1835" s="167"/>
      <c r="I1835" s="164">
        <f t="shared" ca="1" si="29"/>
        <v>44939</v>
      </c>
      <c r="J1835" s="163">
        <v>0.33333333333333331</v>
      </c>
      <c r="K1835" s="162" t="s">
        <v>749</v>
      </c>
      <c r="L1835" s="166"/>
      <c r="M1835" s="166"/>
      <c r="N1835" s="164"/>
      <c r="O1835" s="166"/>
      <c r="P1835" s="165"/>
    </row>
    <row r="1836" spans="1:16" ht="15" hidden="1" customHeight="1" x14ac:dyDescent="0.25">
      <c r="A1836" s="168"/>
      <c r="B1836" s="167"/>
      <c r="C1836" s="168"/>
      <c r="D1836" s="167"/>
      <c r="E1836" s="167"/>
      <c r="F1836" s="167"/>
      <c r="G1836" s="167"/>
      <c r="H1836" s="167"/>
      <c r="I1836" s="164">
        <f t="shared" ca="1" si="29"/>
        <v>44939</v>
      </c>
      <c r="J1836" s="163">
        <v>0.33333333333333331</v>
      </c>
      <c r="K1836" s="162" t="s">
        <v>749</v>
      </c>
      <c r="L1836" s="166"/>
      <c r="M1836" s="166"/>
      <c r="N1836" s="164"/>
      <c r="O1836" s="166"/>
      <c r="P1836" s="165"/>
    </row>
    <row r="1837" spans="1:16" ht="15" hidden="1" customHeight="1" x14ac:dyDescent="0.25">
      <c r="A1837" s="168"/>
      <c r="B1837" s="167"/>
      <c r="C1837" s="168"/>
      <c r="D1837" s="167"/>
      <c r="E1837" s="167"/>
      <c r="F1837" s="167"/>
      <c r="G1837" s="167"/>
      <c r="H1837" s="167"/>
      <c r="I1837" s="164">
        <f t="shared" ca="1" si="29"/>
        <v>44939</v>
      </c>
      <c r="J1837" s="163">
        <v>0.33333333333333331</v>
      </c>
      <c r="K1837" s="162" t="s">
        <v>749</v>
      </c>
      <c r="L1837" s="166"/>
      <c r="M1837" s="166"/>
      <c r="N1837" s="164"/>
      <c r="O1837" s="166"/>
      <c r="P1837" s="165"/>
    </row>
    <row r="1838" spans="1:16" ht="15" hidden="1" customHeight="1" x14ac:dyDescent="0.25">
      <c r="A1838" s="168"/>
      <c r="B1838" s="167"/>
      <c r="C1838" s="168"/>
      <c r="D1838" s="167"/>
      <c r="E1838" s="167"/>
      <c r="F1838" s="167"/>
      <c r="G1838" s="167"/>
      <c r="H1838" s="167"/>
      <c r="I1838" s="164">
        <f t="shared" ca="1" si="29"/>
        <v>44939</v>
      </c>
      <c r="J1838" s="163">
        <v>0.33333333333333331</v>
      </c>
      <c r="K1838" s="162" t="s">
        <v>749</v>
      </c>
      <c r="L1838" s="166"/>
      <c r="M1838" s="166"/>
      <c r="N1838" s="164"/>
      <c r="O1838" s="166"/>
      <c r="P1838" s="165"/>
    </row>
    <row r="1839" spans="1:16" ht="15" hidden="1" customHeight="1" x14ac:dyDescent="0.25">
      <c r="A1839" s="168"/>
      <c r="B1839" s="167"/>
      <c r="C1839" s="168"/>
      <c r="D1839" s="167"/>
      <c r="E1839" s="167"/>
      <c r="F1839" s="167"/>
      <c r="G1839" s="167"/>
      <c r="H1839" s="167"/>
      <c r="I1839" s="164">
        <f t="shared" ca="1" si="29"/>
        <v>44939</v>
      </c>
      <c r="J1839" s="163">
        <v>0.33333333333333331</v>
      </c>
      <c r="K1839" s="162" t="s">
        <v>749</v>
      </c>
      <c r="L1839" s="166"/>
      <c r="M1839" s="166"/>
      <c r="N1839" s="164"/>
      <c r="O1839" s="166"/>
      <c r="P1839" s="165"/>
    </row>
    <row r="1840" spans="1:16" ht="15" hidden="1" customHeight="1" x14ac:dyDescent="0.25">
      <c r="A1840" s="168"/>
      <c r="B1840" s="167"/>
      <c r="C1840" s="168"/>
      <c r="D1840" s="167"/>
      <c r="E1840" s="167"/>
      <c r="F1840" s="167"/>
      <c r="G1840" s="167"/>
      <c r="H1840" s="167"/>
      <c r="I1840" s="164">
        <f t="shared" ca="1" si="29"/>
        <v>44939</v>
      </c>
      <c r="J1840" s="163">
        <v>0.33333333333333331</v>
      </c>
      <c r="K1840" s="162" t="s">
        <v>749</v>
      </c>
      <c r="L1840" s="166"/>
      <c r="M1840" s="166"/>
      <c r="N1840" s="164"/>
      <c r="O1840" s="166"/>
      <c r="P1840" s="165"/>
    </row>
    <row r="1841" spans="1:16" ht="15" hidden="1" customHeight="1" x14ac:dyDescent="0.25">
      <c r="A1841" s="168"/>
      <c r="B1841" s="167"/>
      <c r="C1841" s="168"/>
      <c r="D1841" s="167"/>
      <c r="E1841" s="167"/>
      <c r="F1841" s="167"/>
      <c r="G1841" s="167"/>
      <c r="H1841" s="167"/>
      <c r="I1841" s="164">
        <f t="shared" ca="1" si="29"/>
        <v>44939</v>
      </c>
      <c r="J1841" s="163">
        <v>0.33333333333333331</v>
      </c>
      <c r="K1841" s="162" t="s">
        <v>749</v>
      </c>
      <c r="L1841" s="166"/>
      <c r="M1841" s="166"/>
      <c r="N1841" s="164"/>
      <c r="O1841" s="166"/>
      <c r="P1841" s="165"/>
    </row>
    <row r="1842" spans="1:16" ht="15" hidden="1" customHeight="1" x14ac:dyDescent="0.25">
      <c r="A1842" s="168"/>
      <c r="B1842" s="167"/>
      <c r="C1842" s="168"/>
      <c r="D1842" s="167"/>
      <c r="E1842" s="167"/>
      <c r="F1842" s="167"/>
      <c r="G1842" s="167"/>
      <c r="H1842" s="167"/>
      <c r="I1842" s="164">
        <f t="shared" ca="1" si="29"/>
        <v>44939</v>
      </c>
      <c r="J1842" s="163">
        <v>0.33333333333333331</v>
      </c>
      <c r="K1842" s="162" t="s">
        <v>749</v>
      </c>
      <c r="L1842" s="166"/>
      <c r="M1842" s="166"/>
      <c r="N1842" s="164"/>
      <c r="O1842" s="166"/>
      <c r="P1842" s="165"/>
    </row>
    <row r="1843" spans="1:16" ht="15" hidden="1" customHeight="1" x14ac:dyDescent="0.25">
      <c r="A1843" s="168"/>
      <c r="B1843" s="167"/>
      <c r="C1843" s="168"/>
      <c r="D1843" s="167"/>
      <c r="E1843" s="167"/>
      <c r="F1843" s="167"/>
      <c r="G1843" s="167"/>
      <c r="H1843" s="167"/>
      <c r="I1843" s="164">
        <f t="shared" ca="1" si="29"/>
        <v>44939</v>
      </c>
      <c r="J1843" s="163">
        <v>0.33333333333333331</v>
      </c>
      <c r="K1843" s="162" t="s">
        <v>749</v>
      </c>
      <c r="L1843" s="166"/>
      <c r="M1843" s="166"/>
      <c r="N1843" s="164"/>
      <c r="O1843" s="166"/>
      <c r="P1843" s="165"/>
    </row>
    <row r="1844" spans="1:16" ht="15" hidden="1" customHeight="1" x14ac:dyDescent="0.25">
      <c r="A1844" s="168"/>
      <c r="B1844" s="167"/>
      <c r="C1844" s="168"/>
      <c r="D1844" s="167"/>
      <c r="E1844" s="167"/>
      <c r="F1844" s="167"/>
      <c r="G1844" s="167"/>
      <c r="H1844" s="167"/>
      <c r="I1844" s="164">
        <f t="shared" ca="1" si="29"/>
        <v>44939</v>
      </c>
      <c r="J1844" s="163">
        <v>0.33333333333333331</v>
      </c>
      <c r="K1844" s="162" t="s">
        <v>749</v>
      </c>
      <c r="L1844" s="166"/>
      <c r="M1844" s="166"/>
      <c r="N1844" s="164"/>
      <c r="O1844" s="166"/>
      <c r="P1844" s="165"/>
    </row>
    <row r="1845" spans="1:16" ht="15" hidden="1" customHeight="1" x14ac:dyDescent="0.25">
      <c r="A1845" s="168"/>
      <c r="B1845" s="167"/>
      <c r="C1845" s="168"/>
      <c r="D1845" s="167"/>
      <c r="E1845" s="167"/>
      <c r="F1845" s="167"/>
      <c r="G1845" s="167"/>
      <c r="H1845" s="167"/>
      <c r="I1845" s="164">
        <f t="shared" ca="1" si="29"/>
        <v>44939</v>
      </c>
      <c r="J1845" s="163">
        <v>0.33333333333333331</v>
      </c>
      <c r="K1845" s="162" t="s">
        <v>749</v>
      </c>
      <c r="L1845" s="166"/>
      <c r="M1845" s="166"/>
      <c r="N1845" s="164"/>
      <c r="O1845" s="166"/>
      <c r="P1845" s="165"/>
    </row>
    <row r="1846" spans="1:16" ht="15" hidden="1" customHeight="1" x14ac:dyDescent="0.25">
      <c r="A1846" s="168"/>
      <c r="B1846" s="167"/>
      <c r="C1846" s="168"/>
      <c r="D1846" s="167"/>
      <c r="E1846" s="167"/>
      <c r="F1846" s="167"/>
      <c r="G1846" s="167"/>
      <c r="H1846" s="167"/>
      <c r="I1846" s="164">
        <f t="shared" ca="1" si="29"/>
        <v>44939</v>
      </c>
      <c r="J1846" s="163">
        <v>0.33333333333333331</v>
      </c>
      <c r="K1846" s="162" t="s">
        <v>749</v>
      </c>
      <c r="L1846" s="166"/>
      <c r="M1846" s="166"/>
      <c r="N1846" s="164"/>
      <c r="O1846" s="166"/>
      <c r="P1846" s="165"/>
    </row>
    <row r="1847" spans="1:16" ht="15" hidden="1" customHeight="1" x14ac:dyDescent="0.25">
      <c r="A1847" s="168"/>
      <c r="B1847" s="167"/>
      <c r="C1847" s="168"/>
      <c r="D1847" s="167"/>
      <c r="E1847" s="167"/>
      <c r="F1847" s="167"/>
      <c r="G1847" s="167"/>
      <c r="H1847" s="167"/>
      <c r="I1847" s="164">
        <f t="shared" ca="1" si="29"/>
        <v>44939</v>
      </c>
      <c r="J1847" s="163">
        <v>0.33333333333333331</v>
      </c>
      <c r="K1847" s="162" t="s">
        <v>749</v>
      </c>
      <c r="L1847" s="166"/>
      <c r="M1847" s="166"/>
      <c r="N1847" s="164"/>
      <c r="O1847" s="166"/>
      <c r="P1847" s="165"/>
    </row>
    <row r="1848" spans="1:16" ht="15" hidden="1" customHeight="1" x14ac:dyDescent="0.25">
      <c r="A1848" s="168"/>
      <c r="B1848" s="167"/>
      <c r="C1848" s="168"/>
      <c r="D1848" s="167"/>
      <c r="E1848" s="167"/>
      <c r="F1848" s="167"/>
      <c r="G1848" s="167"/>
      <c r="H1848" s="167"/>
      <c r="I1848" s="164">
        <f t="shared" ca="1" si="29"/>
        <v>44939</v>
      </c>
      <c r="J1848" s="163">
        <v>0.33333333333333331</v>
      </c>
      <c r="K1848" s="162" t="s">
        <v>749</v>
      </c>
      <c r="L1848" s="166"/>
      <c r="M1848" s="166"/>
      <c r="N1848" s="164"/>
      <c r="O1848" s="166"/>
      <c r="P1848" s="165"/>
    </row>
    <row r="1849" spans="1:16" ht="15" hidden="1" customHeight="1" x14ac:dyDescent="0.25">
      <c r="A1849" s="168"/>
      <c r="B1849" s="167"/>
      <c r="C1849" s="168"/>
      <c r="D1849" s="167"/>
      <c r="E1849" s="167"/>
      <c r="F1849" s="167"/>
      <c r="G1849" s="167"/>
      <c r="H1849" s="167"/>
      <c r="I1849" s="164">
        <f t="shared" ca="1" si="29"/>
        <v>44939</v>
      </c>
      <c r="J1849" s="163">
        <v>0.33333333333333331</v>
      </c>
      <c r="K1849" s="162" t="s">
        <v>749</v>
      </c>
      <c r="L1849" s="166"/>
      <c r="M1849" s="166"/>
      <c r="N1849" s="164"/>
      <c r="O1849" s="166"/>
      <c r="P1849" s="165"/>
    </row>
    <row r="1850" spans="1:16" ht="15" hidden="1" customHeight="1" x14ac:dyDescent="0.25">
      <c r="A1850" s="168"/>
      <c r="B1850" s="167"/>
      <c r="C1850" s="168"/>
      <c r="D1850" s="167"/>
      <c r="E1850" s="167"/>
      <c r="F1850" s="167"/>
      <c r="G1850" s="167"/>
      <c r="H1850" s="167"/>
      <c r="I1850" s="164">
        <f t="shared" ca="1" si="29"/>
        <v>44939</v>
      </c>
      <c r="J1850" s="163">
        <v>0.33333333333333331</v>
      </c>
      <c r="K1850" s="162" t="s">
        <v>749</v>
      </c>
      <c r="L1850" s="166"/>
      <c r="M1850" s="166"/>
      <c r="N1850" s="164"/>
      <c r="O1850" s="166"/>
      <c r="P1850" s="165"/>
    </row>
    <row r="1851" spans="1:16" ht="15" hidden="1" customHeight="1" x14ac:dyDescent="0.25">
      <c r="A1851" s="168"/>
      <c r="B1851" s="167"/>
      <c r="C1851" s="168"/>
      <c r="D1851" s="167"/>
      <c r="E1851" s="167"/>
      <c r="F1851" s="167"/>
      <c r="G1851" s="167"/>
      <c r="H1851" s="167"/>
      <c r="I1851" s="164">
        <f t="shared" ca="1" si="29"/>
        <v>44939</v>
      </c>
      <c r="J1851" s="163">
        <v>0.33333333333333331</v>
      </c>
      <c r="K1851" s="162" t="s">
        <v>749</v>
      </c>
      <c r="L1851" s="166"/>
      <c r="M1851" s="166"/>
      <c r="N1851" s="164"/>
      <c r="O1851" s="166"/>
      <c r="P1851" s="165"/>
    </row>
    <row r="1852" spans="1:16" ht="15" hidden="1" customHeight="1" x14ac:dyDescent="0.25">
      <c r="A1852" s="168"/>
      <c r="B1852" s="167"/>
      <c r="C1852" s="168"/>
      <c r="D1852" s="167"/>
      <c r="E1852" s="167"/>
      <c r="F1852" s="167"/>
      <c r="G1852" s="167"/>
      <c r="H1852" s="167"/>
      <c r="I1852" s="164">
        <f t="shared" ca="1" si="29"/>
        <v>44939</v>
      </c>
      <c r="J1852" s="163">
        <v>0.33333333333333331</v>
      </c>
      <c r="K1852" s="162" t="s">
        <v>749</v>
      </c>
      <c r="L1852" s="166"/>
      <c r="M1852" s="166"/>
      <c r="N1852" s="164"/>
      <c r="O1852" s="166"/>
      <c r="P1852" s="165"/>
    </row>
    <row r="1853" spans="1:16" ht="15" hidden="1" customHeight="1" x14ac:dyDescent="0.25">
      <c r="A1853" s="168"/>
      <c r="B1853" s="167"/>
      <c r="C1853" s="168"/>
      <c r="D1853" s="167"/>
      <c r="E1853" s="167"/>
      <c r="F1853" s="167"/>
      <c r="G1853" s="167"/>
      <c r="H1853" s="167"/>
      <c r="I1853" s="164">
        <f t="shared" ca="1" si="29"/>
        <v>44939</v>
      </c>
      <c r="J1853" s="163">
        <v>0.33333333333333331</v>
      </c>
      <c r="K1853" s="162" t="s">
        <v>749</v>
      </c>
      <c r="L1853" s="166"/>
      <c r="M1853" s="166"/>
      <c r="N1853" s="164"/>
      <c r="O1853" s="166"/>
      <c r="P1853" s="165"/>
    </row>
    <row r="1854" spans="1:16" ht="15" hidden="1" customHeight="1" x14ac:dyDescent="0.25">
      <c r="A1854" s="168"/>
      <c r="B1854" s="167"/>
      <c r="C1854" s="168"/>
      <c r="D1854" s="167"/>
      <c r="E1854" s="167"/>
      <c r="F1854" s="167"/>
      <c r="G1854" s="167"/>
      <c r="H1854" s="167"/>
      <c r="I1854" s="164">
        <f t="shared" ca="1" si="29"/>
        <v>44939</v>
      </c>
      <c r="J1854" s="163">
        <v>0.33333333333333331</v>
      </c>
      <c r="K1854" s="162" t="s">
        <v>749</v>
      </c>
      <c r="L1854" s="166"/>
      <c r="M1854" s="166"/>
      <c r="N1854" s="164"/>
      <c r="O1854" s="166"/>
      <c r="P1854" s="165"/>
    </row>
    <row r="1855" spans="1:16" ht="15" hidden="1" customHeight="1" x14ac:dyDescent="0.25">
      <c r="A1855" s="168"/>
      <c r="B1855" s="167"/>
      <c r="C1855" s="168"/>
      <c r="D1855" s="167"/>
      <c r="E1855" s="167"/>
      <c r="F1855" s="167"/>
      <c r="G1855" s="167"/>
      <c r="H1855" s="167"/>
      <c r="I1855" s="164">
        <f t="shared" ca="1" si="29"/>
        <v>44939</v>
      </c>
      <c r="J1855" s="163">
        <v>0.33333333333333331</v>
      </c>
      <c r="K1855" s="162" t="s">
        <v>749</v>
      </c>
      <c r="L1855" s="166"/>
      <c r="M1855" s="166"/>
      <c r="N1855" s="164"/>
      <c r="O1855" s="166"/>
      <c r="P1855" s="165"/>
    </row>
    <row r="1856" spans="1:16" ht="15" hidden="1" customHeight="1" x14ac:dyDescent="0.25">
      <c r="A1856" s="168"/>
      <c r="B1856" s="167"/>
      <c r="C1856" s="168"/>
      <c r="D1856" s="167"/>
      <c r="E1856" s="167"/>
      <c r="F1856" s="167"/>
      <c r="G1856" s="167"/>
      <c r="H1856" s="167"/>
      <c r="I1856" s="164">
        <f t="shared" ca="1" si="29"/>
        <v>44939</v>
      </c>
      <c r="J1856" s="163">
        <v>0.33333333333333331</v>
      </c>
      <c r="K1856" s="162" t="s">
        <v>749</v>
      </c>
      <c r="L1856" s="166"/>
      <c r="M1856" s="166"/>
      <c r="N1856" s="164"/>
      <c r="O1856" s="166"/>
      <c r="P1856" s="165"/>
    </row>
    <row r="1857" spans="1:16" ht="15" hidden="1" customHeight="1" x14ac:dyDescent="0.25">
      <c r="A1857" s="168"/>
      <c r="B1857" s="167"/>
      <c r="C1857" s="168"/>
      <c r="D1857" s="167"/>
      <c r="E1857" s="167"/>
      <c r="F1857" s="167"/>
      <c r="G1857" s="167"/>
      <c r="H1857" s="167"/>
      <c r="I1857" s="164">
        <f t="shared" ca="1" si="29"/>
        <v>44939</v>
      </c>
      <c r="J1857" s="163">
        <v>0.33333333333333331</v>
      </c>
      <c r="K1857" s="162" t="s">
        <v>749</v>
      </c>
      <c r="L1857" s="166"/>
      <c r="M1857" s="166"/>
      <c r="N1857" s="164"/>
      <c r="O1857" s="166"/>
      <c r="P1857" s="165"/>
    </row>
    <row r="1858" spans="1:16" ht="15" hidden="1" customHeight="1" x14ac:dyDescent="0.25">
      <c r="A1858" s="168"/>
      <c r="B1858" s="167"/>
      <c r="C1858" s="168"/>
      <c r="D1858" s="167"/>
      <c r="E1858" s="167"/>
      <c r="F1858" s="167"/>
      <c r="G1858" s="167"/>
      <c r="H1858" s="167"/>
      <c r="I1858" s="164">
        <f t="shared" ca="1" si="29"/>
        <v>44939</v>
      </c>
      <c r="J1858" s="163">
        <v>0.33333333333333331</v>
      </c>
      <c r="K1858" s="162" t="s">
        <v>749</v>
      </c>
      <c r="L1858" s="166"/>
      <c r="M1858" s="166"/>
      <c r="N1858" s="164"/>
      <c r="O1858" s="166"/>
      <c r="P1858" s="165"/>
    </row>
    <row r="1859" spans="1:16" ht="15" hidden="1" customHeight="1" x14ac:dyDescent="0.25">
      <c r="A1859" s="168"/>
      <c r="B1859" s="167"/>
      <c r="C1859" s="168"/>
      <c r="D1859" s="167"/>
      <c r="E1859" s="167"/>
      <c r="F1859" s="167"/>
      <c r="G1859" s="167"/>
      <c r="H1859" s="167"/>
      <c r="I1859" s="164">
        <f t="shared" ca="1" si="29"/>
        <v>44939</v>
      </c>
      <c r="J1859" s="163">
        <v>0.33333333333333331</v>
      </c>
      <c r="K1859" s="162" t="s">
        <v>749</v>
      </c>
      <c r="L1859" s="166"/>
      <c r="M1859" s="166"/>
      <c r="N1859" s="164"/>
      <c r="O1859" s="166"/>
      <c r="P1859" s="165"/>
    </row>
    <row r="1860" spans="1:16" ht="15" hidden="1" customHeight="1" x14ac:dyDescent="0.25">
      <c r="A1860" s="168"/>
      <c r="B1860" s="167"/>
      <c r="C1860" s="168"/>
      <c r="D1860" s="167"/>
      <c r="E1860" s="167"/>
      <c r="F1860" s="167"/>
      <c r="G1860" s="167"/>
      <c r="H1860" s="167"/>
      <c r="I1860" s="164">
        <f t="shared" ca="1" si="29"/>
        <v>44939</v>
      </c>
      <c r="J1860" s="163">
        <v>0.33333333333333331</v>
      </c>
      <c r="K1860" s="162" t="s">
        <v>749</v>
      </c>
      <c r="L1860" s="166"/>
      <c r="M1860" s="166"/>
      <c r="N1860" s="164"/>
      <c r="O1860" s="166"/>
      <c r="P1860" s="165"/>
    </row>
    <row r="1861" spans="1:16" ht="15" hidden="1" customHeight="1" x14ac:dyDescent="0.25">
      <c r="A1861" s="168"/>
      <c r="B1861" s="167"/>
      <c r="C1861" s="168"/>
      <c r="D1861" s="167"/>
      <c r="E1861" s="167"/>
      <c r="F1861" s="167"/>
      <c r="G1861" s="167"/>
      <c r="H1861" s="167"/>
      <c r="I1861" s="164">
        <f t="shared" ca="1" si="29"/>
        <v>44939</v>
      </c>
      <c r="J1861" s="163">
        <v>0.33333333333333331</v>
      </c>
      <c r="K1861" s="162" t="s">
        <v>749</v>
      </c>
      <c r="L1861" s="166"/>
      <c r="M1861" s="166"/>
      <c r="N1861" s="164"/>
      <c r="O1861" s="166"/>
      <c r="P1861" s="165"/>
    </row>
    <row r="1862" spans="1:16" ht="15" hidden="1" customHeight="1" x14ac:dyDescent="0.25">
      <c r="A1862" s="168"/>
      <c r="B1862" s="167"/>
      <c r="C1862" s="168"/>
      <c r="D1862" s="167"/>
      <c r="E1862" s="167"/>
      <c r="F1862" s="167"/>
      <c r="G1862" s="167"/>
      <c r="H1862" s="167"/>
      <c r="I1862" s="164">
        <f t="shared" ca="1" si="29"/>
        <v>44939</v>
      </c>
      <c r="J1862" s="163">
        <v>0.33333333333333331</v>
      </c>
      <c r="K1862" s="162" t="s">
        <v>749</v>
      </c>
      <c r="L1862" s="166"/>
      <c r="M1862" s="166"/>
      <c r="N1862" s="164"/>
      <c r="O1862" s="166"/>
      <c r="P1862" s="165"/>
    </row>
    <row r="1863" spans="1:16" ht="15" hidden="1" customHeight="1" x14ac:dyDescent="0.25">
      <c r="A1863" s="168"/>
      <c r="B1863" s="167"/>
      <c r="C1863" s="168"/>
      <c r="D1863" s="167"/>
      <c r="E1863" s="167"/>
      <c r="F1863" s="167"/>
      <c r="G1863" s="167"/>
      <c r="H1863" s="167"/>
      <c r="I1863" s="164">
        <f t="shared" ca="1" si="29"/>
        <v>44939</v>
      </c>
      <c r="J1863" s="163">
        <v>0.33333333333333331</v>
      </c>
      <c r="K1863" s="162" t="s">
        <v>749</v>
      </c>
      <c r="L1863" s="166"/>
      <c r="M1863" s="166"/>
      <c r="N1863" s="164"/>
      <c r="O1863" s="166"/>
      <c r="P1863" s="165"/>
    </row>
    <row r="1864" spans="1:16" ht="15" hidden="1" customHeight="1" x14ac:dyDescent="0.25">
      <c r="A1864" s="168"/>
      <c r="B1864" s="167"/>
      <c r="C1864" s="168"/>
      <c r="D1864" s="167"/>
      <c r="E1864" s="167"/>
      <c r="F1864" s="167"/>
      <c r="G1864" s="167"/>
      <c r="H1864" s="167"/>
      <c r="I1864" s="164">
        <f t="shared" ca="1" si="29"/>
        <v>44939</v>
      </c>
      <c r="J1864" s="163">
        <v>0.33333333333333331</v>
      </c>
      <c r="K1864" s="162" t="s">
        <v>749</v>
      </c>
      <c r="L1864" s="166"/>
      <c r="M1864" s="166"/>
      <c r="N1864" s="164"/>
      <c r="O1864" s="166"/>
      <c r="P1864" s="165"/>
    </row>
    <row r="1865" spans="1:16" ht="15" hidden="1" customHeight="1" x14ac:dyDescent="0.25">
      <c r="A1865" s="168"/>
      <c r="B1865" s="167"/>
      <c r="C1865" s="168"/>
      <c r="D1865" s="167"/>
      <c r="E1865" s="167"/>
      <c r="F1865" s="167"/>
      <c r="G1865" s="167"/>
      <c r="H1865" s="167"/>
      <c r="I1865" s="164">
        <f t="shared" ca="1" si="29"/>
        <v>44939</v>
      </c>
      <c r="J1865" s="163">
        <v>0.33333333333333331</v>
      </c>
      <c r="K1865" s="162" t="s">
        <v>749</v>
      </c>
      <c r="L1865" s="166"/>
      <c r="M1865" s="166"/>
      <c r="N1865" s="164"/>
      <c r="O1865" s="166"/>
      <c r="P1865" s="165"/>
    </row>
    <row r="1866" spans="1:16" ht="15" hidden="1" customHeight="1" x14ac:dyDescent="0.25">
      <c r="A1866" s="168"/>
      <c r="B1866" s="167"/>
      <c r="C1866" s="168"/>
      <c r="D1866" s="167"/>
      <c r="E1866" s="167"/>
      <c r="F1866" s="167"/>
      <c r="G1866" s="167"/>
      <c r="H1866" s="167"/>
      <c r="I1866" s="164">
        <f t="shared" ca="1" si="29"/>
        <v>44939</v>
      </c>
      <c r="J1866" s="163">
        <v>0.33333333333333331</v>
      </c>
      <c r="K1866" s="162" t="s">
        <v>749</v>
      </c>
      <c r="L1866" s="166"/>
      <c r="M1866" s="166"/>
      <c r="N1866" s="164"/>
      <c r="O1866" s="166"/>
      <c r="P1866" s="165"/>
    </row>
    <row r="1867" spans="1:16" ht="15" hidden="1" customHeight="1" x14ac:dyDescent="0.25">
      <c r="A1867" s="168"/>
      <c r="B1867" s="167"/>
      <c r="C1867" s="168"/>
      <c r="D1867" s="167"/>
      <c r="E1867" s="167"/>
      <c r="F1867" s="167"/>
      <c r="G1867" s="167"/>
      <c r="H1867" s="167"/>
      <c r="I1867" s="164">
        <f t="shared" ca="1" si="29"/>
        <v>44939</v>
      </c>
      <c r="J1867" s="163">
        <v>0.33333333333333331</v>
      </c>
      <c r="K1867" s="162" t="s">
        <v>749</v>
      </c>
      <c r="L1867" s="166"/>
      <c r="M1867" s="166"/>
      <c r="N1867" s="164"/>
      <c r="O1867" s="166"/>
      <c r="P1867" s="165"/>
    </row>
    <row r="1868" spans="1:16" ht="15" hidden="1" customHeight="1" x14ac:dyDescent="0.25">
      <c r="A1868" s="168"/>
      <c r="B1868" s="167"/>
      <c r="C1868" s="168"/>
      <c r="D1868" s="167"/>
      <c r="E1868" s="167"/>
      <c r="F1868" s="167"/>
      <c r="G1868" s="167"/>
      <c r="H1868" s="167"/>
      <c r="I1868" s="164">
        <f t="shared" ca="1" si="29"/>
        <v>44939</v>
      </c>
      <c r="J1868" s="163">
        <v>0.33333333333333331</v>
      </c>
      <c r="K1868" s="162" t="s">
        <v>749</v>
      </c>
      <c r="L1868" s="166"/>
      <c r="M1868" s="166"/>
      <c r="N1868" s="164"/>
      <c r="O1868" s="166"/>
      <c r="P1868" s="165"/>
    </row>
    <row r="1869" spans="1:16" ht="15" hidden="1" customHeight="1" x14ac:dyDescent="0.25">
      <c r="A1869" s="168"/>
      <c r="B1869" s="167"/>
      <c r="C1869" s="168"/>
      <c r="D1869" s="167"/>
      <c r="E1869" s="167"/>
      <c r="F1869" s="167"/>
      <c r="G1869" s="167"/>
      <c r="H1869" s="167"/>
      <c r="I1869" s="164">
        <f t="shared" ca="1" si="29"/>
        <v>44939</v>
      </c>
      <c r="J1869" s="163">
        <v>0.33333333333333331</v>
      </c>
      <c r="K1869" s="162" t="s">
        <v>749</v>
      </c>
      <c r="L1869" s="166"/>
      <c r="M1869" s="166"/>
      <c r="N1869" s="164"/>
      <c r="O1869" s="166"/>
      <c r="P1869" s="165"/>
    </row>
    <row r="1870" spans="1:16" ht="15" hidden="1" customHeight="1" x14ac:dyDescent="0.25">
      <c r="A1870" s="168"/>
      <c r="B1870" s="167"/>
      <c r="C1870" s="168"/>
      <c r="D1870" s="167"/>
      <c r="E1870" s="167"/>
      <c r="F1870" s="167"/>
      <c r="G1870" s="167"/>
      <c r="H1870" s="167"/>
      <c r="I1870" s="164">
        <f t="shared" ca="1" si="29"/>
        <v>44939</v>
      </c>
      <c r="J1870" s="163">
        <v>0.33333333333333331</v>
      </c>
      <c r="K1870" s="162" t="s">
        <v>749</v>
      </c>
      <c r="L1870" s="166"/>
      <c r="M1870" s="166"/>
      <c r="N1870" s="164"/>
      <c r="O1870" s="166"/>
      <c r="P1870" s="165"/>
    </row>
    <row r="1871" spans="1:16" ht="15" hidden="1" customHeight="1" x14ac:dyDescent="0.25">
      <c r="A1871" s="168"/>
      <c r="B1871" s="167"/>
      <c r="C1871" s="168"/>
      <c r="D1871" s="167"/>
      <c r="E1871" s="167"/>
      <c r="F1871" s="167"/>
      <c r="G1871" s="167"/>
      <c r="H1871" s="167"/>
      <c r="I1871" s="164">
        <f t="shared" ca="1" si="29"/>
        <v>44939</v>
      </c>
      <c r="J1871" s="163">
        <v>0.33333333333333331</v>
      </c>
      <c r="K1871" s="162" t="s">
        <v>749</v>
      </c>
      <c r="L1871" s="166"/>
      <c r="M1871" s="166"/>
      <c r="N1871" s="164"/>
      <c r="O1871" s="166"/>
      <c r="P1871" s="165"/>
    </row>
    <row r="1872" spans="1:16" ht="15" hidden="1" customHeight="1" x14ac:dyDescent="0.25">
      <c r="A1872" s="168"/>
      <c r="B1872" s="167"/>
      <c r="C1872" s="168"/>
      <c r="D1872" s="167"/>
      <c r="E1872" s="167"/>
      <c r="F1872" s="167"/>
      <c r="G1872" s="167"/>
      <c r="H1872" s="167"/>
      <c r="I1872" s="164">
        <f t="shared" ca="1" si="29"/>
        <v>44939</v>
      </c>
      <c r="J1872" s="163">
        <v>0.33333333333333331</v>
      </c>
      <c r="K1872" s="162" t="s">
        <v>749</v>
      </c>
      <c r="L1872" s="166"/>
      <c r="M1872" s="166"/>
      <c r="N1872" s="164"/>
      <c r="O1872" s="166"/>
      <c r="P1872" s="165"/>
    </row>
    <row r="1873" spans="1:16" ht="15" hidden="1" customHeight="1" x14ac:dyDescent="0.25">
      <c r="A1873" s="168"/>
      <c r="B1873" s="167"/>
      <c r="C1873" s="168"/>
      <c r="D1873" s="167"/>
      <c r="E1873" s="167"/>
      <c r="F1873" s="167"/>
      <c r="G1873" s="167"/>
      <c r="H1873" s="167"/>
      <c r="I1873" s="164">
        <f t="shared" ca="1" si="29"/>
        <v>44939</v>
      </c>
      <c r="J1873" s="163">
        <v>0.33333333333333331</v>
      </c>
      <c r="K1873" s="162" t="s">
        <v>749</v>
      </c>
      <c r="L1873" s="166"/>
      <c r="M1873" s="166"/>
      <c r="N1873" s="164"/>
      <c r="O1873" s="166"/>
      <c r="P1873" s="165"/>
    </row>
    <row r="1874" spans="1:16" ht="15" hidden="1" customHeight="1" x14ac:dyDescent="0.25">
      <c r="A1874" s="168"/>
      <c r="B1874" s="167"/>
      <c r="C1874" s="168"/>
      <c r="D1874" s="167"/>
      <c r="E1874" s="167"/>
      <c r="F1874" s="167"/>
      <c r="G1874" s="167"/>
      <c r="H1874" s="167"/>
      <c r="I1874" s="164">
        <f t="shared" ca="1" si="29"/>
        <v>44939</v>
      </c>
      <c r="J1874" s="163">
        <v>0.33333333333333331</v>
      </c>
      <c r="K1874" s="162" t="s">
        <v>749</v>
      </c>
      <c r="L1874" s="166"/>
      <c r="M1874" s="166"/>
      <c r="N1874" s="164"/>
      <c r="O1874" s="166"/>
      <c r="P1874" s="165"/>
    </row>
    <row r="1875" spans="1:16" ht="15" hidden="1" customHeight="1" x14ac:dyDescent="0.25">
      <c r="A1875" s="168"/>
      <c r="B1875" s="167"/>
      <c r="C1875" s="168"/>
      <c r="D1875" s="167"/>
      <c r="E1875" s="167"/>
      <c r="F1875" s="167"/>
      <c r="G1875" s="167"/>
      <c r="H1875" s="167"/>
      <c r="I1875" s="164">
        <f t="shared" ca="1" si="29"/>
        <v>44939</v>
      </c>
      <c r="J1875" s="163">
        <v>0.33333333333333331</v>
      </c>
      <c r="K1875" s="162" t="s">
        <v>749</v>
      </c>
      <c r="L1875" s="166"/>
      <c r="M1875" s="166"/>
      <c r="N1875" s="164"/>
      <c r="O1875" s="166"/>
      <c r="P1875" s="165"/>
    </row>
    <row r="1876" spans="1:16" ht="15" hidden="1" customHeight="1" x14ac:dyDescent="0.25">
      <c r="A1876" s="168"/>
      <c r="B1876" s="167"/>
      <c r="C1876" s="168"/>
      <c r="D1876" s="167"/>
      <c r="E1876" s="167"/>
      <c r="F1876" s="167"/>
      <c r="G1876" s="167"/>
      <c r="H1876" s="167"/>
      <c r="I1876" s="164">
        <f t="shared" ca="1" si="29"/>
        <v>44939</v>
      </c>
      <c r="J1876" s="163">
        <v>0.33333333333333331</v>
      </c>
      <c r="K1876" s="162" t="s">
        <v>749</v>
      </c>
      <c r="L1876" s="166"/>
      <c r="M1876" s="166"/>
      <c r="N1876" s="164"/>
      <c r="O1876" s="166"/>
      <c r="P1876" s="165"/>
    </row>
    <row r="1877" spans="1:16" ht="15" hidden="1" customHeight="1" x14ac:dyDescent="0.25">
      <c r="A1877" s="168"/>
      <c r="B1877" s="167"/>
      <c r="C1877" s="168"/>
      <c r="D1877" s="167"/>
      <c r="E1877" s="167"/>
      <c r="F1877" s="167"/>
      <c r="G1877" s="167"/>
      <c r="H1877" s="167"/>
      <c r="I1877" s="164">
        <f t="shared" ca="1" si="29"/>
        <v>44939</v>
      </c>
      <c r="J1877" s="163">
        <v>0.33333333333333331</v>
      </c>
      <c r="K1877" s="162" t="s">
        <v>749</v>
      </c>
      <c r="L1877" s="166"/>
      <c r="M1877" s="166"/>
      <c r="N1877" s="164"/>
      <c r="O1877" s="166"/>
      <c r="P1877" s="165"/>
    </row>
    <row r="1878" spans="1:16" ht="15" hidden="1" customHeight="1" x14ac:dyDescent="0.25">
      <c r="A1878" s="168"/>
      <c r="B1878" s="167"/>
      <c r="C1878" s="168"/>
      <c r="D1878" s="167"/>
      <c r="E1878" s="167"/>
      <c r="F1878" s="167"/>
      <c r="G1878" s="167"/>
      <c r="H1878" s="167"/>
      <c r="I1878" s="164">
        <f t="shared" ca="1" si="29"/>
        <v>44939</v>
      </c>
      <c r="J1878" s="163">
        <v>0.33333333333333331</v>
      </c>
      <c r="K1878" s="162" t="s">
        <v>749</v>
      </c>
      <c r="L1878" s="166"/>
      <c r="M1878" s="166"/>
      <c r="N1878" s="164"/>
      <c r="O1878" s="166"/>
      <c r="P1878" s="165"/>
    </row>
    <row r="1879" spans="1:16" ht="15" hidden="1" customHeight="1" x14ac:dyDescent="0.25">
      <c r="A1879" s="168"/>
      <c r="B1879" s="167"/>
      <c r="C1879" s="168"/>
      <c r="D1879" s="167"/>
      <c r="E1879" s="167"/>
      <c r="F1879" s="167"/>
      <c r="G1879" s="167"/>
      <c r="H1879" s="167"/>
      <c r="I1879" s="164">
        <f t="shared" ca="1" si="29"/>
        <v>44939</v>
      </c>
      <c r="J1879" s="163">
        <v>0.33333333333333331</v>
      </c>
      <c r="K1879" s="162" t="s">
        <v>749</v>
      </c>
      <c r="L1879" s="166"/>
      <c r="M1879" s="166"/>
      <c r="N1879" s="164"/>
      <c r="O1879" s="166"/>
      <c r="P1879" s="165"/>
    </row>
    <row r="1880" spans="1:16" ht="15" hidden="1" customHeight="1" x14ac:dyDescent="0.25">
      <c r="A1880" s="168"/>
      <c r="B1880" s="167"/>
      <c r="C1880" s="168"/>
      <c r="D1880" s="167"/>
      <c r="E1880" s="167"/>
      <c r="F1880" s="167"/>
      <c r="G1880" s="167"/>
      <c r="H1880" s="167"/>
      <c r="I1880" s="164">
        <f t="shared" ref="I1880:I1943" ca="1" si="30">TODAY()</f>
        <v>44939</v>
      </c>
      <c r="J1880" s="163">
        <v>0.33333333333333331</v>
      </c>
      <c r="K1880" s="162" t="s">
        <v>749</v>
      </c>
      <c r="L1880" s="166"/>
      <c r="M1880" s="166"/>
      <c r="N1880" s="164"/>
      <c r="O1880" s="166"/>
      <c r="P1880" s="165"/>
    </row>
    <row r="1881" spans="1:16" ht="15" hidden="1" customHeight="1" x14ac:dyDescent="0.25">
      <c r="A1881" s="168"/>
      <c r="B1881" s="167"/>
      <c r="C1881" s="168"/>
      <c r="D1881" s="167"/>
      <c r="E1881" s="167"/>
      <c r="F1881" s="167"/>
      <c r="G1881" s="167"/>
      <c r="H1881" s="167"/>
      <c r="I1881" s="164">
        <f t="shared" ca="1" si="30"/>
        <v>44939</v>
      </c>
      <c r="J1881" s="163">
        <v>0.33333333333333331</v>
      </c>
      <c r="K1881" s="162" t="s">
        <v>749</v>
      </c>
      <c r="L1881" s="166"/>
      <c r="M1881" s="166"/>
      <c r="N1881" s="164"/>
      <c r="O1881" s="166"/>
      <c r="P1881" s="165"/>
    </row>
    <row r="1882" spans="1:16" ht="15" hidden="1" customHeight="1" x14ac:dyDescent="0.25">
      <c r="A1882" s="168"/>
      <c r="B1882" s="167"/>
      <c r="C1882" s="168"/>
      <c r="D1882" s="167"/>
      <c r="E1882" s="167"/>
      <c r="F1882" s="167"/>
      <c r="G1882" s="167"/>
      <c r="H1882" s="167"/>
      <c r="I1882" s="164">
        <f t="shared" ca="1" si="30"/>
        <v>44939</v>
      </c>
      <c r="J1882" s="163">
        <v>0.33333333333333331</v>
      </c>
      <c r="K1882" s="162" t="s">
        <v>749</v>
      </c>
      <c r="L1882" s="166"/>
      <c r="M1882" s="166"/>
      <c r="N1882" s="164"/>
      <c r="O1882" s="166"/>
      <c r="P1882" s="165"/>
    </row>
    <row r="1883" spans="1:16" ht="15" hidden="1" customHeight="1" x14ac:dyDescent="0.25">
      <c r="A1883" s="168"/>
      <c r="B1883" s="167"/>
      <c r="C1883" s="168"/>
      <c r="D1883" s="167"/>
      <c r="E1883" s="167"/>
      <c r="F1883" s="167"/>
      <c r="G1883" s="167"/>
      <c r="H1883" s="167"/>
      <c r="I1883" s="164">
        <f t="shared" ca="1" si="30"/>
        <v>44939</v>
      </c>
      <c r="J1883" s="163">
        <v>0.33333333333333331</v>
      </c>
      <c r="K1883" s="162" t="s">
        <v>749</v>
      </c>
      <c r="L1883" s="166"/>
      <c r="M1883" s="166"/>
      <c r="N1883" s="164"/>
      <c r="O1883" s="166"/>
      <c r="P1883" s="165"/>
    </row>
    <row r="1884" spans="1:16" ht="15" hidden="1" customHeight="1" x14ac:dyDescent="0.25">
      <c r="A1884" s="168"/>
      <c r="B1884" s="167"/>
      <c r="C1884" s="168"/>
      <c r="D1884" s="167"/>
      <c r="E1884" s="167"/>
      <c r="F1884" s="167"/>
      <c r="G1884" s="167"/>
      <c r="H1884" s="167"/>
      <c r="I1884" s="164">
        <f t="shared" ca="1" si="30"/>
        <v>44939</v>
      </c>
      <c r="J1884" s="163">
        <v>0.33333333333333331</v>
      </c>
      <c r="K1884" s="162" t="s">
        <v>749</v>
      </c>
      <c r="L1884" s="166"/>
      <c r="M1884" s="166"/>
      <c r="N1884" s="164"/>
      <c r="O1884" s="166"/>
      <c r="P1884" s="165"/>
    </row>
    <row r="1885" spans="1:16" ht="15" hidden="1" customHeight="1" x14ac:dyDescent="0.25">
      <c r="A1885" s="168"/>
      <c r="B1885" s="167"/>
      <c r="C1885" s="168"/>
      <c r="D1885" s="167"/>
      <c r="E1885" s="167"/>
      <c r="F1885" s="167"/>
      <c r="G1885" s="167"/>
      <c r="H1885" s="167"/>
      <c r="I1885" s="164">
        <f t="shared" ca="1" si="30"/>
        <v>44939</v>
      </c>
      <c r="J1885" s="163">
        <v>0.33333333333333331</v>
      </c>
      <c r="K1885" s="162" t="s">
        <v>749</v>
      </c>
      <c r="L1885" s="166"/>
      <c r="M1885" s="166"/>
      <c r="N1885" s="164"/>
      <c r="O1885" s="166"/>
      <c r="P1885" s="165"/>
    </row>
    <row r="1886" spans="1:16" ht="15" hidden="1" customHeight="1" x14ac:dyDescent="0.25">
      <c r="A1886" s="168"/>
      <c r="B1886" s="167"/>
      <c r="C1886" s="168"/>
      <c r="D1886" s="167"/>
      <c r="E1886" s="167"/>
      <c r="F1886" s="167"/>
      <c r="G1886" s="167"/>
      <c r="H1886" s="167"/>
      <c r="I1886" s="164">
        <f t="shared" ca="1" si="30"/>
        <v>44939</v>
      </c>
      <c r="J1886" s="163">
        <v>0.33333333333333331</v>
      </c>
      <c r="K1886" s="162" t="s">
        <v>749</v>
      </c>
      <c r="L1886" s="166"/>
      <c r="M1886" s="166"/>
      <c r="N1886" s="164"/>
      <c r="O1886" s="166"/>
      <c r="P1886" s="165"/>
    </row>
    <row r="1887" spans="1:16" ht="15" hidden="1" customHeight="1" x14ac:dyDescent="0.25">
      <c r="A1887" s="168"/>
      <c r="B1887" s="167"/>
      <c r="C1887" s="168"/>
      <c r="D1887" s="167"/>
      <c r="E1887" s="167"/>
      <c r="F1887" s="167"/>
      <c r="G1887" s="167"/>
      <c r="H1887" s="167"/>
      <c r="I1887" s="164">
        <f t="shared" ca="1" si="30"/>
        <v>44939</v>
      </c>
      <c r="J1887" s="163">
        <v>0.33333333333333331</v>
      </c>
      <c r="K1887" s="162" t="s">
        <v>749</v>
      </c>
      <c r="L1887" s="166"/>
      <c r="M1887" s="166"/>
      <c r="N1887" s="164"/>
      <c r="O1887" s="166"/>
      <c r="P1887" s="165"/>
    </row>
    <row r="1888" spans="1:16" ht="15" hidden="1" customHeight="1" x14ac:dyDescent="0.25">
      <c r="A1888" s="168"/>
      <c r="B1888" s="167"/>
      <c r="C1888" s="168"/>
      <c r="D1888" s="167"/>
      <c r="E1888" s="167"/>
      <c r="F1888" s="167"/>
      <c r="G1888" s="167"/>
      <c r="H1888" s="167"/>
      <c r="I1888" s="164">
        <f t="shared" ca="1" si="30"/>
        <v>44939</v>
      </c>
      <c r="J1888" s="163">
        <v>0.33333333333333331</v>
      </c>
      <c r="K1888" s="162" t="s">
        <v>749</v>
      </c>
      <c r="L1888" s="166"/>
      <c r="M1888" s="166"/>
      <c r="N1888" s="164"/>
      <c r="O1888" s="166"/>
      <c r="P1888" s="165"/>
    </row>
    <row r="1889" spans="1:16" ht="15" hidden="1" customHeight="1" x14ac:dyDescent="0.25">
      <c r="A1889" s="168"/>
      <c r="B1889" s="167"/>
      <c r="C1889" s="168"/>
      <c r="D1889" s="167"/>
      <c r="E1889" s="167"/>
      <c r="F1889" s="167"/>
      <c r="G1889" s="167"/>
      <c r="H1889" s="167"/>
      <c r="I1889" s="164">
        <f t="shared" ca="1" si="30"/>
        <v>44939</v>
      </c>
      <c r="J1889" s="163">
        <v>0.33333333333333331</v>
      </c>
      <c r="K1889" s="162" t="s">
        <v>749</v>
      </c>
      <c r="L1889" s="166"/>
      <c r="M1889" s="166"/>
      <c r="N1889" s="164"/>
      <c r="O1889" s="166"/>
      <c r="P1889" s="165"/>
    </row>
    <row r="1890" spans="1:16" ht="15" hidden="1" customHeight="1" x14ac:dyDescent="0.25">
      <c r="A1890" s="168"/>
      <c r="B1890" s="167"/>
      <c r="C1890" s="168"/>
      <c r="D1890" s="167"/>
      <c r="E1890" s="167"/>
      <c r="F1890" s="167"/>
      <c r="G1890" s="167"/>
      <c r="H1890" s="167"/>
      <c r="I1890" s="164">
        <f t="shared" ca="1" si="30"/>
        <v>44939</v>
      </c>
      <c r="J1890" s="163">
        <v>0.33333333333333331</v>
      </c>
      <c r="K1890" s="162" t="s">
        <v>749</v>
      </c>
      <c r="L1890" s="166"/>
      <c r="M1890" s="166"/>
      <c r="N1890" s="164"/>
      <c r="O1890" s="166"/>
      <c r="P1890" s="165"/>
    </row>
    <row r="1891" spans="1:16" ht="15" hidden="1" customHeight="1" x14ac:dyDescent="0.25">
      <c r="A1891" s="168"/>
      <c r="B1891" s="167"/>
      <c r="C1891" s="168"/>
      <c r="D1891" s="167"/>
      <c r="E1891" s="167"/>
      <c r="F1891" s="167"/>
      <c r="G1891" s="167"/>
      <c r="H1891" s="167"/>
      <c r="I1891" s="164">
        <f t="shared" ca="1" si="30"/>
        <v>44939</v>
      </c>
      <c r="J1891" s="163">
        <v>0.33333333333333331</v>
      </c>
      <c r="K1891" s="162" t="s">
        <v>749</v>
      </c>
      <c r="L1891" s="166"/>
      <c r="M1891" s="166"/>
      <c r="N1891" s="164"/>
      <c r="O1891" s="166"/>
      <c r="P1891" s="165"/>
    </row>
    <row r="1892" spans="1:16" ht="15" hidden="1" customHeight="1" x14ac:dyDescent="0.25">
      <c r="A1892" s="168"/>
      <c r="B1892" s="167"/>
      <c r="C1892" s="168"/>
      <c r="D1892" s="167"/>
      <c r="E1892" s="167"/>
      <c r="F1892" s="167"/>
      <c r="G1892" s="167"/>
      <c r="H1892" s="167"/>
      <c r="I1892" s="164">
        <f t="shared" ca="1" si="30"/>
        <v>44939</v>
      </c>
      <c r="J1892" s="163">
        <v>0.33333333333333331</v>
      </c>
      <c r="K1892" s="162" t="s">
        <v>749</v>
      </c>
      <c r="L1892" s="166"/>
      <c r="M1892" s="166"/>
      <c r="N1892" s="164"/>
      <c r="O1892" s="166"/>
      <c r="P1892" s="165"/>
    </row>
    <row r="1893" spans="1:16" ht="15" hidden="1" customHeight="1" x14ac:dyDescent="0.25">
      <c r="A1893" s="168"/>
      <c r="B1893" s="167"/>
      <c r="C1893" s="168"/>
      <c r="D1893" s="167"/>
      <c r="E1893" s="167"/>
      <c r="F1893" s="167"/>
      <c r="G1893" s="167"/>
      <c r="H1893" s="167"/>
      <c r="I1893" s="164">
        <f t="shared" ca="1" si="30"/>
        <v>44939</v>
      </c>
      <c r="J1893" s="163">
        <v>0.33333333333333331</v>
      </c>
      <c r="K1893" s="162" t="s">
        <v>749</v>
      </c>
      <c r="L1893" s="166"/>
      <c r="M1893" s="166"/>
      <c r="N1893" s="164"/>
      <c r="O1893" s="166"/>
      <c r="P1893" s="165"/>
    </row>
    <row r="1894" spans="1:16" ht="15" hidden="1" customHeight="1" x14ac:dyDescent="0.25">
      <c r="A1894" s="168"/>
      <c r="B1894" s="167"/>
      <c r="C1894" s="168"/>
      <c r="D1894" s="167"/>
      <c r="E1894" s="167"/>
      <c r="F1894" s="167"/>
      <c r="G1894" s="167"/>
      <c r="H1894" s="167"/>
      <c r="I1894" s="164">
        <f t="shared" ca="1" si="30"/>
        <v>44939</v>
      </c>
      <c r="J1894" s="163">
        <v>0.33333333333333331</v>
      </c>
      <c r="K1894" s="162" t="s">
        <v>749</v>
      </c>
      <c r="L1894" s="166"/>
      <c r="M1894" s="166"/>
      <c r="N1894" s="164"/>
      <c r="O1894" s="166"/>
      <c r="P1894" s="165"/>
    </row>
    <row r="1895" spans="1:16" ht="15" hidden="1" customHeight="1" x14ac:dyDescent="0.25">
      <c r="A1895" s="168"/>
      <c r="B1895" s="167"/>
      <c r="C1895" s="168"/>
      <c r="D1895" s="167"/>
      <c r="E1895" s="167"/>
      <c r="F1895" s="167"/>
      <c r="G1895" s="167"/>
      <c r="H1895" s="167"/>
      <c r="I1895" s="164">
        <f t="shared" ca="1" si="30"/>
        <v>44939</v>
      </c>
      <c r="J1895" s="163">
        <v>0.33333333333333331</v>
      </c>
      <c r="K1895" s="162" t="s">
        <v>749</v>
      </c>
      <c r="L1895" s="166"/>
      <c r="M1895" s="166"/>
      <c r="N1895" s="164"/>
      <c r="O1895" s="166"/>
      <c r="P1895" s="165"/>
    </row>
    <row r="1896" spans="1:16" ht="15" hidden="1" customHeight="1" x14ac:dyDescent="0.25">
      <c r="A1896" s="168"/>
      <c r="B1896" s="167"/>
      <c r="C1896" s="168"/>
      <c r="D1896" s="167"/>
      <c r="E1896" s="167"/>
      <c r="F1896" s="167"/>
      <c r="G1896" s="167"/>
      <c r="H1896" s="167"/>
      <c r="I1896" s="164">
        <f t="shared" ca="1" si="30"/>
        <v>44939</v>
      </c>
      <c r="J1896" s="163">
        <v>0.33333333333333331</v>
      </c>
      <c r="K1896" s="162" t="s">
        <v>749</v>
      </c>
      <c r="L1896" s="166"/>
      <c r="M1896" s="166"/>
      <c r="N1896" s="164"/>
      <c r="O1896" s="166"/>
      <c r="P1896" s="165"/>
    </row>
    <row r="1897" spans="1:16" ht="15" hidden="1" customHeight="1" x14ac:dyDescent="0.25">
      <c r="A1897" s="168"/>
      <c r="B1897" s="167"/>
      <c r="C1897" s="168"/>
      <c r="D1897" s="167"/>
      <c r="E1897" s="167"/>
      <c r="F1897" s="167"/>
      <c r="G1897" s="167"/>
      <c r="H1897" s="167"/>
      <c r="I1897" s="164">
        <f t="shared" ca="1" si="30"/>
        <v>44939</v>
      </c>
      <c r="J1897" s="163">
        <v>0.33333333333333331</v>
      </c>
      <c r="K1897" s="162" t="s">
        <v>749</v>
      </c>
      <c r="L1897" s="166"/>
      <c r="M1897" s="166"/>
      <c r="N1897" s="164"/>
      <c r="O1897" s="166"/>
      <c r="P1897" s="165"/>
    </row>
    <row r="1898" spans="1:16" ht="15" hidden="1" customHeight="1" x14ac:dyDescent="0.25">
      <c r="A1898" s="168"/>
      <c r="B1898" s="167"/>
      <c r="C1898" s="168"/>
      <c r="D1898" s="167"/>
      <c r="E1898" s="167"/>
      <c r="F1898" s="167"/>
      <c r="G1898" s="167"/>
      <c r="H1898" s="167"/>
      <c r="I1898" s="164">
        <f t="shared" ca="1" si="30"/>
        <v>44939</v>
      </c>
      <c r="J1898" s="163">
        <v>0.33333333333333331</v>
      </c>
      <c r="K1898" s="162" t="s">
        <v>749</v>
      </c>
      <c r="L1898" s="166"/>
      <c r="M1898" s="166"/>
      <c r="N1898" s="164"/>
      <c r="O1898" s="166"/>
      <c r="P1898" s="165"/>
    </row>
    <row r="1899" spans="1:16" ht="15" hidden="1" customHeight="1" x14ac:dyDescent="0.25">
      <c r="A1899" s="168"/>
      <c r="B1899" s="167"/>
      <c r="C1899" s="168"/>
      <c r="D1899" s="167"/>
      <c r="E1899" s="167"/>
      <c r="F1899" s="167"/>
      <c r="G1899" s="167"/>
      <c r="H1899" s="167"/>
      <c r="I1899" s="164">
        <f t="shared" ca="1" si="30"/>
        <v>44939</v>
      </c>
      <c r="J1899" s="163">
        <v>0.33333333333333331</v>
      </c>
      <c r="K1899" s="162" t="s">
        <v>749</v>
      </c>
      <c r="L1899" s="166"/>
      <c r="M1899" s="166"/>
      <c r="N1899" s="164"/>
      <c r="O1899" s="166"/>
      <c r="P1899" s="165"/>
    </row>
    <row r="1900" spans="1:16" ht="15" hidden="1" customHeight="1" x14ac:dyDescent="0.25">
      <c r="A1900" s="168"/>
      <c r="B1900" s="167"/>
      <c r="C1900" s="168"/>
      <c r="D1900" s="167"/>
      <c r="E1900" s="167"/>
      <c r="F1900" s="167"/>
      <c r="G1900" s="167"/>
      <c r="H1900" s="167"/>
      <c r="I1900" s="164">
        <f t="shared" ca="1" si="30"/>
        <v>44939</v>
      </c>
      <c r="J1900" s="163">
        <v>0.33333333333333331</v>
      </c>
      <c r="K1900" s="162" t="s">
        <v>749</v>
      </c>
      <c r="L1900" s="166"/>
      <c r="M1900" s="166"/>
      <c r="N1900" s="164"/>
      <c r="O1900" s="166"/>
      <c r="P1900" s="165"/>
    </row>
    <row r="1901" spans="1:16" ht="15" hidden="1" customHeight="1" x14ac:dyDescent="0.25">
      <c r="A1901" s="168"/>
      <c r="B1901" s="167"/>
      <c r="C1901" s="168"/>
      <c r="D1901" s="167"/>
      <c r="E1901" s="167"/>
      <c r="F1901" s="167"/>
      <c r="G1901" s="167"/>
      <c r="H1901" s="167"/>
      <c r="I1901" s="164">
        <f t="shared" ca="1" si="30"/>
        <v>44939</v>
      </c>
      <c r="J1901" s="163">
        <v>0.33333333333333331</v>
      </c>
      <c r="K1901" s="162" t="s">
        <v>749</v>
      </c>
      <c r="L1901" s="166"/>
      <c r="M1901" s="166"/>
      <c r="N1901" s="164"/>
      <c r="O1901" s="166"/>
      <c r="P1901" s="165"/>
    </row>
    <row r="1902" spans="1:16" ht="15" hidden="1" customHeight="1" x14ac:dyDescent="0.25">
      <c r="A1902" s="168"/>
      <c r="B1902" s="167"/>
      <c r="C1902" s="168"/>
      <c r="D1902" s="167"/>
      <c r="E1902" s="167"/>
      <c r="F1902" s="167"/>
      <c r="G1902" s="167"/>
      <c r="H1902" s="167"/>
      <c r="I1902" s="164">
        <f t="shared" ca="1" si="30"/>
        <v>44939</v>
      </c>
      <c r="J1902" s="163">
        <v>0.33333333333333331</v>
      </c>
      <c r="K1902" s="162" t="s">
        <v>749</v>
      </c>
      <c r="L1902" s="166"/>
      <c r="M1902" s="166"/>
      <c r="N1902" s="164"/>
      <c r="O1902" s="166"/>
      <c r="P1902" s="165"/>
    </row>
    <row r="1903" spans="1:16" ht="15" hidden="1" customHeight="1" x14ac:dyDescent="0.25">
      <c r="A1903" s="168"/>
      <c r="B1903" s="167"/>
      <c r="C1903" s="168"/>
      <c r="D1903" s="167"/>
      <c r="E1903" s="167"/>
      <c r="F1903" s="167"/>
      <c r="G1903" s="167"/>
      <c r="H1903" s="167"/>
      <c r="I1903" s="164">
        <f t="shared" ca="1" si="30"/>
        <v>44939</v>
      </c>
      <c r="J1903" s="163">
        <v>0.33333333333333331</v>
      </c>
      <c r="K1903" s="162" t="s">
        <v>749</v>
      </c>
      <c r="L1903" s="166"/>
      <c r="M1903" s="166"/>
      <c r="N1903" s="164"/>
      <c r="O1903" s="166"/>
      <c r="P1903" s="165"/>
    </row>
    <row r="1904" spans="1:16" ht="15" hidden="1" customHeight="1" x14ac:dyDescent="0.25">
      <c r="A1904" s="168"/>
      <c r="B1904" s="167"/>
      <c r="C1904" s="168"/>
      <c r="D1904" s="167"/>
      <c r="E1904" s="167"/>
      <c r="F1904" s="167"/>
      <c r="G1904" s="167"/>
      <c r="H1904" s="167"/>
      <c r="I1904" s="164">
        <f t="shared" ca="1" si="30"/>
        <v>44939</v>
      </c>
      <c r="J1904" s="163">
        <v>0.33333333333333331</v>
      </c>
      <c r="K1904" s="162" t="s">
        <v>749</v>
      </c>
      <c r="L1904" s="166"/>
      <c r="M1904" s="166"/>
      <c r="N1904" s="164"/>
      <c r="O1904" s="166"/>
      <c r="P1904" s="165"/>
    </row>
    <row r="1905" spans="1:16" ht="15" hidden="1" customHeight="1" x14ac:dyDescent="0.25">
      <c r="A1905" s="168"/>
      <c r="B1905" s="167"/>
      <c r="C1905" s="168"/>
      <c r="D1905" s="167"/>
      <c r="E1905" s="167"/>
      <c r="F1905" s="167"/>
      <c r="G1905" s="167"/>
      <c r="H1905" s="167"/>
      <c r="I1905" s="164">
        <f t="shared" ca="1" si="30"/>
        <v>44939</v>
      </c>
      <c r="J1905" s="163">
        <v>0.33333333333333331</v>
      </c>
      <c r="K1905" s="162" t="s">
        <v>749</v>
      </c>
      <c r="L1905" s="166"/>
      <c r="M1905" s="166"/>
      <c r="N1905" s="164"/>
      <c r="O1905" s="166"/>
      <c r="P1905" s="165"/>
    </row>
    <row r="1906" spans="1:16" ht="15" hidden="1" customHeight="1" x14ac:dyDescent="0.25">
      <c r="A1906" s="168"/>
      <c r="B1906" s="167"/>
      <c r="C1906" s="168"/>
      <c r="D1906" s="167"/>
      <c r="E1906" s="167"/>
      <c r="F1906" s="167"/>
      <c r="G1906" s="167"/>
      <c r="H1906" s="167"/>
      <c r="I1906" s="164">
        <f t="shared" ca="1" si="30"/>
        <v>44939</v>
      </c>
      <c r="J1906" s="163">
        <v>0.33333333333333331</v>
      </c>
      <c r="K1906" s="162" t="s">
        <v>749</v>
      </c>
      <c r="L1906" s="166"/>
      <c r="M1906" s="166"/>
      <c r="N1906" s="164"/>
      <c r="O1906" s="166"/>
      <c r="P1906" s="165"/>
    </row>
    <row r="1907" spans="1:16" ht="15" hidden="1" customHeight="1" x14ac:dyDescent="0.25">
      <c r="A1907" s="168"/>
      <c r="B1907" s="167"/>
      <c r="C1907" s="168"/>
      <c r="D1907" s="167"/>
      <c r="E1907" s="167"/>
      <c r="F1907" s="167"/>
      <c r="G1907" s="167"/>
      <c r="H1907" s="167"/>
      <c r="I1907" s="164">
        <f t="shared" ca="1" si="30"/>
        <v>44939</v>
      </c>
      <c r="J1907" s="163">
        <v>0.33333333333333331</v>
      </c>
      <c r="K1907" s="162" t="s">
        <v>749</v>
      </c>
      <c r="L1907" s="166"/>
      <c r="M1907" s="166"/>
      <c r="N1907" s="164"/>
      <c r="O1907" s="166"/>
      <c r="P1907" s="165"/>
    </row>
    <row r="1908" spans="1:16" ht="15" hidden="1" customHeight="1" x14ac:dyDescent="0.25">
      <c r="A1908" s="168"/>
      <c r="B1908" s="167"/>
      <c r="C1908" s="168"/>
      <c r="D1908" s="167"/>
      <c r="E1908" s="167"/>
      <c r="F1908" s="167"/>
      <c r="G1908" s="167"/>
      <c r="H1908" s="167"/>
      <c r="I1908" s="164">
        <f t="shared" ca="1" si="30"/>
        <v>44939</v>
      </c>
      <c r="J1908" s="163">
        <v>0.33333333333333331</v>
      </c>
      <c r="K1908" s="162" t="s">
        <v>749</v>
      </c>
      <c r="L1908" s="166"/>
      <c r="M1908" s="166"/>
      <c r="N1908" s="164"/>
      <c r="O1908" s="166"/>
      <c r="P1908" s="165"/>
    </row>
    <row r="1909" spans="1:16" ht="15" hidden="1" customHeight="1" x14ac:dyDescent="0.25">
      <c r="A1909" s="168"/>
      <c r="B1909" s="167"/>
      <c r="C1909" s="168"/>
      <c r="D1909" s="167"/>
      <c r="E1909" s="167"/>
      <c r="F1909" s="167"/>
      <c r="G1909" s="167"/>
      <c r="H1909" s="167"/>
      <c r="I1909" s="164">
        <f t="shared" ca="1" si="30"/>
        <v>44939</v>
      </c>
      <c r="J1909" s="163">
        <v>0.33333333333333331</v>
      </c>
      <c r="K1909" s="162" t="s">
        <v>749</v>
      </c>
      <c r="L1909" s="166"/>
      <c r="M1909" s="166"/>
      <c r="N1909" s="164"/>
      <c r="O1909" s="166"/>
      <c r="P1909" s="165"/>
    </row>
    <row r="1910" spans="1:16" ht="15" hidden="1" customHeight="1" x14ac:dyDescent="0.25">
      <c r="A1910" s="168"/>
      <c r="B1910" s="167"/>
      <c r="C1910" s="168"/>
      <c r="D1910" s="167"/>
      <c r="E1910" s="167"/>
      <c r="F1910" s="167"/>
      <c r="G1910" s="167"/>
      <c r="H1910" s="167"/>
      <c r="I1910" s="164">
        <f t="shared" ca="1" si="30"/>
        <v>44939</v>
      </c>
      <c r="J1910" s="163">
        <v>0.33333333333333331</v>
      </c>
      <c r="K1910" s="162" t="s">
        <v>749</v>
      </c>
      <c r="L1910" s="166"/>
      <c r="M1910" s="166"/>
      <c r="N1910" s="164"/>
      <c r="O1910" s="166"/>
      <c r="P1910" s="165"/>
    </row>
    <row r="1911" spans="1:16" ht="15" hidden="1" customHeight="1" x14ac:dyDescent="0.25">
      <c r="A1911" s="168"/>
      <c r="B1911" s="167"/>
      <c r="C1911" s="168"/>
      <c r="D1911" s="167"/>
      <c r="E1911" s="167"/>
      <c r="F1911" s="167"/>
      <c r="G1911" s="167"/>
      <c r="H1911" s="167"/>
      <c r="I1911" s="164">
        <f t="shared" ca="1" si="30"/>
        <v>44939</v>
      </c>
      <c r="J1911" s="163">
        <v>0.33333333333333331</v>
      </c>
      <c r="K1911" s="162" t="s">
        <v>749</v>
      </c>
      <c r="L1911" s="166"/>
      <c r="M1911" s="166"/>
      <c r="N1911" s="164"/>
      <c r="O1911" s="166"/>
      <c r="P1911" s="165"/>
    </row>
    <row r="1912" spans="1:16" ht="15" hidden="1" customHeight="1" x14ac:dyDescent="0.25">
      <c r="A1912" s="168"/>
      <c r="B1912" s="167"/>
      <c r="C1912" s="168"/>
      <c r="D1912" s="167"/>
      <c r="E1912" s="167"/>
      <c r="F1912" s="167"/>
      <c r="G1912" s="167"/>
      <c r="H1912" s="167"/>
      <c r="I1912" s="164">
        <f t="shared" ca="1" si="30"/>
        <v>44939</v>
      </c>
      <c r="J1912" s="163">
        <v>0.33333333333333331</v>
      </c>
      <c r="K1912" s="162" t="s">
        <v>749</v>
      </c>
      <c r="L1912" s="166"/>
      <c r="M1912" s="166"/>
      <c r="N1912" s="164"/>
      <c r="O1912" s="166"/>
      <c r="P1912" s="165"/>
    </row>
    <row r="1913" spans="1:16" ht="15" hidden="1" customHeight="1" x14ac:dyDescent="0.25">
      <c r="A1913" s="168"/>
      <c r="B1913" s="167"/>
      <c r="C1913" s="168"/>
      <c r="D1913" s="167"/>
      <c r="E1913" s="167"/>
      <c r="F1913" s="167"/>
      <c r="G1913" s="167"/>
      <c r="H1913" s="167"/>
      <c r="I1913" s="164">
        <f t="shared" ca="1" si="30"/>
        <v>44939</v>
      </c>
      <c r="J1913" s="163">
        <v>0.33333333333333331</v>
      </c>
      <c r="K1913" s="162" t="s">
        <v>749</v>
      </c>
      <c r="L1913" s="166"/>
      <c r="M1913" s="166"/>
      <c r="N1913" s="164"/>
      <c r="O1913" s="166"/>
      <c r="P1913" s="165"/>
    </row>
    <row r="1914" spans="1:16" ht="15" hidden="1" customHeight="1" x14ac:dyDescent="0.25">
      <c r="A1914" s="168"/>
      <c r="B1914" s="167"/>
      <c r="C1914" s="168"/>
      <c r="D1914" s="167"/>
      <c r="E1914" s="167"/>
      <c r="F1914" s="167"/>
      <c r="G1914" s="167"/>
      <c r="H1914" s="167"/>
      <c r="I1914" s="164">
        <f t="shared" ca="1" si="30"/>
        <v>44939</v>
      </c>
      <c r="J1914" s="163">
        <v>0.33333333333333331</v>
      </c>
      <c r="K1914" s="162" t="s">
        <v>749</v>
      </c>
      <c r="L1914" s="166"/>
      <c r="M1914" s="166"/>
      <c r="N1914" s="164"/>
      <c r="O1914" s="166"/>
      <c r="P1914" s="165"/>
    </row>
    <row r="1915" spans="1:16" ht="15" hidden="1" customHeight="1" x14ac:dyDescent="0.25">
      <c r="A1915" s="168"/>
      <c r="B1915" s="167"/>
      <c r="C1915" s="168"/>
      <c r="D1915" s="167"/>
      <c r="E1915" s="167"/>
      <c r="F1915" s="167"/>
      <c r="G1915" s="167"/>
      <c r="H1915" s="167"/>
      <c r="I1915" s="164">
        <f t="shared" ca="1" si="30"/>
        <v>44939</v>
      </c>
      <c r="J1915" s="163">
        <v>0.33333333333333331</v>
      </c>
      <c r="K1915" s="162" t="s">
        <v>749</v>
      </c>
      <c r="L1915" s="166"/>
      <c r="M1915" s="166"/>
      <c r="N1915" s="164"/>
      <c r="O1915" s="166"/>
      <c r="P1915" s="165"/>
    </row>
    <row r="1916" spans="1:16" ht="15" hidden="1" customHeight="1" x14ac:dyDescent="0.25">
      <c r="A1916" s="168"/>
      <c r="B1916" s="167"/>
      <c r="C1916" s="168"/>
      <c r="D1916" s="167"/>
      <c r="E1916" s="167"/>
      <c r="F1916" s="167"/>
      <c r="G1916" s="167"/>
      <c r="H1916" s="167"/>
      <c r="I1916" s="164">
        <f t="shared" ca="1" si="30"/>
        <v>44939</v>
      </c>
      <c r="J1916" s="163">
        <v>0.33333333333333331</v>
      </c>
      <c r="K1916" s="162" t="s">
        <v>749</v>
      </c>
      <c r="L1916" s="166"/>
      <c r="M1916" s="166"/>
      <c r="N1916" s="164"/>
      <c r="O1916" s="166"/>
      <c r="P1916" s="165"/>
    </row>
    <row r="1917" spans="1:16" ht="15" hidden="1" customHeight="1" x14ac:dyDescent="0.25">
      <c r="A1917" s="168"/>
      <c r="B1917" s="167"/>
      <c r="C1917" s="168"/>
      <c r="D1917" s="167"/>
      <c r="E1917" s="167"/>
      <c r="F1917" s="167"/>
      <c r="G1917" s="167"/>
      <c r="H1917" s="167"/>
      <c r="I1917" s="164">
        <f t="shared" ca="1" si="30"/>
        <v>44939</v>
      </c>
      <c r="J1917" s="163">
        <v>0.33333333333333331</v>
      </c>
      <c r="K1917" s="162" t="s">
        <v>749</v>
      </c>
      <c r="L1917" s="166"/>
      <c r="M1917" s="166"/>
      <c r="N1917" s="164"/>
      <c r="O1917" s="166"/>
      <c r="P1917" s="165"/>
    </row>
    <row r="1918" spans="1:16" ht="15" hidden="1" customHeight="1" x14ac:dyDescent="0.25">
      <c r="A1918" s="168"/>
      <c r="B1918" s="167"/>
      <c r="C1918" s="168"/>
      <c r="D1918" s="167"/>
      <c r="E1918" s="167"/>
      <c r="F1918" s="167"/>
      <c r="G1918" s="167"/>
      <c r="H1918" s="167"/>
      <c r="I1918" s="164">
        <f t="shared" ca="1" si="30"/>
        <v>44939</v>
      </c>
      <c r="J1918" s="163">
        <v>0.33333333333333331</v>
      </c>
      <c r="K1918" s="162" t="s">
        <v>749</v>
      </c>
      <c r="L1918" s="166"/>
      <c r="M1918" s="166"/>
      <c r="N1918" s="164"/>
      <c r="O1918" s="166"/>
      <c r="P1918" s="165"/>
    </row>
    <row r="1919" spans="1:16" ht="15" hidden="1" customHeight="1" x14ac:dyDescent="0.25">
      <c r="A1919" s="168"/>
      <c r="B1919" s="167"/>
      <c r="C1919" s="168"/>
      <c r="D1919" s="167"/>
      <c r="E1919" s="167"/>
      <c r="F1919" s="167"/>
      <c r="G1919" s="167"/>
      <c r="H1919" s="167"/>
      <c r="I1919" s="164">
        <f t="shared" ca="1" si="30"/>
        <v>44939</v>
      </c>
      <c r="J1919" s="163">
        <v>0.33333333333333331</v>
      </c>
      <c r="K1919" s="162" t="s">
        <v>749</v>
      </c>
      <c r="L1919" s="166"/>
      <c r="M1919" s="166"/>
      <c r="N1919" s="164"/>
      <c r="O1919" s="166"/>
      <c r="P1919" s="165"/>
    </row>
    <row r="1920" spans="1:16" ht="15" hidden="1" customHeight="1" x14ac:dyDescent="0.25">
      <c r="A1920" s="168"/>
      <c r="B1920" s="167"/>
      <c r="C1920" s="168"/>
      <c r="D1920" s="167"/>
      <c r="E1920" s="167"/>
      <c r="F1920" s="167"/>
      <c r="G1920" s="167"/>
      <c r="H1920" s="167"/>
      <c r="I1920" s="164">
        <f t="shared" ca="1" si="30"/>
        <v>44939</v>
      </c>
      <c r="J1920" s="163">
        <v>0.33333333333333331</v>
      </c>
      <c r="K1920" s="162" t="s">
        <v>749</v>
      </c>
      <c r="L1920" s="166"/>
      <c r="M1920" s="166"/>
      <c r="N1920" s="164"/>
      <c r="O1920" s="166"/>
      <c r="P1920" s="165"/>
    </row>
    <row r="1921" spans="1:16" ht="15" hidden="1" customHeight="1" x14ac:dyDescent="0.25">
      <c r="A1921" s="168"/>
      <c r="B1921" s="167"/>
      <c r="C1921" s="168"/>
      <c r="D1921" s="167"/>
      <c r="E1921" s="167"/>
      <c r="F1921" s="167"/>
      <c r="G1921" s="167"/>
      <c r="H1921" s="167"/>
      <c r="I1921" s="164">
        <f t="shared" ca="1" si="30"/>
        <v>44939</v>
      </c>
      <c r="J1921" s="163">
        <v>0.33333333333333331</v>
      </c>
      <c r="K1921" s="162" t="s">
        <v>749</v>
      </c>
      <c r="L1921" s="166"/>
      <c r="M1921" s="166"/>
      <c r="N1921" s="164"/>
      <c r="O1921" s="166"/>
      <c r="P1921" s="165"/>
    </row>
    <row r="1922" spans="1:16" ht="15" hidden="1" customHeight="1" x14ac:dyDescent="0.25">
      <c r="A1922" s="168"/>
      <c r="B1922" s="167"/>
      <c r="C1922" s="168"/>
      <c r="D1922" s="167"/>
      <c r="E1922" s="167"/>
      <c r="F1922" s="167"/>
      <c r="G1922" s="167"/>
      <c r="H1922" s="167"/>
      <c r="I1922" s="164">
        <f t="shared" ca="1" si="30"/>
        <v>44939</v>
      </c>
      <c r="J1922" s="163">
        <v>0.33333333333333331</v>
      </c>
      <c r="K1922" s="162" t="s">
        <v>749</v>
      </c>
      <c r="L1922" s="166"/>
      <c r="M1922" s="166"/>
      <c r="N1922" s="164"/>
      <c r="O1922" s="166"/>
      <c r="P1922" s="165"/>
    </row>
    <row r="1923" spans="1:16" ht="15" hidden="1" customHeight="1" x14ac:dyDescent="0.25">
      <c r="A1923" s="168"/>
      <c r="B1923" s="167"/>
      <c r="C1923" s="168"/>
      <c r="D1923" s="167"/>
      <c r="E1923" s="167"/>
      <c r="F1923" s="167"/>
      <c r="G1923" s="167"/>
      <c r="H1923" s="167"/>
      <c r="I1923" s="164">
        <f t="shared" ca="1" si="30"/>
        <v>44939</v>
      </c>
      <c r="J1923" s="163">
        <v>0.33333333333333331</v>
      </c>
      <c r="K1923" s="162" t="s">
        <v>749</v>
      </c>
      <c r="L1923" s="166"/>
      <c r="M1923" s="166"/>
      <c r="N1923" s="164"/>
      <c r="O1923" s="166"/>
      <c r="P1923" s="165"/>
    </row>
    <row r="1924" spans="1:16" ht="15" hidden="1" customHeight="1" x14ac:dyDescent="0.25">
      <c r="A1924" s="168"/>
      <c r="B1924" s="167"/>
      <c r="C1924" s="168"/>
      <c r="D1924" s="167"/>
      <c r="E1924" s="167"/>
      <c r="F1924" s="167"/>
      <c r="G1924" s="167"/>
      <c r="H1924" s="167"/>
      <c r="I1924" s="164">
        <f t="shared" ca="1" si="30"/>
        <v>44939</v>
      </c>
      <c r="J1924" s="163">
        <v>0.33333333333333331</v>
      </c>
      <c r="K1924" s="162" t="s">
        <v>749</v>
      </c>
      <c r="L1924" s="166"/>
      <c r="M1924" s="166"/>
      <c r="N1924" s="164"/>
      <c r="O1924" s="166"/>
      <c r="P1924" s="165"/>
    </row>
    <row r="1925" spans="1:16" ht="15" hidden="1" customHeight="1" x14ac:dyDescent="0.25">
      <c r="A1925" s="168"/>
      <c r="B1925" s="167"/>
      <c r="C1925" s="168"/>
      <c r="D1925" s="167"/>
      <c r="E1925" s="167"/>
      <c r="F1925" s="167"/>
      <c r="G1925" s="167"/>
      <c r="H1925" s="167"/>
      <c r="I1925" s="164">
        <f t="shared" ca="1" si="30"/>
        <v>44939</v>
      </c>
      <c r="J1925" s="163">
        <v>0.33333333333333331</v>
      </c>
      <c r="K1925" s="162" t="s">
        <v>749</v>
      </c>
      <c r="L1925" s="166"/>
      <c r="M1925" s="166"/>
      <c r="N1925" s="164"/>
      <c r="O1925" s="166"/>
      <c r="P1925" s="165"/>
    </row>
    <row r="1926" spans="1:16" ht="15" hidden="1" customHeight="1" x14ac:dyDescent="0.25">
      <c r="A1926" s="168"/>
      <c r="B1926" s="167"/>
      <c r="C1926" s="168"/>
      <c r="D1926" s="167"/>
      <c r="E1926" s="167"/>
      <c r="F1926" s="167"/>
      <c r="G1926" s="167"/>
      <c r="H1926" s="167"/>
      <c r="I1926" s="164">
        <f t="shared" ca="1" si="30"/>
        <v>44939</v>
      </c>
      <c r="J1926" s="163">
        <v>0.33333333333333331</v>
      </c>
      <c r="K1926" s="162" t="s">
        <v>749</v>
      </c>
      <c r="L1926" s="166"/>
      <c r="M1926" s="166"/>
      <c r="N1926" s="164"/>
      <c r="O1926" s="166"/>
      <c r="P1926" s="165"/>
    </row>
    <row r="1927" spans="1:16" ht="15" hidden="1" customHeight="1" x14ac:dyDescent="0.25">
      <c r="A1927" s="168"/>
      <c r="B1927" s="167"/>
      <c r="C1927" s="168"/>
      <c r="D1927" s="167"/>
      <c r="E1927" s="167"/>
      <c r="F1927" s="167"/>
      <c r="G1927" s="167"/>
      <c r="H1927" s="167"/>
      <c r="I1927" s="164">
        <f t="shared" ca="1" si="30"/>
        <v>44939</v>
      </c>
      <c r="J1927" s="163">
        <v>0.33333333333333331</v>
      </c>
      <c r="K1927" s="162" t="s">
        <v>749</v>
      </c>
      <c r="L1927" s="166"/>
      <c r="M1927" s="166"/>
      <c r="N1927" s="164"/>
      <c r="O1927" s="166"/>
      <c r="P1927" s="165"/>
    </row>
    <row r="1928" spans="1:16" ht="15" hidden="1" customHeight="1" x14ac:dyDescent="0.25">
      <c r="A1928" s="168"/>
      <c r="B1928" s="167"/>
      <c r="C1928" s="168"/>
      <c r="D1928" s="167"/>
      <c r="E1928" s="167"/>
      <c r="F1928" s="167"/>
      <c r="G1928" s="167"/>
      <c r="H1928" s="167"/>
      <c r="I1928" s="164">
        <f t="shared" ca="1" si="30"/>
        <v>44939</v>
      </c>
      <c r="J1928" s="163">
        <v>0.33333333333333331</v>
      </c>
      <c r="K1928" s="162" t="s">
        <v>749</v>
      </c>
      <c r="L1928" s="166"/>
      <c r="M1928" s="166"/>
      <c r="N1928" s="164"/>
      <c r="O1928" s="166"/>
      <c r="P1928" s="165"/>
    </row>
    <row r="1929" spans="1:16" ht="15" hidden="1" customHeight="1" x14ac:dyDescent="0.25">
      <c r="A1929" s="168"/>
      <c r="B1929" s="167"/>
      <c r="C1929" s="168"/>
      <c r="D1929" s="167"/>
      <c r="E1929" s="167"/>
      <c r="F1929" s="167"/>
      <c r="G1929" s="167"/>
      <c r="H1929" s="167"/>
      <c r="I1929" s="164">
        <f t="shared" ca="1" si="30"/>
        <v>44939</v>
      </c>
      <c r="J1929" s="163">
        <v>0.33333333333333331</v>
      </c>
      <c r="K1929" s="162" t="s">
        <v>749</v>
      </c>
      <c r="L1929" s="166"/>
      <c r="M1929" s="166"/>
      <c r="N1929" s="164"/>
      <c r="O1929" s="166"/>
      <c r="P1929" s="165"/>
    </row>
    <row r="1930" spans="1:16" ht="15" hidden="1" customHeight="1" x14ac:dyDescent="0.25">
      <c r="A1930" s="168"/>
      <c r="B1930" s="167"/>
      <c r="C1930" s="168"/>
      <c r="D1930" s="167"/>
      <c r="E1930" s="167"/>
      <c r="F1930" s="167"/>
      <c r="G1930" s="167"/>
      <c r="H1930" s="167"/>
      <c r="I1930" s="164">
        <f t="shared" ca="1" si="30"/>
        <v>44939</v>
      </c>
      <c r="J1930" s="163">
        <v>0.33333333333333331</v>
      </c>
      <c r="K1930" s="162" t="s">
        <v>749</v>
      </c>
      <c r="L1930" s="166"/>
      <c r="M1930" s="166"/>
      <c r="N1930" s="164"/>
      <c r="O1930" s="166"/>
      <c r="P1930" s="165"/>
    </row>
    <row r="1931" spans="1:16" ht="15" hidden="1" customHeight="1" x14ac:dyDescent="0.25">
      <c r="A1931" s="168"/>
      <c r="B1931" s="167"/>
      <c r="C1931" s="168"/>
      <c r="D1931" s="167"/>
      <c r="E1931" s="167"/>
      <c r="F1931" s="167"/>
      <c r="G1931" s="167"/>
      <c r="H1931" s="167"/>
      <c r="I1931" s="164">
        <f t="shared" ca="1" si="30"/>
        <v>44939</v>
      </c>
      <c r="J1931" s="163">
        <v>0.33333333333333331</v>
      </c>
      <c r="K1931" s="162" t="s">
        <v>749</v>
      </c>
      <c r="L1931" s="166"/>
      <c r="M1931" s="166"/>
      <c r="N1931" s="164"/>
      <c r="O1931" s="166"/>
      <c r="P1931" s="165"/>
    </row>
    <row r="1932" spans="1:16" ht="15" hidden="1" customHeight="1" x14ac:dyDescent="0.25">
      <c r="A1932" s="168"/>
      <c r="B1932" s="167"/>
      <c r="C1932" s="168"/>
      <c r="D1932" s="167"/>
      <c r="E1932" s="167"/>
      <c r="F1932" s="167"/>
      <c r="G1932" s="167"/>
      <c r="H1932" s="167"/>
      <c r="I1932" s="164">
        <f t="shared" ca="1" si="30"/>
        <v>44939</v>
      </c>
      <c r="J1932" s="163">
        <v>0.33333333333333331</v>
      </c>
      <c r="K1932" s="162" t="s">
        <v>749</v>
      </c>
      <c r="L1932" s="166"/>
      <c r="M1932" s="166"/>
      <c r="N1932" s="164"/>
      <c r="O1932" s="166"/>
      <c r="P1932" s="165"/>
    </row>
    <row r="1933" spans="1:16" ht="15" hidden="1" customHeight="1" x14ac:dyDescent="0.25">
      <c r="A1933" s="168"/>
      <c r="B1933" s="167"/>
      <c r="C1933" s="168"/>
      <c r="D1933" s="167"/>
      <c r="E1933" s="167"/>
      <c r="F1933" s="167"/>
      <c r="G1933" s="167"/>
      <c r="H1933" s="167"/>
      <c r="I1933" s="164">
        <f t="shared" ca="1" si="30"/>
        <v>44939</v>
      </c>
      <c r="J1933" s="163">
        <v>0.33333333333333331</v>
      </c>
      <c r="K1933" s="162" t="s">
        <v>749</v>
      </c>
      <c r="L1933" s="166"/>
      <c r="M1933" s="166"/>
      <c r="N1933" s="164"/>
      <c r="O1933" s="166"/>
      <c r="P1933" s="165"/>
    </row>
    <row r="1934" spans="1:16" ht="15" hidden="1" customHeight="1" x14ac:dyDescent="0.25">
      <c r="A1934" s="168"/>
      <c r="B1934" s="167"/>
      <c r="C1934" s="168"/>
      <c r="D1934" s="167"/>
      <c r="E1934" s="167"/>
      <c r="F1934" s="167"/>
      <c r="G1934" s="167"/>
      <c r="H1934" s="167"/>
      <c r="I1934" s="164">
        <f t="shared" ca="1" si="30"/>
        <v>44939</v>
      </c>
      <c r="J1934" s="163">
        <v>0.33333333333333331</v>
      </c>
      <c r="K1934" s="162" t="s">
        <v>749</v>
      </c>
      <c r="L1934" s="166"/>
      <c r="M1934" s="166"/>
      <c r="N1934" s="164"/>
      <c r="O1934" s="166"/>
      <c r="P1934" s="165"/>
    </row>
    <row r="1935" spans="1:16" ht="15" hidden="1" customHeight="1" x14ac:dyDescent="0.25">
      <c r="A1935" s="168"/>
      <c r="B1935" s="167"/>
      <c r="C1935" s="168"/>
      <c r="D1935" s="167"/>
      <c r="E1935" s="167"/>
      <c r="F1935" s="167"/>
      <c r="G1935" s="167"/>
      <c r="H1935" s="167"/>
      <c r="I1935" s="164">
        <f t="shared" ca="1" si="30"/>
        <v>44939</v>
      </c>
      <c r="J1935" s="163">
        <v>0.33333333333333331</v>
      </c>
      <c r="K1935" s="162" t="s">
        <v>749</v>
      </c>
      <c r="L1935" s="166"/>
      <c r="M1935" s="166"/>
      <c r="N1935" s="164"/>
      <c r="O1935" s="166"/>
      <c r="P1935" s="165"/>
    </row>
    <row r="1936" spans="1:16" ht="15" hidden="1" customHeight="1" x14ac:dyDescent="0.25">
      <c r="A1936" s="168"/>
      <c r="B1936" s="167"/>
      <c r="C1936" s="168"/>
      <c r="D1936" s="167"/>
      <c r="E1936" s="167"/>
      <c r="F1936" s="167"/>
      <c r="G1936" s="167"/>
      <c r="H1936" s="167"/>
      <c r="I1936" s="164">
        <f t="shared" ca="1" si="30"/>
        <v>44939</v>
      </c>
      <c r="J1936" s="163">
        <v>0.33333333333333331</v>
      </c>
      <c r="K1936" s="162" t="s">
        <v>749</v>
      </c>
      <c r="L1936" s="166"/>
      <c r="M1936" s="166"/>
      <c r="N1936" s="164"/>
      <c r="O1936" s="166"/>
      <c r="P1936" s="165"/>
    </row>
    <row r="1937" spans="1:16" ht="15" hidden="1" customHeight="1" x14ac:dyDescent="0.25">
      <c r="A1937" s="168"/>
      <c r="B1937" s="167"/>
      <c r="C1937" s="168"/>
      <c r="D1937" s="167"/>
      <c r="E1937" s="167"/>
      <c r="F1937" s="167"/>
      <c r="G1937" s="167"/>
      <c r="H1937" s="167"/>
      <c r="I1937" s="164">
        <f t="shared" ca="1" si="30"/>
        <v>44939</v>
      </c>
      <c r="J1937" s="163">
        <v>0.33333333333333331</v>
      </c>
      <c r="K1937" s="162" t="s">
        <v>749</v>
      </c>
      <c r="L1937" s="166"/>
      <c r="M1937" s="166"/>
      <c r="N1937" s="164"/>
      <c r="O1937" s="166"/>
      <c r="P1937" s="165"/>
    </row>
    <row r="1938" spans="1:16" ht="15" hidden="1" customHeight="1" x14ac:dyDescent="0.25">
      <c r="A1938" s="168"/>
      <c r="B1938" s="167"/>
      <c r="C1938" s="168"/>
      <c r="D1938" s="167"/>
      <c r="E1938" s="167"/>
      <c r="F1938" s="167"/>
      <c r="G1938" s="167"/>
      <c r="H1938" s="167"/>
      <c r="I1938" s="164">
        <f t="shared" ca="1" si="30"/>
        <v>44939</v>
      </c>
      <c r="J1938" s="163">
        <v>0.33333333333333331</v>
      </c>
      <c r="K1938" s="162" t="s">
        <v>749</v>
      </c>
      <c r="L1938" s="166"/>
      <c r="M1938" s="166"/>
      <c r="N1938" s="164"/>
      <c r="O1938" s="166"/>
      <c r="P1938" s="165"/>
    </row>
    <row r="1939" spans="1:16" ht="15" hidden="1" customHeight="1" x14ac:dyDescent="0.25">
      <c r="A1939" s="168"/>
      <c r="B1939" s="167"/>
      <c r="C1939" s="168"/>
      <c r="D1939" s="167"/>
      <c r="E1939" s="167"/>
      <c r="F1939" s="167"/>
      <c r="G1939" s="167"/>
      <c r="H1939" s="167"/>
      <c r="I1939" s="164">
        <f t="shared" ca="1" si="30"/>
        <v>44939</v>
      </c>
      <c r="J1939" s="163">
        <v>0.33333333333333331</v>
      </c>
      <c r="K1939" s="162" t="s">
        <v>749</v>
      </c>
      <c r="L1939" s="166"/>
      <c r="M1939" s="166"/>
      <c r="N1939" s="164"/>
      <c r="O1939" s="166"/>
      <c r="P1939" s="165"/>
    </row>
    <row r="1940" spans="1:16" ht="15" hidden="1" customHeight="1" x14ac:dyDescent="0.25">
      <c r="A1940" s="168"/>
      <c r="B1940" s="167"/>
      <c r="C1940" s="168"/>
      <c r="D1940" s="167"/>
      <c r="E1940" s="167"/>
      <c r="F1940" s="167"/>
      <c r="G1940" s="167"/>
      <c r="H1940" s="167"/>
      <c r="I1940" s="164">
        <f t="shared" ca="1" si="30"/>
        <v>44939</v>
      </c>
      <c r="J1940" s="163">
        <v>0.33333333333333331</v>
      </c>
      <c r="K1940" s="162" t="s">
        <v>749</v>
      </c>
      <c r="L1940" s="166"/>
      <c r="M1940" s="166"/>
      <c r="N1940" s="164"/>
      <c r="O1940" s="166"/>
      <c r="P1940" s="165"/>
    </row>
    <row r="1941" spans="1:16" ht="15" hidden="1" customHeight="1" x14ac:dyDescent="0.25">
      <c r="A1941" s="168"/>
      <c r="B1941" s="167"/>
      <c r="C1941" s="168"/>
      <c r="D1941" s="167"/>
      <c r="E1941" s="167"/>
      <c r="F1941" s="167"/>
      <c r="G1941" s="167"/>
      <c r="H1941" s="167"/>
      <c r="I1941" s="164">
        <f t="shared" ca="1" si="30"/>
        <v>44939</v>
      </c>
      <c r="J1941" s="163">
        <v>0.33333333333333331</v>
      </c>
      <c r="K1941" s="162" t="s">
        <v>749</v>
      </c>
      <c r="L1941" s="166"/>
      <c r="M1941" s="166"/>
      <c r="N1941" s="164"/>
      <c r="O1941" s="166"/>
      <c r="P1941" s="165"/>
    </row>
    <row r="1942" spans="1:16" ht="15" hidden="1" customHeight="1" x14ac:dyDescent="0.25">
      <c r="A1942" s="168"/>
      <c r="B1942" s="167"/>
      <c r="C1942" s="168"/>
      <c r="D1942" s="167"/>
      <c r="E1942" s="167"/>
      <c r="F1942" s="167"/>
      <c r="G1942" s="167"/>
      <c r="H1942" s="167"/>
      <c r="I1942" s="164">
        <f t="shared" ca="1" si="30"/>
        <v>44939</v>
      </c>
      <c r="J1942" s="163">
        <v>0.33333333333333331</v>
      </c>
      <c r="K1942" s="162" t="s">
        <v>749</v>
      </c>
      <c r="L1942" s="166"/>
      <c r="M1942" s="166"/>
      <c r="N1942" s="164"/>
      <c r="O1942" s="166"/>
      <c r="P1942" s="165"/>
    </row>
    <row r="1943" spans="1:16" ht="15" hidden="1" customHeight="1" x14ac:dyDescent="0.25">
      <c r="A1943" s="168"/>
      <c r="B1943" s="167"/>
      <c r="C1943" s="168"/>
      <c r="D1943" s="167"/>
      <c r="E1943" s="167"/>
      <c r="F1943" s="167"/>
      <c r="G1943" s="167"/>
      <c r="H1943" s="167"/>
      <c r="I1943" s="164">
        <f t="shared" ca="1" si="30"/>
        <v>44939</v>
      </c>
      <c r="J1943" s="163">
        <v>0.33333333333333331</v>
      </c>
      <c r="K1943" s="162" t="s">
        <v>749</v>
      </c>
      <c r="L1943" s="166"/>
      <c r="M1943" s="166"/>
      <c r="N1943" s="164"/>
      <c r="O1943" s="166"/>
      <c r="P1943" s="165"/>
    </row>
    <row r="1944" spans="1:16" ht="15" hidden="1" customHeight="1" x14ac:dyDescent="0.25">
      <c r="A1944" s="168"/>
      <c r="B1944" s="167"/>
      <c r="C1944" s="168"/>
      <c r="D1944" s="167"/>
      <c r="E1944" s="167"/>
      <c r="F1944" s="167"/>
      <c r="G1944" s="167"/>
      <c r="H1944" s="167"/>
      <c r="I1944" s="164">
        <f t="shared" ref="I1944:I2007" ca="1" si="31">TODAY()</f>
        <v>44939</v>
      </c>
      <c r="J1944" s="163">
        <v>0.33333333333333331</v>
      </c>
      <c r="K1944" s="162" t="s">
        <v>749</v>
      </c>
      <c r="L1944" s="166"/>
      <c r="M1944" s="166"/>
      <c r="N1944" s="164"/>
      <c r="O1944" s="166"/>
      <c r="P1944" s="165"/>
    </row>
    <row r="1945" spans="1:16" ht="15" hidden="1" customHeight="1" x14ac:dyDescent="0.25">
      <c r="A1945" s="168"/>
      <c r="B1945" s="167"/>
      <c r="C1945" s="168"/>
      <c r="D1945" s="167"/>
      <c r="E1945" s="167"/>
      <c r="F1945" s="167"/>
      <c r="G1945" s="167"/>
      <c r="H1945" s="167"/>
      <c r="I1945" s="164">
        <f t="shared" ca="1" si="31"/>
        <v>44939</v>
      </c>
      <c r="J1945" s="163">
        <v>0.33333333333333331</v>
      </c>
      <c r="K1945" s="162" t="s">
        <v>749</v>
      </c>
      <c r="L1945" s="166"/>
      <c r="M1945" s="166"/>
      <c r="N1945" s="164"/>
      <c r="O1945" s="166"/>
      <c r="P1945" s="165"/>
    </row>
    <row r="1946" spans="1:16" ht="15" hidden="1" customHeight="1" x14ac:dyDescent="0.25">
      <c r="A1946" s="168"/>
      <c r="B1946" s="167"/>
      <c r="C1946" s="168"/>
      <c r="D1946" s="167"/>
      <c r="E1946" s="167"/>
      <c r="F1946" s="167"/>
      <c r="G1946" s="167"/>
      <c r="H1946" s="167"/>
      <c r="I1946" s="164">
        <f t="shared" ca="1" si="31"/>
        <v>44939</v>
      </c>
      <c r="J1946" s="163">
        <v>0.33333333333333331</v>
      </c>
      <c r="K1946" s="162" t="s">
        <v>749</v>
      </c>
      <c r="L1946" s="166"/>
      <c r="M1946" s="166"/>
      <c r="N1946" s="164"/>
      <c r="O1946" s="166"/>
      <c r="P1946" s="165"/>
    </row>
    <row r="1947" spans="1:16" ht="15" hidden="1" customHeight="1" x14ac:dyDescent="0.25">
      <c r="A1947" s="168"/>
      <c r="B1947" s="167"/>
      <c r="C1947" s="168"/>
      <c r="D1947" s="167"/>
      <c r="E1947" s="167"/>
      <c r="F1947" s="167"/>
      <c r="G1947" s="167"/>
      <c r="H1947" s="167"/>
      <c r="I1947" s="164">
        <f t="shared" ca="1" si="31"/>
        <v>44939</v>
      </c>
      <c r="J1947" s="163">
        <v>0.33333333333333331</v>
      </c>
      <c r="K1947" s="162" t="s">
        <v>749</v>
      </c>
      <c r="L1947" s="166"/>
      <c r="M1947" s="166"/>
      <c r="N1947" s="164"/>
      <c r="O1947" s="166"/>
      <c r="P1947" s="165"/>
    </row>
    <row r="1948" spans="1:16" ht="15" hidden="1" customHeight="1" x14ac:dyDescent="0.25">
      <c r="A1948" s="168"/>
      <c r="B1948" s="167"/>
      <c r="C1948" s="168"/>
      <c r="D1948" s="167"/>
      <c r="E1948" s="167"/>
      <c r="F1948" s="167"/>
      <c r="G1948" s="167"/>
      <c r="H1948" s="167"/>
      <c r="I1948" s="164">
        <f t="shared" ca="1" si="31"/>
        <v>44939</v>
      </c>
      <c r="J1948" s="163">
        <v>0.33333333333333331</v>
      </c>
      <c r="K1948" s="162" t="s">
        <v>749</v>
      </c>
      <c r="L1948" s="166"/>
      <c r="M1948" s="166"/>
      <c r="N1948" s="164"/>
      <c r="O1948" s="166"/>
      <c r="P1948" s="165"/>
    </row>
    <row r="1949" spans="1:16" ht="15" hidden="1" customHeight="1" x14ac:dyDescent="0.25">
      <c r="A1949" s="168"/>
      <c r="B1949" s="167"/>
      <c r="C1949" s="168"/>
      <c r="D1949" s="167"/>
      <c r="E1949" s="167"/>
      <c r="F1949" s="167"/>
      <c r="G1949" s="167"/>
      <c r="H1949" s="167"/>
      <c r="I1949" s="164">
        <f t="shared" ca="1" si="31"/>
        <v>44939</v>
      </c>
      <c r="J1949" s="163">
        <v>0.33333333333333331</v>
      </c>
      <c r="K1949" s="162" t="s">
        <v>749</v>
      </c>
      <c r="L1949" s="166"/>
      <c r="M1949" s="166"/>
      <c r="N1949" s="164"/>
      <c r="O1949" s="166"/>
      <c r="P1949" s="165"/>
    </row>
    <row r="1950" spans="1:16" ht="15" hidden="1" customHeight="1" x14ac:dyDescent="0.25">
      <c r="A1950" s="168"/>
      <c r="B1950" s="167"/>
      <c r="C1950" s="168"/>
      <c r="D1950" s="167"/>
      <c r="E1950" s="167"/>
      <c r="F1950" s="167"/>
      <c r="G1950" s="167"/>
      <c r="H1950" s="167"/>
      <c r="I1950" s="164">
        <f t="shared" ca="1" si="31"/>
        <v>44939</v>
      </c>
      <c r="J1950" s="163">
        <v>0.33333333333333331</v>
      </c>
      <c r="K1950" s="162" t="s">
        <v>749</v>
      </c>
      <c r="L1950" s="166"/>
      <c r="M1950" s="166"/>
      <c r="N1950" s="164"/>
      <c r="O1950" s="166"/>
      <c r="P1950" s="165"/>
    </row>
    <row r="1951" spans="1:16" ht="15" hidden="1" customHeight="1" x14ac:dyDescent="0.25">
      <c r="A1951" s="168"/>
      <c r="B1951" s="167"/>
      <c r="C1951" s="168"/>
      <c r="D1951" s="167"/>
      <c r="E1951" s="167"/>
      <c r="F1951" s="167"/>
      <c r="G1951" s="167"/>
      <c r="H1951" s="167"/>
      <c r="I1951" s="164">
        <f t="shared" ca="1" si="31"/>
        <v>44939</v>
      </c>
      <c r="J1951" s="163">
        <v>0.33333333333333331</v>
      </c>
      <c r="K1951" s="162" t="s">
        <v>749</v>
      </c>
      <c r="L1951" s="166"/>
      <c r="M1951" s="166"/>
      <c r="N1951" s="164"/>
      <c r="O1951" s="166"/>
      <c r="P1951" s="165"/>
    </row>
    <row r="1952" spans="1:16" ht="15" hidden="1" customHeight="1" x14ac:dyDescent="0.25">
      <c r="A1952" s="168"/>
      <c r="B1952" s="167"/>
      <c r="C1952" s="168"/>
      <c r="D1952" s="167"/>
      <c r="E1952" s="167"/>
      <c r="F1952" s="167"/>
      <c r="G1952" s="167"/>
      <c r="H1952" s="167"/>
      <c r="I1952" s="164">
        <f t="shared" ca="1" si="31"/>
        <v>44939</v>
      </c>
      <c r="J1952" s="163">
        <v>0.33333333333333331</v>
      </c>
      <c r="K1952" s="162" t="s">
        <v>749</v>
      </c>
      <c r="L1952" s="166"/>
      <c r="M1952" s="166"/>
      <c r="N1952" s="164"/>
      <c r="O1952" s="166"/>
      <c r="P1952" s="165"/>
    </row>
    <row r="1953" spans="1:16" ht="15" hidden="1" customHeight="1" x14ac:dyDescent="0.25">
      <c r="A1953" s="168"/>
      <c r="B1953" s="167"/>
      <c r="C1953" s="168"/>
      <c r="D1953" s="167"/>
      <c r="E1953" s="167"/>
      <c r="F1953" s="167"/>
      <c r="G1953" s="167"/>
      <c r="H1953" s="167"/>
      <c r="I1953" s="164">
        <f t="shared" ca="1" si="31"/>
        <v>44939</v>
      </c>
      <c r="J1953" s="163">
        <v>0.33333333333333331</v>
      </c>
      <c r="K1953" s="162" t="s">
        <v>749</v>
      </c>
      <c r="L1953" s="166"/>
      <c r="M1953" s="166"/>
      <c r="N1953" s="164"/>
      <c r="O1953" s="166"/>
      <c r="P1953" s="165"/>
    </row>
    <row r="1954" spans="1:16" ht="15" hidden="1" customHeight="1" x14ac:dyDescent="0.25">
      <c r="A1954" s="168"/>
      <c r="B1954" s="167"/>
      <c r="C1954" s="168"/>
      <c r="D1954" s="167"/>
      <c r="E1954" s="167"/>
      <c r="F1954" s="167"/>
      <c r="G1954" s="167"/>
      <c r="H1954" s="167"/>
      <c r="I1954" s="164">
        <f t="shared" ca="1" si="31"/>
        <v>44939</v>
      </c>
      <c r="J1954" s="163">
        <v>0.33333333333333331</v>
      </c>
      <c r="K1954" s="162" t="s">
        <v>749</v>
      </c>
      <c r="L1954" s="166"/>
      <c r="M1954" s="166"/>
      <c r="N1954" s="164"/>
      <c r="O1954" s="166"/>
      <c r="P1954" s="165"/>
    </row>
    <row r="1955" spans="1:16" ht="15" hidden="1" customHeight="1" x14ac:dyDescent="0.25">
      <c r="A1955" s="168"/>
      <c r="B1955" s="167"/>
      <c r="C1955" s="168"/>
      <c r="D1955" s="167"/>
      <c r="E1955" s="167"/>
      <c r="F1955" s="167"/>
      <c r="G1955" s="167"/>
      <c r="H1955" s="167"/>
      <c r="I1955" s="164">
        <f t="shared" ca="1" si="31"/>
        <v>44939</v>
      </c>
      <c r="J1955" s="163">
        <v>0.33333333333333331</v>
      </c>
      <c r="K1955" s="162" t="s">
        <v>749</v>
      </c>
      <c r="L1955" s="166"/>
      <c r="M1955" s="166"/>
      <c r="N1955" s="164"/>
      <c r="O1955" s="166"/>
      <c r="P1955" s="165"/>
    </row>
    <row r="1956" spans="1:16" ht="15" hidden="1" customHeight="1" x14ac:dyDescent="0.25">
      <c r="A1956" s="168"/>
      <c r="B1956" s="167"/>
      <c r="C1956" s="168"/>
      <c r="D1956" s="167"/>
      <c r="E1956" s="167"/>
      <c r="F1956" s="167"/>
      <c r="G1956" s="167"/>
      <c r="H1956" s="167"/>
      <c r="I1956" s="164">
        <f t="shared" ca="1" si="31"/>
        <v>44939</v>
      </c>
      <c r="J1956" s="163">
        <v>0.33333333333333331</v>
      </c>
      <c r="K1956" s="162" t="s">
        <v>749</v>
      </c>
      <c r="L1956" s="166"/>
      <c r="M1956" s="166"/>
      <c r="N1956" s="164"/>
      <c r="O1956" s="166"/>
      <c r="P1956" s="165"/>
    </row>
    <row r="1957" spans="1:16" ht="15" hidden="1" customHeight="1" x14ac:dyDescent="0.25">
      <c r="A1957" s="168"/>
      <c r="B1957" s="167"/>
      <c r="C1957" s="168"/>
      <c r="D1957" s="167"/>
      <c r="E1957" s="167"/>
      <c r="F1957" s="167"/>
      <c r="G1957" s="167"/>
      <c r="H1957" s="167"/>
      <c r="I1957" s="164">
        <f t="shared" ca="1" si="31"/>
        <v>44939</v>
      </c>
      <c r="J1957" s="163">
        <v>0.33333333333333331</v>
      </c>
      <c r="K1957" s="162" t="s">
        <v>749</v>
      </c>
      <c r="L1957" s="166"/>
      <c r="M1957" s="166"/>
      <c r="N1957" s="164"/>
      <c r="O1957" s="166"/>
      <c r="P1957" s="165"/>
    </row>
    <row r="1958" spans="1:16" ht="15" hidden="1" customHeight="1" x14ac:dyDescent="0.25">
      <c r="A1958" s="168"/>
      <c r="B1958" s="167"/>
      <c r="C1958" s="168"/>
      <c r="D1958" s="167"/>
      <c r="E1958" s="167"/>
      <c r="F1958" s="167"/>
      <c r="G1958" s="167"/>
      <c r="H1958" s="167"/>
      <c r="I1958" s="164">
        <f t="shared" ca="1" si="31"/>
        <v>44939</v>
      </c>
      <c r="J1958" s="163">
        <v>0.33333333333333331</v>
      </c>
      <c r="K1958" s="162" t="s">
        <v>749</v>
      </c>
      <c r="L1958" s="166"/>
      <c r="M1958" s="166"/>
      <c r="N1958" s="164"/>
      <c r="O1958" s="166"/>
      <c r="P1958" s="165"/>
    </row>
    <row r="1959" spans="1:16" ht="15" hidden="1" customHeight="1" x14ac:dyDescent="0.25">
      <c r="A1959" s="168"/>
      <c r="B1959" s="167"/>
      <c r="C1959" s="168"/>
      <c r="D1959" s="167"/>
      <c r="E1959" s="167"/>
      <c r="F1959" s="167"/>
      <c r="G1959" s="167"/>
      <c r="H1959" s="167"/>
      <c r="I1959" s="164">
        <f t="shared" ca="1" si="31"/>
        <v>44939</v>
      </c>
      <c r="J1959" s="163">
        <v>0.33333333333333331</v>
      </c>
      <c r="K1959" s="162" t="s">
        <v>749</v>
      </c>
      <c r="L1959" s="166"/>
      <c r="M1959" s="166"/>
      <c r="N1959" s="164"/>
      <c r="O1959" s="166"/>
      <c r="P1959" s="165"/>
    </row>
    <row r="1960" spans="1:16" ht="15" hidden="1" customHeight="1" x14ac:dyDescent="0.25">
      <c r="A1960" s="168"/>
      <c r="B1960" s="167"/>
      <c r="C1960" s="168"/>
      <c r="D1960" s="167"/>
      <c r="E1960" s="167"/>
      <c r="F1960" s="167"/>
      <c r="G1960" s="167"/>
      <c r="H1960" s="167"/>
      <c r="I1960" s="164">
        <f t="shared" ca="1" si="31"/>
        <v>44939</v>
      </c>
      <c r="J1960" s="163">
        <v>0.33333333333333331</v>
      </c>
      <c r="K1960" s="162" t="s">
        <v>749</v>
      </c>
      <c r="L1960" s="166"/>
      <c r="M1960" s="166"/>
      <c r="N1960" s="164"/>
      <c r="O1960" s="166"/>
      <c r="P1960" s="165"/>
    </row>
    <row r="1961" spans="1:16" ht="15" hidden="1" customHeight="1" x14ac:dyDescent="0.25">
      <c r="A1961" s="168"/>
      <c r="B1961" s="167"/>
      <c r="C1961" s="168"/>
      <c r="D1961" s="167"/>
      <c r="E1961" s="167"/>
      <c r="F1961" s="167"/>
      <c r="G1961" s="167"/>
      <c r="H1961" s="167"/>
      <c r="I1961" s="164">
        <f t="shared" ca="1" si="31"/>
        <v>44939</v>
      </c>
      <c r="J1961" s="163">
        <v>0.33333333333333331</v>
      </c>
      <c r="K1961" s="162" t="s">
        <v>749</v>
      </c>
      <c r="L1961" s="166"/>
      <c r="M1961" s="166"/>
      <c r="N1961" s="164"/>
      <c r="O1961" s="166"/>
      <c r="P1961" s="165"/>
    </row>
    <row r="1962" spans="1:16" ht="15" hidden="1" customHeight="1" x14ac:dyDescent="0.25">
      <c r="A1962" s="168"/>
      <c r="B1962" s="167"/>
      <c r="C1962" s="168"/>
      <c r="D1962" s="167"/>
      <c r="E1962" s="167"/>
      <c r="F1962" s="167"/>
      <c r="G1962" s="167"/>
      <c r="H1962" s="167"/>
      <c r="I1962" s="164">
        <f t="shared" ca="1" si="31"/>
        <v>44939</v>
      </c>
      <c r="J1962" s="163">
        <v>0.33333333333333331</v>
      </c>
      <c r="K1962" s="162" t="s">
        <v>749</v>
      </c>
      <c r="L1962" s="166"/>
      <c r="M1962" s="166"/>
      <c r="N1962" s="164"/>
      <c r="O1962" s="166"/>
      <c r="P1962" s="165"/>
    </row>
    <row r="1963" spans="1:16" ht="15" hidden="1" customHeight="1" x14ac:dyDescent="0.25">
      <c r="A1963" s="168"/>
      <c r="B1963" s="167"/>
      <c r="C1963" s="168"/>
      <c r="D1963" s="167"/>
      <c r="E1963" s="167"/>
      <c r="F1963" s="167"/>
      <c r="G1963" s="167"/>
      <c r="H1963" s="167"/>
      <c r="I1963" s="164">
        <f t="shared" ca="1" si="31"/>
        <v>44939</v>
      </c>
      <c r="J1963" s="163">
        <v>0.33333333333333331</v>
      </c>
      <c r="K1963" s="162" t="s">
        <v>749</v>
      </c>
      <c r="L1963" s="166"/>
      <c r="M1963" s="166"/>
      <c r="N1963" s="164"/>
      <c r="O1963" s="166"/>
      <c r="P1963" s="165"/>
    </row>
    <row r="1964" spans="1:16" ht="15" hidden="1" customHeight="1" x14ac:dyDescent="0.25">
      <c r="A1964" s="168"/>
      <c r="B1964" s="167"/>
      <c r="C1964" s="168"/>
      <c r="D1964" s="167"/>
      <c r="E1964" s="167"/>
      <c r="F1964" s="167"/>
      <c r="G1964" s="167"/>
      <c r="H1964" s="167"/>
      <c r="I1964" s="164">
        <f t="shared" ca="1" si="31"/>
        <v>44939</v>
      </c>
      <c r="J1964" s="163">
        <v>0.33333333333333331</v>
      </c>
      <c r="K1964" s="162" t="s">
        <v>749</v>
      </c>
      <c r="L1964" s="166"/>
      <c r="M1964" s="166"/>
      <c r="N1964" s="164"/>
      <c r="O1964" s="166"/>
      <c r="P1964" s="165"/>
    </row>
    <row r="1965" spans="1:16" ht="15" hidden="1" customHeight="1" x14ac:dyDescent="0.25">
      <c r="A1965" s="168"/>
      <c r="B1965" s="167"/>
      <c r="C1965" s="168"/>
      <c r="D1965" s="167"/>
      <c r="E1965" s="167"/>
      <c r="F1965" s="167"/>
      <c r="G1965" s="167"/>
      <c r="H1965" s="167"/>
      <c r="I1965" s="164">
        <f t="shared" ca="1" si="31"/>
        <v>44939</v>
      </c>
      <c r="J1965" s="163">
        <v>0.33333333333333331</v>
      </c>
      <c r="K1965" s="162" t="s">
        <v>749</v>
      </c>
      <c r="L1965" s="166"/>
      <c r="M1965" s="166"/>
      <c r="N1965" s="164"/>
      <c r="O1965" s="166"/>
      <c r="P1965" s="165"/>
    </row>
    <row r="1966" spans="1:16" ht="15" hidden="1" customHeight="1" x14ac:dyDescent="0.25">
      <c r="A1966" s="168"/>
      <c r="B1966" s="167"/>
      <c r="C1966" s="168"/>
      <c r="D1966" s="167"/>
      <c r="E1966" s="167"/>
      <c r="F1966" s="167"/>
      <c r="G1966" s="167"/>
      <c r="H1966" s="167"/>
      <c r="I1966" s="164">
        <f t="shared" ca="1" si="31"/>
        <v>44939</v>
      </c>
      <c r="J1966" s="163">
        <v>0.33333333333333331</v>
      </c>
      <c r="K1966" s="162" t="s">
        <v>749</v>
      </c>
      <c r="L1966" s="166"/>
      <c r="M1966" s="166"/>
      <c r="N1966" s="164"/>
      <c r="O1966" s="166"/>
      <c r="P1966" s="165"/>
    </row>
    <row r="1967" spans="1:16" ht="15" hidden="1" customHeight="1" x14ac:dyDescent="0.25">
      <c r="A1967" s="168"/>
      <c r="B1967" s="167"/>
      <c r="C1967" s="168"/>
      <c r="D1967" s="167"/>
      <c r="E1967" s="167"/>
      <c r="F1967" s="167"/>
      <c r="G1967" s="167"/>
      <c r="H1967" s="167"/>
      <c r="I1967" s="164">
        <f t="shared" ca="1" si="31"/>
        <v>44939</v>
      </c>
      <c r="J1967" s="163">
        <v>0.33333333333333331</v>
      </c>
      <c r="K1967" s="162" t="s">
        <v>749</v>
      </c>
      <c r="L1967" s="166"/>
      <c r="M1967" s="166"/>
      <c r="N1967" s="164"/>
      <c r="O1967" s="166"/>
      <c r="P1967" s="165"/>
    </row>
    <row r="1968" spans="1:16" ht="15" hidden="1" customHeight="1" x14ac:dyDescent="0.25">
      <c r="A1968" s="168"/>
      <c r="B1968" s="167"/>
      <c r="C1968" s="168"/>
      <c r="D1968" s="167"/>
      <c r="E1968" s="167"/>
      <c r="F1968" s="167"/>
      <c r="G1968" s="167"/>
      <c r="H1968" s="167"/>
      <c r="I1968" s="164">
        <f t="shared" ca="1" si="31"/>
        <v>44939</v>
      </c>
      <c r="J1968" s="163">
        <v>0.33333333333333331</v>
      </c>
      <c r="K1968" s="162" t="s">
        <v>749</v>
      </c>
      <c r="L1968" s="166"/>
      <c r="M1968" s="166"/>
      <c r="N1968" s="164"/>
      <c r="O1968" s="166"/>
      <c r="P1968" s="165"/>
    </row>
    <row r="1969" spans="1:16" ht="15" hidden="1" customHeight="1" x14ac:dyDescent="0.25">
      <c r="A1969" s="168"/>
      <c r="B1969" s="167"/>
      <c r="C1969" s="168"/>
      <c r="D1969" s="167"/>
      <c r="E1969" s="167"/>
      <c r="F1969" s="167"/>
      <c r="G1969" s="167"/>
      <c r="H1969" s="167"/>
      <c r="I1969" s="164">
        <f t="shared" ca="1" si="31"/>
        <v>44939</v>
      </c>
      <c r="J1969" s="163">
        <v>0.33333333333333331</v>
      </c>
      <c r="K1969" s="162" t="s">
        <v>749</v>
      </c>
      <c r="L1969" s="166"/>
      <c r="M1969" s="166"/>
      <c r="N1969" s="164"/>
      <c r="O1969" s="166"/>
      <c r="P1969" s="165"/>
    </row>
    <row r="1970" spans="1:16" ht="15" hidden="1" customHeight="1" x14ac:dyDescent="0.25">
      <c r="A1970" s="168"/>
      <c r="B1970" s="167"/>
      <c r="C1970" s="168"/>
      <c r="D1970" s="167"/>
      <c r="E1970" s="167"/>
      <c r="F1970" s="167"/>
      <c r="G1970" s="167"/>
      <c r="H1970" s="167"/>
      <c r="I1970" s="164">
        <f t="shared" ca="1" si="31"/>
        <v>44939</v>
      </c>
      <c r="J1970" s="163">
        <v>0.33333333333333331</v>
      </c>
      <c r="K1970" s="162" t="s">
        <v>749</v>
      </c>
      <c r="L1970" s="166"/>
      <c r="M1970" s="166"/>
      <c r="N1970" s="164"/>
      <c r="O1970" s="166"/>
      <c r="P1970" s="165"/>
    </row>
    <row r="1971" spans="1:16" ht="15" hidden="1" customHeight="1" x14ac:dyDescent="0.25">
      <c r="A1971" s="168"/>
      <c r="B1971" s="167"/>
      <c r="C1971" s="168"/>
      <c r="D1971" s="167"/>
      <c r="E1971" s="167"/>
      <c r="F1971" s="167"/>
      <c r="G1971" s="167"/>
      <c r="H1971" s="167"/>
      <c r="I1971" s="164">
        <f t="shared" ca="1" si="31"/>
        <v>44939</v>
      </c>
      <c r="J1971" s="163">
        <v>0.33333333333333331</v>
      </c>
      <c r="K1971" s="162" t="s">
        <v>749</v>
      </c>
      <c r="L1971" s="166"/>
      <c r="M1971" s="166"/>
      <c r="N1971" s="164"/>
      <c r="O1971" s="166"/>
      <c r="P1971" s="165"/>
    </row>
    <row r="1972" spans="1:16" ht="15" hidden="1" customHeight="1" x14ac:dyDescent="0.25">
      <c r="A1972" s="168"/>
      <c r="B1972" s="167"/>
      <c r="C1972" s="168"/>
      <c r="D1972" s="167"/>
      <c r="E1972" s="167"/>
      <c r="F1972" s="167"/>
      <c r="G1972" s="167"/>
      <c r="H1972" s="167"/>
      <c r="I1972" s="164">
        <f t="shared" ca="1" si="31"/>
        <v>44939</v>
      </c>
      <c r="J1972" s="163">
        <v>0.33333333333333331</v>
      </c>
      <c r="K1972" s="162" t="s">
        <v>749</v>
      </c>
      <c r="L1972" s="166"/>
      <c r="M1972" s="166"/>
      <c r="N1972" s="164"/>
      <c r="O1972" s="166"/>
      <c r="P1972" s="165"/>
    </row>
    <row r="1973" spans="1:16" ht="15" hidden="1" customHeight="1" x14ac:dyDescent="0.25">
      <c r="A1973" s="168"/>
      <c r="B1973" s="167"/>
      <c r="C1973" s="168"/>
      <c r="D1973" s="167"/>
      <c r="E1973" s="167"/>
      <c r="F1973" s="167"/>
      <c r="G1973" s="167"/>
      <c r="H1973" s="167"/>
      <c r="I1973" s="164">
        <f t="shared" ca="1" si="31"/>
        <v>44939</v>
      </c>
      <c r="J1973" s="163">
        <v>0.33333333333333331</v>
      </c>
      <c r="K1973" s="162" t="s">
        <v>749</v>
      </c>
      <c r="L1973" s="166"/>
      <c r="M1973" s="166"/>
      <c r="N1973" s="164"/>
      <c r="O1973" s="166"/>
      <c r="P1973" s="165"/>
    </row>
    <row r="1974" spans="1:16" ht="15" hidden="1" customHeight="1" x14ac:dyDescent="0.25">
      <c r="A1974" s="168"/>
      <c r="B1974" s="167"/>
      <c r="C1974" s="168"/>
      <c r="D1974" s="167"/>
      <c r="E1974" s="167"/>
      <c r="F1974" s="167"/>
      <c r="G1974" s="167"/>
      <c r="H1974" s="167"/>
      <c r="I1974" s="164">
        <f t="shared" ca="1" si="31"/>
        <v>44939</v>
      </c>
      <c r="J1974" s="163">
        <v>0.33333333333333331</v>
      </c>
      <c r="K1974" s="162" t="s">
        <v>749</v>
      </c>
      <c r="L1974" s="166"/>
      <c r="M1974" s="166"/>
      <c r="N1974" s="164"/>
      <c r="O1974" s="166"/>
      <c r="P1974" s="165"/>
    </row>
    <row r="1975" spans="1:16" ht="15" hidden="1" customHeight="1" x14ac:dyDescent="0.25">
      <c r="A1975" s="168"/>
      <c r="B1975" s="167"/>
      <c r="C1975" s="168"/>
      <c r="D1975" s="167"/>
      <c r="E1975" s="167"/>
      <c r="F1975" s="167"/>
      <c r="G1975" s="167"/>
      <c r="H1975" s="167"/>
      <c r="I1975" s="164">
        <f t="shared" ca="1" si="31"/>
        <v>44939</v>
      </c>
      <c r="J1975" s="163">
        <v>0.33333333333333331</v>
      </c>
      <c r="K1975" s="162" t="s">
        <v>749</v>
      </c>
      <c r="L1975" s="166"/>
      <c r="M1975" s="166"/>
      <c r="N1975" s="164"/>
      <c r="O1975" s="166"/>
      <c r="P1975" s="165"/>
    </row>
    <row r="1976" spans="1:16" ht="15" hidden="1" customHeight="1" x14ac:dyDescent="0.25">
      <c r="A1976" s="168"/>
      <c r="B1976" s="167"/>
      <c r="C1976" s="168"/>
      <c r="D1976" s="167"/>
      <c r="E1976" s="167"/>
      <c r="F1976" s="167"/>
      <c r="G1976" s="167"/>
      <c r="H1976" s="167"/>
      <c r="I1976" s="164">
        <f t="shared" ca="1" si="31"/>
        <v>44939</v>
      </c>
      <c r="J1976" s="163">
        <v>0.33333333333333331</v>
      </c>
      <c r="K1976" s="162" t="s">
        <v>749</v>
      </c>
      <c r="L1976" s="166"/>
      <c r="M1976" s="166"/>
      <c r="N1976" s="164"/>
      <c r="O1976" s="166"/>
      <c r="P1976" s="165"/>
    </row>
    <row r="1977" spans="1:16" ht="15" hidden="1" customHeight="1" x14ac:dyDescent="0.25">
      <c r="A1977" s="168"/>
      <c r="B1977" s="167"/>
      <c r="C1977" s="168"/>
      <c r="D1977" s="167"/>
      <c r="E1977" s="167"/>
      <c r="F1977" s="167"/>
      <c r="G1977" s="167"/>
      <c r="H1977" s="167"/>
      <c r="I1977" s="164">
        <f t="shared" ca="1" si="31"/>
        <v>44939</v>
      </c>
      <c r="J1977" s="163">
        <v>0.33333333333333331</v>
      </c>
      <c r="K1977" s="162" t="s">
        <v>749</v>
      </c>
      <c r="L1977" s="166"/>
      <c r="M1977" s="166"/>
      <c r="N1977" s="164"/>
      <c r="O1977" s="166"/>
      <c r="P1977" s="165"/>
    </row>
    <row r="1978" spans="1:16" ht="15" hidden="1" customHeight="1" x14ac:dyDescent="0.25">
      <c r="A1978" s="168"/>
      <c r="B1978" s="167"/>
      <c r="C1978" s="168"/>
      <c r="D1978" s="167"/>
      <c r="E1978" s="167"/>
      <c r="F1978" s="167"/>
      <c r="G1978" s="167"/>
      <c r="H1978" s="167"/>
      <c r="I1978" s="164">
        <f t="shared" ca="1" si="31"/>
        <v>44939</v>
      </c>
      <c r="J1978" s="163">
        <v>0.33333333333333331</v>
      </c>
      <c r="K1978" s="162" t="s">
        <v>749</v>
      </c>
      <c r="L1978" s="166"/>
      <c r="M1978" s="166"/>
      <c r="N1978" s="164"/>
      <c r="O1978" s="166"/>
      <c r="P1978" s="165"/>
    </row>
    <row r="1979" spans="1:16" ht="15" hidden="1" customHeight="1" x14ac:dyDescent="0.25">
      <c r="A1979" s="168"/>
      <c r="B1979" s="167"/>
      <c r="C1979" s="168"/>
      <c r="D1979" s="167"/>
      <c r="E1979" s="167"/>
      <c r="F1979" s="167"/>
      <c r="G1979" s="167"/>
      <c r="H1979" s="167"/>
      <c r="I1979" s="164">
        <f t="shared" ca="1" si="31"/>
        <v>44939</v>
      </c>
      <c r="J1979" s="163">
        <v>0.33333333333333331</v>
      </c>
      <c r="K1979" s="162" t="s">
        <v>749</v>
      </c>
      <c r="L1979" s="166"/>
      <c r="M1979" s="166"/>
      <c r="N1979" s="164"/>
      <c r="O1979" s="166"/>
      <c r="P1979" s="165"/>
    </row>
    <row r="1980" spans="1:16" ht="15" hidden="1" customHeight="1" x14ac:dyDescent="0.25">
      <c r="A1980" s="168"/>
      <c r="B1980" s="167"/>
      <c r="C1980" s="168"/>
      <c r="D1980" s="167"/>
      <c r="E1980" s="167"/>
      <c r="F1980" s="167"/>
      <c r="G1980" s="167"/>
      <c r="H1980" s="167"/>
      <c r="I1980" s="164">
        <f t="shared" ca="1" si="31"/>
        <v>44939</v>
      </c>
      <c r="J1980" s="163">
        <v>0.33333333333333331</v>
      </c>
      <c r="K1980" s="162" t="s">
        <v>749</v>
      </c>
      <c r="L1980" s="166"/>
      <c r="M1980" s="166"/>
      <c r="N1980" s="164"/>
      <c r="O1980" s="166"/>
      <c r="P1980" s="165"/>
    </row>
    <row r="1981" spans="1:16" ht="15" hidden="1" customHeight="1" x14ac:dyDescent="0.25">
      <c r="A1981" s="168"/>
      <c r="B1981" s="167"/>
      <c r="C1981" s="168"/>
      <c r="D1981" s="167"/>
      <c r="E1981" s="167"/>
      <c r="F1981" s="167"/>
      <c r="G1981" s="167"/>
      <c r="H1981" s="167"/>
      <c r="I1981" s="164">
        <f t="shared" ca="1" si="31"/>
        <v>44939</v>
      </c>
      <c r="J1981" s="163">
        <v>0.33333333333333331</v>
      </c>
      <c r="K1981" s="162" t="s">
        <v>749</v>
      </c>
      <c r="L1981" s="166"/>
      <c r="M1981" s="166"/>
      <c r="N1981" s="164"/>
      <c r="O1981" s="166"/>
      <c r="P1981" s="165"/>
    </row>
    <row r="1982" spans="1:16" ht="15" hidden="1" customHeight="1" x14ac:dyDescent="0.25">
      <c r="A1982" s="168"/>
      <c r="B1982" s="167"/>
      <c r="C1982" s="168"/>
      <c r="D1982" s="167"/>
      <c r="E1982" s="167"/>
      <c r="F1982" s="167"/>
      <c r="G1982" s="167"/>
      <c r="H1982" s="167"/>
      <c r="I1982" s="164">
        <f t="shared" ca="1" si="31"/>
        <v>44939</v>
      </c>
      <c r="J1982" s="163">
        <v>0.33333333333333331</v>
      </c>
      <c r="K1982" s="162" t="s">
        <v>749</v>
      </c>
      <c r="L1982" s="166"/>
      <c r="M1982" s="166"/>
      <c r="N1982" s="164"/>
      <c r="O1982" s="166"/>
      <c r="P1982" s="165"/>
    </row>
    <row r="1983" spans="1:16" ht="15" hidden="1" customHeight="1" x14ac:dyDescent="0.25">
      <c r="A1983" s="168"/>
      <c r="B1983" s="167"/>
      <c r="C1983" s="168"/>
      <c r="D1983" s="167"/>
      <c r="E1983" s="167"/>
      <c r="F1983" s="167"/>
      <c r="G1983" s="167"/>
      <c r="H1983" s="167"/>
      <c r="I1983" s="164">
        <f t="shared" ca="1" si="31"/>
        <v>44939</v>
      </c>
      <c r="J1983" s="163">
        <v>0.33333333333333331</v>
      </c>
      <c r="K1983" s="162" t="s">
        <v>749</v>
      </c>
      <c r="L1983" s="166"/>
      <c r="M1983" s="166"/>
      <c r="N1983" s="164"/>
      <c r="O1983" s="166"/>
      <c r="P1983" s="165"/>
    </row>
    <row r="1984" spans="1:16" ht="15" hidden="1" customHeight="1" x14ac:dyDescent="0.25">
      <c r="A1984" s="168"/>
      <c r="B1984" s="167"/>
      <c r="C1984" s="168"/>
      <c r="D1984" s="167"/>
      <c r="E1984" s="167"/>
      <c r="F1984" s="167"/>
      <c r="G1984" s="167"/>
      <c r="H1984" s="167"/>
      <c r="I1984" s="164">
        <f t="shared" ca="1" si="31"/>
        <v>44939</v>
      </c>
      <c r="J1984" s="163">
        <v>0.33333333333333331</v>
      </c>
      <c r="K1984" s="162" t="s">
        <v>749</v>
      </c>
      <c r="L1984" s="166"/>
      <c r="M1984" s="166"/>
      <c r="N1984" s="164"/>
      <c r="O1984" s="166"/>
      <c r="P1984" s="165"/>
    </row>
    <row r="1985" spans="1:16" ht="15" hidden="1" customHeight="1" x14ac:dyDescent="0.25">
      <c r="A1985" s="168"/>
      <c r="B1985" s="167"/>
      <c r="C1985" s="168"/>
      <c r="D1985" s="167"/>
      <c r="E1985" s="167"/>
      <c r="F1985" s="167"/>
      <c r="G1985" s="167"/>
      <c r="H1985" s="167"/>
      <c r="I1985" s="164">
        <f t="shared" ca="1" si="31"/>
        <v>44939</v>
      </c>
      <c r="J1985" s="163">
        <v>0.33333333333333331</v>
      </c>
      <c r="K1985" s="162" t="s">
        <v>749</v>
      </c>
      <c r="L1985" s="166"/>
      <c r="M1985" s="166"/>
      <c r="N1985" s="164"/>
      <c r="O1985" s="166"/>
      <c r="P1985" s="165"/>
    </row>
    <row r="1986" spans="1:16" ht="15" hidden="1" customHeight="1" x14ac:dyDescent="0.25">
      <c r="A1986" s="168"/>
      <c r="B1986" s="167"/>
      <c r="C1986" s="168"/>
      <c r="D1986" s="167"/>
      <c r="E1986" s="167"/>
      <c r="F1986" s="167"/>
      <c r="G1986" s="167"/>
      <c r="H1986" s="167"/>
      <c r="I1986" s="164">
        <f t="shared" ca="1" si="31"/>
        <v>44939</v>
      </c>
      <c r="J1986" s="163">
        <v>0.33333333333333331</v>
      </c>
      <c r="K1986" s="162" t="s">
        <v>749</v>
      </c>
      <c r="L1986" s="166"/>
      <c r="M1986" s="166"/>
      <c r="N1986" s="164"/>
      <c r="O1986" s="166"/>
      <c r="P1986" s="165"/>
    </row>
    <row r="1987" spans="1:16" ht="15" hidden="1" customHeight="1" x14ac:dyDescent="0.25">
      <c r="A1987" s="168"/>
      <c r="B1987" s="167"/>
      <c r="C1987" s="168"/>
      <c r="D1987" s="167"/>
      <c r="E1987" s="167"/>
      <c r="F1987" s="167"/>
      <c r="G1987" s="167"/>
      <c r="H1987" s="167"/>
      <c r="I1987" s="164">
        <f t="shared" ca="1" si="31"/>
        <v>44939</v>
      </c>
      <c r="J1987" s="163">
        <v>0.33333333333333331</v>
      </c>
      <c r="K1987" s="162" t="s">
        <v>749</v>
      </c>
      <c r="L1987" s="166"/>
      <c r="M1987" s="166"/>
      <c r="N1987" s="164"/>
      <c r="O1987" s="166"/>
      <c r="P1987" s="165"/>
    </row>
    <row r="1988" spans="1:16" ht="15" hidden="1" customHeight="1" x14ac:dyDescent="0.25">
      <c r="A1988" s="168"/>
      <c r="B1988" s="167"/>
      <c r="C1988" s="168"/>
      <c r="D1988" s="167"/>
      <c r="E1988" s="167"/>
      <c r="F1988" s="167"/>
      <c r="G1988" s="167"/>
      <c r="H1988" s="167"/>
      <c r="I1988" s="164">
        <f t="shared" ca="1" si="31"/>
        <v>44939</v>
      </c>
      <c r="J1988" s="163">
        <v>0.33333333333333331</v>
      </c>
      <c r="K1988" s="162" t="s">
        <v>749</v>
      </c>
      <c r="L1988" s="166"/>
      <c r="M1988" s="166"/>
      <c r="N1988" s="164"/>
      <c r="O1988" s="166"/>
      <c r="P1988" s="165"/>
    </row>
    <row r="1989" spans="1:16" ht="15" hidden="1" customHeight="1" x14ac:dyDescent="0.25">
      <c r="A1989" s="168"/>
      <c r="B1989" s="167"/>
      <c r="C1989" s="168"/>
      <c r="D1989" s="167"/>
      <c r="E1989" s="167"/>
      <c r="F1989" s="167"/>
      <c r="G1989" s="167"/>
      <c r="H1989" s="167"/>
      <c r="I1989" s="164">
        <f t="shared" ca="1" si="31"/>
        <v>44939</v>
      </c>
      <c r="J1989" s="163">
        <v>0.33333333333333331</v>
      </c>
      <c r="K1989" s="162" t="s">
        <v>749</v>
      </c>
      <c r="L1989" s="166"/>
      <c r="M1989" s="166"/>
      <c r="N1989" s="164"/>
      <c r="O1989" s="166"/>
      <c r="P1989" s="165"/>
    </row>
    <row r="1990" spans="1:16" ht="15" hidden="1" customHeight="1" x14ac:dyDescent="0.25">
      <c r="A1990" s="168"/>
      <c r="B1990" s="167"/>
      <c r="C1990" s="168"/>
      <c r="D1990" s="167"/>
      <c r="E1990" s="167"/>
      <c r="F1990" s="167"/>
      <c r="G1990" s="167"/>
      <c r="H1990" s="167"/>
      <c r="I1990" s="164">
        <f t="shared" ca="1" si="31"/>
        <v>44939</v>
      </c>
      <c r="J1990" s="163">
        <v>0.33333333333333331</v>
      </c>
      <c r="K1990" s="162" t="s">
        <v>749</v>
      </c>
      <c r="L1990" s="166"/>
      <c r="M1990" s="166"/>
      <c r="N1990" s="164"/>
      <c r="O1990" s="166"/>
      <c r="P1990" s="165"/>
    </row>
    <row r="1991" spans="1:16" ht="15" hidden="1" customHeight="1" x14ac:dyDescent="0.25">
      <c r="A1991" s="168"/>
      <c r="B1991" s="167"/>
      <c r="C1991" s="168"/>
      <c r="D1991" s="167"/>
      <c r="E1991" s="167"/>
      <c r="F1991" s="167"/>
      <c r="G1991" s="167"/>
      <c r="H1991" s="167"/>
      <c r="I1991" s="164">
        <f t="shared" ca="1" si="31"/>
        <v>44939</v>
      </c>
      <c r="J1991" s="163">
        <v>0.33333333333333331</v>
      </c>
      <c r="K1991" s="162" t="s">
        <v>749</v>
      </c>
      <c r="L1991" s="166"/>
      <c r="M1991" s="166"/>
      <c r="N1991" s="164"/>
      <c r="O1991" s="166"/>
      <c r="P1991" s="165"/>
    </row>
    <row r="1992" spans="1:16" ht="15" hidden="1" customHeight="1" x14ac:dyDescent="0.25">
      <c r="A1992" s="168"/>
      <c r="B1992" s="167"/>
      <c r="C1992" s="168"/>
      <c r="D1992" s="167"/>
      <c r="E1992" s="167"/>
      <c r="F1992" s="167"/>
      <c r="G1992" s="167"/>
      <c r="H1992" s="167"/>
      <c r="I1992" s="164">
        <f t="shared" ca="1" si="31"/>
        <v>44939</v>
      </c>
      <c r="J1992" s="163">
        <v>0.33333333333333331</v>
      </c>
      <c r="K1992" s="162" t="s">
        <v>749</v>
      </c>
      <c r="L1992" s="166"/>
      <c r="M1992" s="166"/>
      <c r="N1992" s="164"/>
      <c r="O1992" s="166"/>
      <c r="P1992" s="165"/>
    </row>
    <row r="1993" spans="1:16" ht="15" hidden="1" customHeight="1" x14ac:dyDescent="0.25">
      <c r="A1993" s="168"/>
      <c r="B1993" s="167"/>
      <c r="C1993" s="168"/>
      <c r="D1993" s="167"/>
      <c r="E1993" s="167"/>
      <c r="F1993" s="167"/>
      <c r="G1993" s="167"/>
      <c r="H1993" s="167"/>
      <c r="I1993" s="164">
        <f t="shared" ca="1" si="31"/>
        <v>44939</v>
      </c>
      <c r="J1993" s="163">
        <v>0.33333333333333331</v>
      </c>
      <c r="K1993" s="162" t="s">
        <v>749</v>
      </c>
      <c r="L1993" s="166"/>
      <c r="M1993" s="166"/>
      <c r="N1993" s="164"/>
      <c r="O1993" s="166"/>
      <c r="P1993" s="165"/>
    </row>
    <row r="1994" spans="1:16" ht="15" hidden="1" customHeight="1" x14ac:dyDescent="0.25">
      <c r="A1994" s="168"/>
      <c r="B1994" s="167"/>
      <c r="C1994" s="168"/>
      <c r="D1994" s="167"/>
      <c r="E1994" s="167"/>
      <c r="F1994" s="167"/>
      <c r="G1994" s="167"/>
      <c r="H1994" s="167"/>
      <c r="I1994" s="164">
        <f t="shared" ca="1" si="31"/>
        <v>44939</v>
      </c>
      <c r="J1994" s="163">
        <v>0.33333333333333331</v>
      </c>
      <c r="K1994" s="162" t="s">
        <v>749</v>
      </c>
      <c r="L1994" s="166"/>
      <c r="M1994" s="166"/>
      <c r="N1994" s="164"/>
      <c r="O1994" s="166"/>
      <c r="P1994" s="165"/>
    </row>
    <row r="1995" spans="1:16" ht="15" hidden="1" customHeight="1" x14ac:dyDescent="0.25">
      <c r="A1995" s="168"/>
      <c r="B1995" s="167"/>
      <c r="C1995" s="168"/>
      <c r="D1995" s="167"/>
      <c r="E1995" s="167"/>
      <c r="F1995" s="167"/>
      <c r="G1995" s="167"/>
      <c r="H1995" s="167"/>
      <c r="I1995" s="164">
        <f t="shared" ca="1" si="31"/>
        <v>44939</v>
      </c>
      <c r="J1995" s="163">
        <v>0.33333333333333331</v>
      </c>
      <c r="K1995" s="162" t="s">
        <v>749</v>
      </c>
      <c r="L1995" s="166"/>
      <c r="M1995" s="166"/>
      <c r="N1995" s="164"/>
      <c r="O1995" s="166"/>
      <c r="P1995" s="165"/>
    </row>
    <row r="1996" spans="1:16" ht="15" hidden="1" customHeight="1" x14ac:dyDescent="0.25">
      <c r="A1996" s="168"/>
      <c r="B1996" s="167"/>
      <c r="C1996" s="168"/>
      <c r="D1996" s="167"/>
      <c r="E1996" s="167"/>
      <c r="F1996" s="167"/>
      <c r="G1996" s="167"/>
      <c r="H1996" s="167"/>
      <c r="I1996" s="164">
        <f t="shared" ca="1" si="31"/>
        <v>44939</v>
      </c>
      <c r="J1996" s="163">
        <v>0.33333333333333331</v>
      </c>
      <c r="K1996" s="162" t="s">
        <v>749</v>
      </c>
      <c r="L1996" s="166"/>
      <c r="M1996" s="166"/>
      <c r="N1996" s="164"/>
      <c r="O1996" s="166"/>
      <c r="P1996" s="165"/>
    </row>
    <row r="1997" spans="1:16" ht="15" hidden="1" customHeight="1" x14ac:dyDescent="0.25">
      <c r="A1997" s="168"/>
      <c r="B1997" s="167"/>
      <c r="C1997" s="168"/>
      <c r="D1997" s="167"/>
      <c r="E1997" s="167"/>
      <c r="F1997" s="167"/>
      <c r="G1997" s="167"/>
      <c r="H1997" s="167"/>
      <c r="I1997" s="164">
        <f t="shared" ca="1" si="31"/>
        <v>44939</v>
      </c>
      <c r="J1997" s="163">
        <v>0.33333333333333331</v>
      </c>
      <c r="K1997" s="162" t="s">
        <v>749</v>
      </c>
      <c r="L1997" s="166"/>
      <c r="M1997" s="166"/>
      <c r="N1997" s="164"/>
      <c r="O1997" s="166"/>
      <c r="P1997" s="165"/>
    </row>
    <row r="1998" spans="1:16" ht="15" hidden="1" customHeight="1" x14ac:dyDescent="0.25">
      <c r="A1998" s="168"/>
      <c r="B1998" s="167"/>
      <c r="C1998" s="168"/>
      <c r="D1998" s="167"/>
      <c r="E1998" s="167"/>
      <c r="F1998" s="167"/>
      <c r="G1998" s="167"/>
      <c r="H1998" s="167"/>
      <c r="I1998" s="164">
        <f t="shared" ca="1" si="31"/>
        <v>44939</v>
      </c>
      <c r="J1998" s="163">
        <v>0.33333333333333331</v>
      </c>
      <c r="K1998" s="162" t="s">
        <v>749</v>
      </c>
      <c r="L1998" s="166"/>
      <c r="M1998" s="166"/>
      <c r="N1998" s="164"/>
      <c r="O1998" s="166"/>
      <c r="P1998" s="165"/>
    </row>
    <row r="1999" spans="1:16" ht="15" hidden="1" customHeight="1" x14ac:dyDescent="0.25">
      <c r="A1999" s="168"/>
      <c r="B1999" s="167"/>
      <c r="C1999" s="168"/>
      <c r="D1999" s="167"/>
      <c r="E1999" s="167"/>
      <c r="F1999" s="167"/>
      <c r="G1999" s="167"/>
      <c r="H1999" s="167"/>
      <c r="I1999" s="164">
        <f t="shared" ca="1" si="31"/>
        <v>44939</v>
      </c>
      <c r="J1999" s="163">
        <v>0.33333333333333331</v>
      </c>
      <c r="K1999" s="162" t="s">
        <v>749</v>
      </c>
      <c r="L1999" s="166"/>
      <c r="M1999" s="166"/>
      <c r="N1999" s="164"/>
      <c r="O1999" s="166"/>
      <c r="P1999" s="165"/>
    </row>
    <row r="2000" spans="1:16" ht="15" hidden="1" customHeight="1" x14ac:dyDescent="0.25">
      <c r="A2000" s="168"/>
      <c r="B2000" s="167"/>
      <c r="C2000" s="168"/>
      <c r="D2000" s="167"/>
      <c r="E2000" s="167"/>
      <c r="F2000" s="167"/>
      <c r="G2000" s="167"/>
      <c r="H2000" s="167"/>
      <c r="I2000" s="164">
        <f t="shared" ca="1" si="31"/>
        <v>44939</v>
      </c>
      <c r="J2000" s="163">
        <v>0.33333333333333331</v>
      </c>
      <c r="K2000" s="162" t="s">
        <v>749</v>
      </c>
      <c r="L2000" s="166"/>
      <c r="M2000" s="166"/>
      <c r="N2000" s="164"/>
      <c r="O2000" s="166"/>
      <c r="P2000" s="165"/>
    </row>
    <row r="2001" spans="1:16" ht="15" hidden="1" customHeight="1" x14ac:dyDescent="0.25">
      <c r="A2001" s="168"/>
      <c r="B2001" s="167"/>
      <c r="C2001" s="168"/>
      <c r="D2001" s="167"/>
      <c r="E2001" s="167"/>
      <c r="F2001" s="167"/>
      <c r="G2001" s="167"/>
      <c r="H2001" s="167"/>
      <c r="I2001" s="164">
        <f t="shared" ca="1" si="31"/>
        <v>44939</v>
      </c>
      <c r="J2001" s="163">
        <v>0.33333333333333331</v>
      </c>
      <c r="K2001" s="162" t="s">
        <v>749</v>
      </c>
      <c r="L2001" s="166"/>
      <c r="M2001" s="166"/>
      <c r="N2001" s="164"/>
      <c r="O2001" s="166"/>
      <c r="P2001" s="165"/>
    </row>
    <row r="2002" spans="1:16" ht="15" hidden="1" customHeight="1" x14ac:dyDescent="0.25">
      <c r="A2002" s="168"/>
      <c r="B2002" s="167"/>
      <c r="C2002" s="168"/>
      <c r="D2002" s="167"/>
      <c r="E2002" s="167"/>
      <c r="F2002" s="167"/>
      <c r="G2002" s="167"/>
      <c r="H2002" s="167"/>
      <c r="I2002" s="164">
        <f t="shared" ca="1" si="31"/>
        <v>44939</v>
      </c>
      <c r="J2002" s="163">
        <v>0.33333333333333331</v>
      </c>
      <c r="K2002" s="162" t="s">
        <v>749</v>
      </c>
      <c r="L2002" s="166"/>
      <c r="M2002" s="166"/>
      <c r="N2002" s="164"/>
      <c r="O2002" s="166"/>
      <c r="P2002" s="165"/>
    </row>
    <row r="2003" spans="1:16" ht="15" hidden="1" customHeight="1" x14ac:dyDescent="0.25">
      <c r="A2003" s="168"/>
      <c r="B2003" s="167"/>
      <c r="C2003" s="168"/>
      <c r="D2003" s="167"/>
      <c r="E2003" s="167"/>
      <c r="F2003" s="167"/>
      <c r="G2003" s="167"/>
      <c r="H2003" s="167"/>
      <c r="I2003" s="164">
        <f t="shared" ca="1" si="31"/>
        <v>44939</v>
      </c>
      <c r="J2003" s="163">
        <v>0.33333333333333331</v>
      </c>
      <c r="K2003" s="162" t="s">
        <v>749</v>
      </c>
      <c r="L2003" s="166"/>
      <c r="M2003" s="166"/>
      <c r="N2003" s="164"/>
      <c r="O2003" s="166"/>
      <c r="P2003" s="165"/>
    </row>
    <row r="2004" spans="1:16" ht="15" hidden="1" customHeight="1" x14ac:dyDescent="0.25">
      <c r="A2004" s="168"/>
      <c r="B2004" s="167"/>
      <c r="C2004" s="168"/>
      <c r="D2004" s="167"/>
      <c r="E2004" s="167"/>
      <c r="F2004" s="167"/>
      <c r="G2004" s="167"/>
      <c r="H2004" s="167"/>
      <c r="I2004" s="164">
        <f t="shared" ca="1" si="31"/>
        <v>44939</v>
      </c>
      <c r="J2004" s="163">
        <v>0.33333333333333331</v>
      </c>
      <c r="K2004" s="162" t="s">
        <v>749</v>
      </c>
      <c r="L2004" s="166"/>
      <c r="M2004" s="166"/>
      <c r="N2004" s="164"/>
      <c r="O2004" s="166"/>
      <c r="P2004" s="165"/>
    </row>
    <row r="2005" spans="1:16" ht="15" hidden="1" customHeight="1" x14ac:dyDescent="0.25">
      <c r="A2005" s="168"/>
      <c r="B2005" s="167"/>
      <c r="C2005" s="168"/>
      <c r="D2005" s="167"/>
      <c r="E2005" s="167"/>
      <c r="F2005" s="167"/>
      <c r="G2005" s="167"/>
      <c r="H2005" s="167"/>
      <c r="I2005" s="164">
        <f t="shared" ca="1" si="31"/>
        <v>44939</v>
      </c>
      <c r="J2005" s="163">
        <v>0.33333333333333331</v>
      </c>
      <c r="K2005" s="162" t="s">
        <v>749</v>
      </c>
      <c r="L2005" s="166"/>
      <c r="M2005" s="166"/>
      <c r="N2005" s="164"/>
      <c r="O2005" s="166"/>
      <c r="P2005" s="165"/>
    </row>
    <row r="2006" spans="1:16" ht="15" hidden="1" customHeight="1" x14ac:dyDescent="0.25">
      <c r="A2006" s="168"/>
      <c r="B2006" s="167"/>
      <c r="C2006" s="168"/>
      <c r="D2006" s="167"/>
      <c r="E2006" s="167"/>
      <c r="F2006" s="167"/>
      <c r="G2006" s="167"/>
      <c r="H2006" s="167"/>
      <c r="I2006" s="164">
        <f t="shared" ca="1" si="31"/>
        <v>44939</v>
      </c>
      <c r="J2006" s="163">
        <v>0.33333333333333331</v>
      </c>
      <c r="K2006" s="162" t="s">
        <v>749</v>
      </c>
      <c r="L2006" s="166"/>
      <c r="M2006" s="166"/>
      <c r="N2006" s="164"/>
      <c r="O2006" s="166"/>
      <c r="P2006" s="165"/>
    </row>
    <row r="2007" spans="1:16" ht="15" hidden="1" customHeight="1" x14ac:dyDescent="0.25">
      <c r="A2007" s="168"/>
      <c r="B2007" s="167"/>
      <c r="C2007" s="168"/>
      <c r="D2007" s="167"/>
      <c r="E2007" s="167"/>
      <c r="F2007" s="167"/>
      <c r="G2007" s="167"/>
      <c r="H2007" s="167"/>
      <c r="I2007" s="164">
        <f t="shared" ca="1" si="31"/>
        <v>44939</v>
      </c>
      <c r="J2007" s="163">
        <v>0.33333333333333331</v>
      </c>
      <c r="K2007" s="162" t="s">
        <v>749</v>
      </c>
      <c r="L2007" s="166"/>
      <c r="M2007" s="166"/>
      <c r="N2007" s="164"/>
      <c r="O2007" s="166"/>
      <c r="P2007" s="165"/>
    </row>
    <row r="2008" spans="1:16" ht="15" hidden="1" customHeight="1" x14ac:dyDescent="0.25">
      <c r="A2008" s="168"/>
      <c r="B2008" s="167"/>
      <c r="C2008" s="168"/>
      <c r="D2008" s="167"/>
      <c r="E2008" s="167"/>
      <c r="F2008" s="167"/>
      <c r="G2008" s="167"/>
      <c r="H2008" s="167"/>
      <c r="I2008" s="164">
        <f t="shared" ref="I2008:I2071" ca="1" si="32">TODAY()</f>
        <v>44939</v>
      </c>
      <c r="J2008" s="163">
        <v>0.33333333333333331</v>
      </c>
      <c r="K2008" s="162" t="s">
        <v>749</v>
      </c>
      <c r="L2008" s="166"/>
      <c r="M2008" s="166"/>
      <c r="N2008" s="164"/>
      <c r="O2008" s="166"/>
      <c r="P2008" s="165"/>
    </row>
    <row r="2009" spans="1:16" ht="15" hidden="1" customHeight="1" x14ac:dyDescent="0.25">
      <c r="A2009" s="168"/>
      <c r="B2009" s="167"/>
      <c r="C2009" s="168"/>
      <c r="D2009" s="167"/>
      <c r="E2009" s="167"/>
      <c r="F2009" s="167"/>
      <c r="G2009" s="167"/>
      <c r="H2009" s="167"/>
      <c r="I2009" s="164">
        <f t="shared" ca="1" si="32"/>
        <v>44939</v>
      </c>
      <c r="J2009" s="163">
        <v>0.33333333333333331</v>
      </c>
      <c r="K2009" s="162" t="s">
        <v>749</v>
      </c>
      <c r="L2009" s="166"/>
      <c r="M2009" s="166"/>
      <c r="N2009" s="164"/>
      <c r="O2009" s="166"/>
      <c r="P2009" s="165"/>
    </row>
    <row r="2010" spans="1:16" ht="15" hidden="1" customHeight="1" x14ac:dyDescent="0.25">
      <c r="A2010" s="168"/>
      <c r="B2010" s="167"/>
      <c r="C2010" s="168"/>
      <c r="D2010" s="167"/>
      <c r="E2010" s="167"/>
      <c r="F2010" s="167"/>
      <c r="G2010" s="167"/>
      <c r="H2010" s="167"/>
      <c r="I2010" s="164">
        <f t="shared" ca="1" si="32"/>
        <v>44939</v>
      </c>
      <c r="J2010" s="163">
        <v>0.33333333333333331</v>
      </c>
      <c r="K2010" s="162" t="s">
        <v>749</v>
      </c>
      <c r="L2010" s="166"/>
      <c r="M2010" s="166"/>
      <c r="N2010" s="164"/>
      <c r="O2010" s="166"/>
      <c r="P2010" s="165"/>
    </row>
    <row r="2011" spans="1:16" ht="15" hidden="1" customHeight="1" x14ac:dyDescent="0.25">
      <c r="A2011" s="168"/>
      <c r="B2011" s="167"/>
      <c r="C2011" s="168"/>
      <c r="D2011" s="167"/>
      <c r="E2011" s="167"/>
      <c r="F2011" s="167"/>
      <c r="G2011" s="167"/>
      <c r="H2011" s="167"/>
      <c r="I2011" s="164">
        <f t="shared" ca="1" si="32"/>
        <v>44939</v>
      </c>
      <c r="J2011" s="163">
        <v>0.33333333333333331</v>
      </c>
      <c r="K2011" s="162" t="s">
        <v>749</v>
      </c>
      <c r="L2011" s="166"/>
      <c r="M2011" s="166"/>
      <c r="N2011" s="164"/>
      <c r="O2011" s="166"/>
      <c r="P2011" s="165"/>
    </row>
    <row r="2012" spans="1:16" ht="15" hidden="1" customHeight="1" x14ac:dyDescent="0.25">
      <c r="A2012" s="168"/>
      <c r="B2012" s="167"/>
      <c r="C2012" s="168"/>
      <c r="D2012" s="167"/>
      <c r="E2012" s="167"/>
      <c r="F2012" s="167"/>
      <c r="G2012" s="167"/>
      <c r="H2012" s="167"/>
      <c r="I2012" s="164">
        <f t="shared" ca="1" si="32"/>
        <v>44939</v>
      </c>
      <c r="J2012" s="163">
        <v>0.33333333333333331</v>
      </c>
      <c r="K2012" s="162" t="s">
        <v>749</v>
      </c>
      <c r="L2012" s="166"/>
      <c r="M2012" s="166"/>
      <c r="N2012" s="164"/>
      <c r="O2012" s="166"/>
      <c r="P2012" s="165"/>
    </row>
    <row r="2013" spans="1:16" ht="15" hidden="1" customHeight="1" x14ac:dyDescent="0.25">
      <c r="A2013" s="168"/>
      <c r="B2013" s="167"/>
      <c r="C2013" s="168"/>
      <c r="D2013" s="167"/>
      <c r="E2013" s="167"/>
      <c r="F2013" s="167"/>
      <c r="G2013" s="167"/>
      <c r="H2013" s="167"/>
      <c r="I2013" s="164">
        <f t="shared" ca="1" si="32"/>
        <v>44939</v>
      </c>
      <c r="J2013" s="163">
        <v>0.33333333333333331</v>
      </c>
      <c r="K2013" s="162" t="s">
        <v>749</v>
      </c>
      <c r="L2013" s="166"/>
      <c r="M2013" s="166"/>
      <c r="N2013" s="164"/>
      <c r="O2013" s="166"/>
      <c r="P2013" s="165"/>
    </row>
    <row r="2014" spans="1:16" ht="15" hidden="1" customHeight="1" x14ac:dyDescent="0.25">
      <c r="A2014" s="168"/>
      <c r="B2014" s="167"/>
      <c r="C2014" s="168"/>
      <c r="D2014" s="167"/>
      <c r="E2014" s="167"/>
      <c r="F2014" s="167"/>
      <c r="G2014" s="167"/>
      <c r="H2014" s="167"/>
      <c r="I2014" s="164">
        <f t="shared" ca="1" si="32"/>
        <v>44939</v>
      </c>
      <c r="J2014" s="163">
        <v>0.33333333333333331</v>
      </c>
      <c r="K2014" s="162" t="s">
        <v>749</v>
      </c>
      <c r="L2014" s="166"/>
      <c r="M2014" s="166"/>
      <c r="N2014" s="164"/>
      <c r="O2014" s="166"/>
      <c r="P2014" s="165"/>
    </row>
    <row r="2015" spans="1:16" ht="15" hidden="1" customHeight="1" x14ac:dyDescent="0.25">
      <c r="A2015" s="168"/>
      <c r="B2015" s="167"/>
      <c r="C2015" s="168"/>
      <c r="D2015" s="167"/>
      <c r="E2015" s="167"/>
      <c r="F2015" s="167"/>
      <c r="G2015" s="167"/>
      <c r="H2015" s="167"/>
      <c r="I2015" s="164">
        <f t="shared" ca="1" si="32"/>
        <v>44939</v>
      </c>
      <c r="J2015" s="163">
        <v>0.33333333333333331</v>
      </c>
      <c r="K2015" s="162" t="s">
        <v>749</v>
      </c>
      <c r="L2015" s="166"/>
      <c r="M2015" s="166"/>
      <c r="N2015" s="164"/>
      <c r="O2015" s="166"/>
      <c r="P2015" s="165"/>
    </row>
    <row r="2016" spans="1:16" ht="15" hidden="1" customHeight="1" x14ac:dyDescent="0.25">
      <c r="A2016" s="168"/>
      <c r="B2016" s="167"/>
      <c r="C2016" s="168"/>
      <c r="D2016" s="167"/>
      <c r="E2016" s="167"/>
      <c r="F2016" s="167"/>
      <c r="G2016" s="167"/>
      <c r="H2016" s="167"/>
      <c r="I2016" s="164">
        <f t="shared" ca="1" si="32"/>
        <v>44939</v>
      </c>
      <c r="J2016" s="163">
        <v>0.33333333333333331</v>
      </c>
      <c r="K2016" s="162" t="s">
        <v>749</v>
      </c>
      <c r="L2016" s="166"/>
      <c r="M2016" s="166"/>
      <c r="N2016" s="164"/>
      <c r="O2016" s="166"/>
      <c r="P2016" s="165"/>
    </row>
    <row r="2017" spans="1:16" ht="15" hidden="1" customHeight="1" x14ac:dyDescent="0.25">
      <c r="A2017" s="168"/>
      <c r="B2017" s="167"/>
      <c r="C2017" s="168"/>
      <c r="D2017" s="167"/>
      <c r="E2017" s="167"/>
      <c r="F2017" s="167"/>
      <c r="G2017" s="167"/>
      <c r="H2017" s="167"/>
      <c r="I2017" s="164">
        <f t="shared" ca="1" si="32"/>
        <v>44939</v>
      </c>
      <c r="J2017" s="163">
        <v>0.33333333333333331</v>
      </c>
      <c r="K2017" s="162" t="s">
        <v>749</v>
      </c>
      <c r="L2017" s="166"/>
      <c r="M2017" s="166"/>
      <c r="N2017" s="164"/>
      <c r="O2017" s="166"/>
      <c r="P2017" s="165"/>
    </row>
    <row r="2018" spans="1:16" ht="15" hidden="1" customHeight="1" x14ac:dyDescent="0.25">
      <c r="A2018" s="168"/>
      <c r="B2018" s="167"/>
      <c r="C2018" s="168"/>
      <c r="D2018" s="167"/>
      <c r="E2018" s="167"/>
      <c r="F2018" s="167"/>
      <c r="G2018" s="167"/>
      <c r="H2018" s="167"/>
      <c r="I2018" s="164">
        <f t="shared" ca="1" si="32"/>
        <v>44939</v>
      </c>
      <c r="J2018" s="163">
        <v>0.33333333333333331</v>
      </c>
      <c r="K2018" s="162" t="s">
        <v>749</v>
      </c>
      <c r="L2018" s="166"/>
      <c r="M2018" s="166"/>
      <c r="N2018" s="164"/>
      <c r="O2018" s="166"/>
      <c r="P2018" s="165"/>
    </row>
    <row r="2019" spans="1:16" ht="15" hidden="1" customHeight="1" x14ac:dyDescent="0.25">
      <c r="A2019" s="168"/>
      <c r="B2019" s="167"/>
      <c r="C2019" s="168"/>
      <c r="D2019" s="167"/>
      <c r="E2019" s="167"/>
      <c r="F2019" s="167"/>
      <c r="G2019" s="167"/>
      <c r="H2019" s="167"/>
      <c r="I2019" s="164">
        <f t="shared" ca="1" si="32"/>
        <v>44939</v>
      </c>
      <c r="J2019" s="163">
        <v>0.33333333333333331</v>
      </c>
      <c r="K2019" s="162" t="s">
        <v>749</v>
      </c>
      <c r="L2019" s="166"/>
      <c r="M2019" s="166"/>
      <c r="N2019" s="164"/>
      <c r="O2019" s="166"/>
      <c r="P2019" s="165"/>
    </row>
    <row r="2020" spans="1:16" ht="15" hidden="1" customHeight="1" x14ac:dyDescent="0.25">
      <c r="A2020" s="168"/>
      <c r="B2020" s="167"/>
      <c r="C2020" s="168"/>
      <c r="D2020" s="167"/>
      <c r="E2020" s="167"/>
      <c r="F2020" s="167"/>
      <c r="G2020" s="167"/>
      <c r="H2020" s="167"/>
      <c r="I2020" s="164">
        <f t="shared" ca="1" si="32"/>
        <v>44939</v>
      </c>
      <c r="J2020" s="163">
        <v>0.33333333333333331</v>
      </c>
      <c r="K2020" s="162" t="s">
        <v>749</v>
      </c>
      <c r="L2020" s="166"/>
      <c r="M2020" s="166"/>
      <c r="N2020" s="164"/>
      <c r="O2020" s="166"/>
      <c r="P2020" s="165"/>
    </row>
    <row r="2021" spans="1:16" ht="15" hidden="1" customHeight="1" x14ac:dyDescent="0.25">
      <c r="A2021" s="168"/>
      <c r="B2021" s="167"/>
      <c r="C2021" s="168"/>
      <c r="D2021" s="167"/>
      <c r="E2021" s="167"/>
      <c r="F2021" s="167"/>
      <c r="G2021" s="167"/>
      <c r="H2021" s="167"/>
      <c r="I2021" s="164">
        <f t="shared" ca="1" si="32"/>
        <v>44939</v>
      </c>
      <c r="J2021" s="163">
        <v>0.33333333333333331</v>
      </c>
      <c r="K2021" s="162" t="s">
        <v>749</v>
      </c>
      <c r="L2021" s="166"/>
      <c r="M2021" s="166"/>
      <c r="N2021" s="164"/>
      <c r="O2021" s="166"/>
      <c r="P2021" s="165"/>
    </row>
    <row r="2022" spans="1:16" ht="15" hidden="1" customHeight="1" x14ac:dyDescent="0.25">
      <c r="A2022" s="168"/>
      <c r="B2022" s="167"/>
      <c r="C2022" s="168"/>
      <c r="D2022" s="167"/>
      <c r="E2022" s="167"/>
      <c r="F2022" s="167"/>
      <c r="G2022" s="167"/>
      <c r="H2022" s="167"/>
      <c r="I2022" s="164">
        <f t="shared" ca="1" si="32"/>
        <v>44939</v>
      </c>
      <c r="J2022" s="163">
        <v>0.33333333333333331</v>
      </c>
      <c r="K2022" s="162" t="s">
        <v>749</v>
      </c>
      <c r="L2022" s="166"/>
      <c r="M2022" s="166"/>
      <c r="N2022" s="164"/>
      <c r="O2022" s="166"/>
      <c r="P2022" s="165"/>
    </row>
    <row r="2023" spans="1:16" ht="15" hidden="1" customHeight="1" x14ac:dyDescent="0.25">
      <c r="A2023" s="168"/>
      <c r="B2023" s="167"/>
      <c r="C2023" s="168"/>
      <c r="D2023" s="167"/>
      <c r="E2023" s="167"/>
      <c r="F2023" s="167"/>
      <c r="G2023" s="167"/>
      <c r="H2023" s="167"/>
      <c r="I2023" s="164">
        <f t="shared" ca="1" si="32"/>
        <v>44939</v>
      </c>
      <c r="J2023" s="163">
        <v>0.33333333333333331</v>
      </c>
      <c r="K2023" s="162" t="s">
        <v>749</v>
      </c>
      <c r="L2023" s="166"/>
      <c r="M2023" s="166"/>
      <c r="N2023" s="164"/>
      <c r="O2023" s="166"/>
      <c r="P2023" s="165"/>
    </row>
    <row r="2024" spans="1:16" ht="15" hidden="1" customHeight="1" x14ac:dyDescent="0.25">
      <c r="A2024" s="168"/>
      <c r="B2024" s="167"/>
      <c r="C2024" s="168"/>
      <c r="D2024" s="167"/>
      <c r="E2024" s="167"/>
      <c r="F2024" s="167"/>
      <c r="G2024" s="167"/>
      <c r="H2024" s="167"/>
      <c r="I2024" s="164">
        <f t="shared" ca="1" si="32"/>
        <v>44939</v>
      </c>
      <c r="J2024" s="163">
        <v>0.33333333333333331</v>
      </c>
      <c r="K2024" s="162" t="s">
        <v>749</v>
      </c>
      <c r="L2024" s="166"/>
      <c r="M2024" s="166"/>
      <c r="N2024" s="164"/>
      <c r="O2024" s="166"/>
      <c r="P2024" s="165"/>
    </row>
    <row r="2025" spans="1:16" ht="15" hidden="1" customHeight="1" x14ac:dyDescent="0.25">
      <c r="A2025" s="168"/>
      <c r="B2025" s="167"/>
      <c r="C2025" s="168"/>
      <c r="D2025" s="167"/>
      <c r="E2025" s="167"/>
      <c r="F2025" s="167"/>
      <c r="G2025" s="167"/>
      <c r="H2025" s="167"/>
      <c r="I2025" s="164">
        <f t="shared" ca="1" si="32"/>
        <v>44939</v>
      </c>
      <c r="J2025" s="163">
        <v>0.33333333333333331</v>
      </c>
      <c r="K2025" s="162" t="s">
        <v>749</v>
      </c>
      <c r="L2025" s="166"/>
      <c r="M2025" s="166"/>
      <c r="N2025" s="164"/>
      <c r="O2025" s="166"/>
      <c r="P2025" s="165"/>
    </row>
    <row r="2026" spans="1:16" ht="15" hidden="1" customHeight="1" x14ac:dyDescent="0.25">
      <c r="A2026" s="168"/>
      <c r="B2026" s="167"/>
      <c r="C2026" s="168"/>
      <c r="D2026" s="167"/>
      <c r="E2026" s="167"/>
      <c r="F2026" s="167"/>
      <c r="G2026" s="167"/>
      <c r="H2026" s="167"/>
      <c r="I2026" s="164">
        <f t="shared" ca="1" si="32"/>
        <v>44939</v>
      </c>
      <c r="J2026" s="163">
        <v>0.33333333333333331</v>
      </c>
      <c r="K2026" s="162" t="s">
        <v>749</v>
      </c>
      <c r="L2026" s="166"/>
      <c r="M2026" s="166"/>
      <c r="N2026" s="164"/>
      <c r="O2026" s="166"/>
      <c r="P2026" s="165"/>
    </row>
    <row r="2027" spans="1:16" ht="15" hidden="1" customHeight="1" x14ac:dyDescent="0.25">
      <c r="A2027" s="168"/>
      <c r="B2027" s="167"/>
      <c r="C2027" s="168"/>
      <c r="D2027" s="167"/>
      <c r="E2027" s="167"/>
      <c r="F2027" s="167"/>
      <c r="G2027" s="167"/>
      <c r="H2027" s="167"/>
      <c r="I2027" s="164">
        <f t="shared" ca="1" si="32"/>
        <v>44939</v>
      </c>
      <c r="J2027" s="163">
        <v>0.33333333333333331</v>
      </c>
      <c r="K2027" s="162" t="s">
        <v>749</v>
      </c>
      <c r="L2027" s="166"/>
      <c r="M2027" s="166"/>
      <c r="N2027" s="164"/>
      <c r="O2027" s="166"/>
      <c r="P2027" s="165"/>
    </row>
    <row r="2028" spans="1:16" ht="15" hidden="1" customHeight="1" x14ac:dyDescent="0.25">
      <c r="A2028" s="168"/>
      <c r="B2028" s="167"/>
      <c r="C2028" s="168"/>
      <c r="D2028" s="167"/>
      <c r="E2028" s="167"/>
      <c r="F2028" s="167"/>
      <c r="G2028" s="167"/>
      <c r="H2028" s="167"/>
      <c r="I2028" s="164">
        <f t="shared" ca="1" si="32"/>
        <v>44939</v>
      </c>
      <c r="J2028" s="163">
        <v>0.33333333333333331</v>
      </c>
      <c r="K2028" s="162" t="s">
        <v>749</v>
      </c>
      <c r="L2028" s="166"/>
      <c r="M2028" s="166"/>
      <c r="N2028" s="164"/>
      <c r="O2028" s="166"/>
      <c r="P2028" s="165"/>
    </row>
    <row r="2029" spans="1:16" ht="15" hidden="1" customHeight="1" x14ac:dyDescent="0.25">
      <c r="A2029" s="168"/>
      <c r="B2029" s="167"/>
      <c r="C2029" s="168"/>
      <c r="D2029" s="167"/>
      <c r="E2029" s="167"/>
      <c r="F2029" s="167"/>
      <c r="G2029" s="167"/>
      <c r="H2029" s="167"/>
      <c r="I2029" s="164">
        <f t="shared" ca="1" si="32"/>
        <v>44939</v>
      </c>
      <c r="J2029" s="163">
        <v>0.33333333333333331</v>
      </c>
      <c r="K2029" s="162" t="s">
        <v>749</v>
      </c>
      <c r="L2029" s="166"/>
      <c r="M2029" s="166"/>
      <c r="N2029" s="164"/>
      <c r="O2029" s="166"/>
      <c r="P2029" s="165"/>
    </row>
    <row r="2030" spans="1:16" ht="15" hidden="1" customHeight="1" x14ac:dyDescent="0.25">
      <c r="A2030" s="168"/>
      <c r="B2030" s="167"/>
      <c r="C2030" s="168"/>
      <c r="D2030" s="167"/>
      <c r="E2030" s="167"/>
      <c r="F2030" s="167"/>
      <c r="G2030" s="167"/>
      <c r="H2030" s="167"/>
      <c r="I2030" s="164">
        <f t="shared" ca="1" si="32"/>
        <v>44939</v>
      </c>
      <c r="J2030" s="163">
        <v>0.33333333333333331</v>
      </c>
      <c r="K2030" s="162" t="s">
        <v>749</v>
      </c>
      <c r="L2030" s="166"/>
      <c r="M2030" s="166"/>
      <c r="N2030" s="164"/>
      <c r="O2030" s="166"/>
      <c r="P2030" s="165"/>
    </row>
    <row r="2031" spans="1:16" ht="15" hidden="1" customHeight="1" x14ac:dyDescent="0.25">
      <c r="A2031" s="168"/>
      <c r="B2031" s="167"/>
      <c r="C2031" s="168"/>
      <c r="D2031" s="167"/>
      <c r="E2031" s="167"/>
      <c r="F2031" s="167"/>
      <c r="G2031" s="167"/>
      <c r="H2031" s="167"/>
      <c r="I2031" s="164">
        <f t="shared" ca="1" si="32"/>
        <v>44939</v>
      </c>
      <c r="J2031" s="163">
        <v>0.33333333333333331</v>
      </c>
      <c r="K2031" s="162" t="s">
        <v>749</v>
      </c>
      <c r="L2031" s="166"/>
      <c r="M2031" s="166"/>
      <c r="N2031" s="164"/>
      <c r="O2031" s="166"/>
      <c r="P2031" s="165"/>
    </row>
    <row r="2032" spans="1:16" ht="15" hidden="1" customHeight="1" x14ac:dyDescent="0.25">
      <c r="A2032" s="168"/>
      <c r="B2032" s="167"/>
      <c r="C2032" s="168"/>
      <c r="D2032" s="167"/>
      <c r="E2032" s="167"/>
      <c r="F2032" s="167"/>
      <c r="G2032" s="167"/>
      <c r="H2032" s="167"/>
      <c r="I2032" s="164">
        <f t="shared" ca="1" si="32"/>
        <v>44939</v>
      </c>
      <c r="J2032" s="163">
        <v>0.33333333333333331</v>
      </c>
      <c r="K2032" s="162" t="s">
        <v>749</v>
      </c>
      <c r="L2032" s="166"/>
      <c r="M2032" s="166"/>
      <c r="N2032" s="164"/>
      <c r="O2032" s="166"/>
      <c r="P2032" s="165"/>
    </row>
    <row r="2033" spans="1:16" ht="15" hidden="1" customHeight="1" x14ac:dyDescent="0.25">
      <c r="A2033" s="168"/>
      <c r="B2033" s="167"/>
      <c r="C2033" s="168"/>
      <c r="D2033" s="167"/>
      <c r="E2033" s="167"/>
      <c r="F2033" s="167"/>
      <c r="G2033" s="167"/>
      <c r="H2033" s="167"/>
      <c r="I2033" s="164">
        <f t="shared" ca="1" si="32"/>
        <v>44939</v>
      </c>
      <c r="J2033" s="163">
        <v>0.33333333333333331</v>
      </c>
      <c r="K2033" s="162" t="s">
        <v>749</v>
      </c>
      <c r="L2033" s="166"/>
      <c r="M2033" s="166"/>
      <c r="N2033" s="164"/>
      <c r="O2033" s="166"/>
      <c r="P2033" s="165"/>
    </row>
    <row r="2034" spans="1:16" ht="15" hidden="1" customHeight="1" x14ac:dyDescent="0.25">
      <c r="A2034" s="168"/>
      <c r="B2034" s="167"/>
      <c r="C2034" s="168"/>
      <c r="D2034" s="167"/>
      <c r="E2034" s="167"/>
      <c r="F2034" s="167"/>
      <c r="G2034" s="167"/>
      <c r="H2034" s="167"/>
      <c r="I2034" s="164">
        <f t="shared" ca="1" si="32"/>
        <v>44939</v>
      </c>
      <c r="J2034" s="163">
        <v>0.33333333333333331</v>
      </c>
      <c r="K2034" s="162" t="s">
        <v>749</v>
      </c>
      <c r="L2034" s="166"/>
      <c r="M2034" s="166"/>
      <c r="N2034" s="164"/>
      <c r="O2034" s="166"/>
      <c r="P2034" s="165"/>
    </row>
    <row r="2035" spans="1:16" ht="15" hidden="1" customHeight="1" x14ac:dyDescent="0.25">
      <c r="A2035" s="168"/>
      <c r="B2035" s="167"/>
      <c r="C2035" s="168"/>
      <c r="D2035" s="167"/>
      <c r="E2035" s="167"/>
      <c r="F2035" s="167"/>
      <c r="G2035" s="167"/>
      <c r="H2035" s="167"/>
      <c r="I2035" s="164">
        <f t="shared" ca="1" si="32"/>
        <v>44939</v>
      </c>
      <c r="J2035" s="163">
        <v>0.33333333333333331</v>
      </c>
      <c r="K2035" s="162" t="s">
        <v>749</v>
      </c>
      <c r="L2035" s="166"/>
      <c r="M2035" s="166"/>
      <c r="N2035" s="164"/>
      <c r="O2035" s="166"/>
      <c r="P2035" s="165"/>
    </row>
    <row r="2036" spans="1:16" ht="15" hidden="1" customHeight="1" x14ac:dyDescent="0.25">
      <c r="A2036" s="168"/>
      <c r="B2036" s="167"/>
      <c r="C2036" s="168"/>
      <c r="D2036" s="167"/>
      <c r="E2036" s="167"/>
      <c r="F2036" s="167"/>
      <c r="G2036" s="167"/>
      <c r="H2036" s="167"/>
      <c r="I2036" s="164">
        <f t="shared" ca="1" si="32"/>
        <v>44939</v>
      </c>
      <c r="J2036" s="163">
        <v>0.33333333333333331</v>
      </c>
      <c r="K2036" s="162" t="s">
        <v>749</v>
      </c>
      <c r="L2036" s="166"/>
      <c r="M2036" s="166"/>
      <c r="N2036" s="164"/>
      <c r="O2036" s="166"/>
      <c r="P2036" s="165"/>
    </row>
    <row r="2037" spans="1:16" ht="15" hidden="1" customHeight="1" x14ac:dyDescent="0.25">
      <c r="A2037" s="168"/>
      <c r="B2037" s="167"/>
      <c r="C2037" s="168"/>
      <c r="D2037" s="167"/>
      <c r="E2037" s="167"/>
      <c r="F2037" s="167"/>
      <c r="G2037" s="167"/>
      <c r="H2037" s="167"/>
      <c r="I2037" s="164">
        <f t="shared" ca="1" si="32"/>
        <v>44939</v>
      </c>
      <c r="J2037" s="163">
        <v>0.33333333333333331</v>
      </c>
      <c r="K2037" s="162" t="s">
        <v>749</v>
      </c>
      <c r="L2037" s="166"/>
      <c r="M2037" s="166"/>
      <c r="N2037" s="164"/>
      <c r="O2037" s="166"/>
      <c r="P2037" s="165"/>
    </row>
    <row r="2038" spans="1:16" ht="15" hidden="1" customHeight="1" x14ac:dyDescent="0.25">
      <c r="A2038" s="168"/>
      <c r="B2038" s="167"/>
      <c r="C2038" s="168"/>
      <c r="D2038" s="167"/>
      <c r="E2038" s="167"/>
      <c r="F2038" s="167"/>
      <c r="G2038" s="167"/>
      <c r="H2038" s="167"/>
      <c r="I2038" s="164">
        <f t="shared" ca="1" si="32"/>
        <v>44939</v>
      </c>
      <c r="J2038" s="163">
        <v>0.33333333333333331</v>
      </c>
      <c r="K2038" s="162" t="s">
        <v>749</v>
      </c>
      <c r="L2038" s="166"/>
      <c r="M2038" s="166"/>
      <c r="N2038" s="164"/>
      <c r="O2038" s="166"/>
      <c r="P2038" s="165"/>
    </row>
    <row r="2039" spans="1:16" ht="15" hidden="1" customHeight="1" x14ac:dyDescent="0.25">
      <c r="A2039" s="168"/>
      <c r="B2039" s="167"/>
      <c r="C2039" s="168"/>
      <c r="D2039" s="167"/>
      <c r="E2039" s="167"/>
      <c r="F2039" s="167"/>
      <c r="G2039" s="167"/>
      <c r="H2039" s="167"/>
      <c r="I2039" s="164">
        <f t="shared" ca="1" si="32"/>
        <v>44939</v>
      </c>
      <c r="J2039" s="163">
        <v>0.33333333333333331</v>
      </c>
      <c r="K2039" s="162" t="s">
        <v>749</v>
      </c>
      <c r="L2039" s="166"/>
      <c r="M2039" s="166"/>
      <c r="N2039" s="164"/>
      <c r="O2039" s="166"/>
      <c r="P2039" s="165"/>
    </row>
    <row r="2040" spans="1:16" ht="15" hidden="1" customHeight="1" x14ac:dyDescent="0.25">
      <c r="A2040" s="168"/>
      <c r="B2040" s="167"/>
      <c r="C2040" s="168"/>
      <c r="D2040" s="167"/>
      <c r="E2040" s="167"/>
      <c r="F2040" s="167"/>
      <c r="G2040" s="167"/>
      <c r="H2040" s="167"/>
      <c r="I2040" s="164">
        <f t="shared" ca="1" si="32"/>
        <v>44939</v>
      </c>
      <c r="J2040" s="163">
        <v>0.33333333333333331</v>
      </c>
      <c r="K2040" s="162" t="s">
        <v>749</v>
      </c>
      <c r="L2040" s="166"/>
      <c r="M2040" s="166"/>
      <c r="N2040" s="164"/>
      <c r="O2040" s="166"/>
      <c r="P2040" s="165"/>
    </row>
    <row r="2041" spans="1:16" ht="15" hidden="1" customHeight="1" x14ac:dyDescent="0.25">
      <c r="A2041" s="168"/>
      <c r="B2041" s="167"/>
      <c r="C2041" s="168"/>
      <c r="D2041" s="167"/>
      <c r="E2041" s="167"/>
      <c r="F2041" s="167"/>
      <c r="G2041" s="167"/>
      <c r="H2041" s="167"/>
      <c r="I2041" s="164">
        <f t="shared" ca="1" si="32"/>
        <v>44939</v>
      </c>
      <c r="J2041" s="163">
        <v>0.33333333333333331</v>
      </c>
      <c r="K2041" s="162" t="s">
        <v>749</v>
      </c>
      <c r="L2041" s="166"/>
      <c r="M2041" s="166"/>
      <c r="N2041" s="164"/>
      <c r="O2041" s="166"/>
      <c r="P2041" s="165"/>
    </row>
    <row r="2042" spans="1:16" ht="15" hidden="1" customHeight="1" x14ac:dyDescent="0.25">
      <c r="A2042" s="168"/>
      <c r="B2042" s="167"/>
      <c r="C2042" s="168"/>
      <c r="D2042" s="167"/>
      <c r="E2042" s="167"/>
      <c r="F2042" s="167"/>
      <c r="G2042" s="167"/>
      <c r="H2042" s="167"/>
      <c r="I2042" s="164">
        <f t="shared" ca="1" si="32"/>
        <v>44939</v>
      </c>
      <c r="J2042" s="163">
        <v>0.33333333333333331</v>
      </c>
      <c r="K2042" s="162" t="s">
        <v>749</v>
      </c>
      <c r="L2042" s="166"/>
      <c r="M2042" s="166"/>
      <c r="N2042" s="164"/>
      <c r="O2042" s="166"/>
      <c r="P2042" s="165"/>
    </row>
    <row r="2043" spans="1:16" ht="15" hidden="1" customHeight="1" x14ac:dyDescent="0.25">
      <c r="A2043" s="168"/>
      <c r="B2043" s="167"/>
      <c r="C2043" s="168"/>
      <c r="D2043" s="167"/>
      <c r="E2043" s="167"/>
      <c r="F2043" s="167"/>
      <c r="G2043" s="167"/>
      <c r="H2043" s="167"/>
      <c r="I2043" s="164">
        <f t="shared" ca="1" si="32"/>
        <v>44939</v>
      </c>
      <c r="J2043" s="163">
        <v>0.33333333333333331</v>
      </c>
      <c r="K2043" s="162" t="s">
        <v>749</v>
      </c>
      <c r="L2043" s="166"/>
      <c r="M2043" s="166"/>
      <c r="N2043" s="164"/>
      <c r="O2043" s="166"/>
      <c r="P2043" s="165"/>
    </row>
    <row r="2044" spans="1:16" ht="15" hidden="1" customHeight="1" x14ac:dyDescent="0.25">
      <c r="A2044" s="168"/>
      <c r="B2044" s="167"/>
      <c r="C2044" s="168"/>
      <c r="D2044" s="167"/>
      <c r="E2044" s="167"/>
      <c r="F2044" s="167"/>
      <c r="G2044" s="167"/>
      <c r="H2044" s="167"/>
      <c r="I2044" s="164">
        <f t="shared" ca="1" si="32"/>
        <v>44939</v>
      </c>
      <c r="J2044" s="163">
        <v>0.33333333333333331</v>
      </c>
      <c r="K2044" s="162" t="s">
        <v>749</v>
      </c>
      <c r="L2044" s="166"/>
      <c r="M2044" s="166"/>
      <c r="N2044" s="164"/>
      <c r="O2044" s="166"/>
      <c r="P2044" s="165"/>
    </row>
    <row r="2045" spans="1:16" ht="15" hidden="1" customHeight="1" x14ac:dyDescent="0.25">
      <c r="A2045" s="168"/>
      <c r="B2045" s="167"/>
      <c r="C2045" s="168"/>
      <c r="D2045" s="167"/>
      <c r="E2045" s="167"/>
      <c r="F2045" s="167"/>
      <c r="G2045" s="167"/>
      <c r="H2045" s="167"/>
      <c r="I2045" s="164">
        <f t="shared" ca="1" si="32"/>
        <v>44939</v>
      </c>
      <c r="J2045" s="163">
        <v>0.33333333333333331</v>
      </c>
      <c r="K2045" s="162" t="s">
        <v>749</v>
      </c>
      <c r="L2045" s="166"/>
      <c r="M2045" s="166"/>
      <c r="N2045" s="164"/>
      <c r="O2045" s="166"/>
      <c r="P2045" s="165"/>
    </row>
    <row r="2046" spans="1:16" ht="15" hidden="1" customHeight="1" x14ac:dyDescent="0.25">
      <c r="A2046" s="168"/>
      <c r="B2046" s="167"/>
      <c r="C2046" s="168"/>
      <c r="D2046" s="167"/>
      <c r="E2046" s="167"/>
      <c r="F2046" s="167"/>
      <c r="G2046" s="167"/>
      <c r="H2046" s="167"/>
      <c r="I2046" s="164">
        <f t="shared" ca="1" si="32"/>
        <v>44939</v>
      </c>
      <c r="J2046" s="163">
        <v>0.33333333333333331</v>
      </c>
      <c r="K2046" s="162" t="s">
        <v>749</v>
      </c>
      <c r="L2046" s="166"/>
      <c r="M2046" s="166"/>
      <c r="N2046" s="164"/>
      <c r="O2046" s="166"/>
      <c r="P2046" s="165"/>
    </row>
    <row r="2047" spans="1:16" ht="15" hidden="1" customHeight="1" x14ac:dyDescent="0.25">
      <c r="A2047" s="168"/>
      <c r="B2047" s="167"/>
      <c r="C2047" s="168"/>
      <c r="D2047" s="167"/>
      <c r="E2047" s="167"/>
      <c r="F2047" s="167"/>
      <c r="G2047" s="167"/>
      <c r="H2047" s="167"/>
      <c r="I2047" s="164">
        <f t="shared" ca="1" si="32"/>
        <v>44939</v>
      </c>
      <c r="J2047" s="163">
        <v>0.33333333333333331</v>
      </c>
      <c r="K2047" s="162" t="s">
        <v>749</v>
      </c>
      <c r="L2047" s="166"/>
      <c r="M2047" s="166"/>
      <c r="N2047" s="164"/>
      <c r="O2047" s="166"/>
      <c r="P2047" s="165"/>
    </row>
    <row r="2048" spans="1:16" ht="15" hidden="1" customHeight="1" x14ac:dyDescent="0.25">
      <c r="A2048" s="168"/>
      <c r="B2048" s="167"/>
      <c r="C2048" s="168"/>
      <c r="D2048" s="167"/>
      <c r="E2048" s="167"/>
      <c r="F2048" s="167"/>
      <c r="G2048" s="167"/>
      <c r="H2048" s="167"/>
      <c r="I2048" s="164">
        <f t="shared" ca="1" si="32"/>
        <v>44939</v>
      </c>
      <c r="J2048" s="163">
        <v>0.33333333333333331</v>
      </c>
      <c r="K2048" s="162" t="s">
        <v>749</v>
      </c>
      <c r="L2048" s="166"/>
      <c r="M2048" s="166"/>
      <c r="N2048" s="164"/>
      <c r="O2048" s="166"/>
      <c r="P2048" s="165"/>
    </row>
    <row r="2049" spans="1:16" ht="15" hidden="1" customHeight="1" x14ac:dyDescent="0.25">
      <c r="A2049" s="168"/>
      <c r="B2049" s="167"/>
      <c r="C2049" s="168"/>
      <c r="D2049" s="167"/>
      <c r="E2049" s="167"/>
      <c r="F2049" s="167"/>
      <c r="G2049" s="167"/>
      <c r="H2049" s="167"/>
      <c r="I2049" s="164">
        <f t="shared" ca="1" si="32"/>
        <v>44939</v>
      </c>
      <c r="J2049" s="163">
        <v>0.33333333333333331</v>
      </c>
      <c r="K2049" s="162" t="s">
        <v>749</v>
      </c>
      <c r="L2049" s="166"/>
      <c r="M2049" s="166"/>
      <c r="N2049" s="164"/>
      <c r="O2049" s="166"/>
      <c r="P2049" s="165"/>
    </row>
    <row r="2050" spans="1:16" ht="15" hidden="1" customHeight="1" x14ac:dyDescent="0.25">
      <c r="A2050" s="168"/>
      <c r="B2050" s="167"/>
      <c r="C2050" s="168"/>
      <c r="D2050" s="167"/>
      <c r="E2050" s="167"/>
      <c r="F2050" s="167"/>
      <c r="G2050" s="167"/>
      <c r="H2050" s="167"/>
      <c r="I2050" s="164">
        <f t="shared" ca="1" si="32"/>
        <v>44939</v>
      </c>
      <c r="J2050" s="163">
        <v>0.33333333333333331</v>
      </c>
      <c r="K2050" s="162" t="s">
        <v>749</v>
      </c>
      <c r="L2050" s="166"/>
      <c r="M2050" s="166"/>
      <c r="N2050" s="164"/>
      <c r="O2050" s="166"/>
      <c r="P2050" s="165"/>
    </row>
    <row r="2051" spans="1:16" ht="15" hidden="1" customHeight="1" x14ac:dyDescent="0.25">
      <c r="A2051" s="168"/>
      <c r="B2051" s="167"/>
      <c r="C2051" s="168"/>
      <c r="D2051" s="167"/>
      <c r="E2051" s="167"/>
      <c r="F2051" s="167"/>
      <c r="G2051" s="167"/>
      <c r="H2051" s="167"/>
      <c r="I2051" s="164">
        <f t="shared" ca="1" si="32"/>
        <v>44939</v>
      </c>
      <c r="J2051" s="163">
        <v>0.33333333333333331</v>
      </c>
      <c r="K2051" s="162" t="s">
        <v>749</v>
      </c>
      <c r="L2051" s="166"/>
      <c r="M2051" s="166"/>
      <c r="N2051" s="164"/>
      <c r="O2051" s="166"/>
      <c r="P2051" s="165"/>
    </row>
    <row r="2052" spans="1:16" ht="15" hidden="1" customHeight="1" x14ac:dyDescent="0.25">
      <c r="A2052" s="168"/>
      <c r="B2052" s="167"/>
      <c r="C2052" s="168"/>
      <c r="D2052" s="167"/>
      <c r="E2052" s="167"/>
      <c r="F2052" s="167"/>
      <c r="G2052" s="167"/>
      <c r="H2052" s="167"/>
      <c r="I2052" s="164">
        <f t="shared" ca="1" si="32"/>
        <v>44939</v>
      </c>
      <c r="J2052" s="163">
        <v>0.33333333333333331</v>
      </c>
      <c r="K2052" s="162" t="s">
        <v>749</v>
      </c>
      <c r="L2052" s="166"/>
      <c r="M2052" s="166"/>
      <c r="N2052" s="164"/>
      <c r="O2052" s="166"/>
      <c r="P2052" s="165"/>
    </row>
    <row r="2053" spans="1:16" ht="15" hidden="1" customHeight="1" x14ac:dyDescent="0.25">
      <c r="A2053" s="168"/>
      <c r="B2053" s="167"/>
      <c r="C2053" s="168"/>
      <c r="D2053" s="167"/>
      <c r="E2053" s="167"/>
      <c r="F2053" s="167"/>
      <c r="G2053" s="167"/>
      <c r="H2053" s="167"/>
      <c r="I2053" s="164">
        <f t="shared" ca="1" si="32"/>
        <v>44939</v>
      </c>
      <c r="J2053" s="163">
        <v>0.33333333333333331</v>
      </c>
      <c r="K2053" s="162" t="s">
        <v>749</v>
      </c>
      <c r="L2053" s="166"/>
      <c r="M2053" s="166"/>
      <c r="N2053" s="164"/>
      <c r="O2053" s="166"/>
      <c r="P2053" s="165"/>
    </row>
    <row r="2054" spans="1:16" ht="15" hidden="1" customHeight="1" x14ac:dyDescent="0.25">
      <c r="A2054" s="168"/>
      <c r="B2054" s="167"/>
      <c r="C2054" s="168"/>
      <c r="D2054" s="167"/>
      <c r="E2054" s="167"/>
      <c r="F2054" s="167"/>
      <c r="G2054" s="167"/>
      <c r="H2054" s="167"/>
      <c r="I2054" s="164">
        <f t="shared" ca="1" si="32"/>
        <v>44939</v>
      </c>
      <c r="J2054" s="163">
        <v>0.33333333333333331</v>
      </c>
      <c r="K2054" s="162" t="s">
        <v>749</v>
      </c>
      <c r="L2054" s="166"/>
      <c r="M2054" s="166"/>
      <c r="N2054" s="164"/>
      <c r="O2054" s="166"/>
      <c r="P2054" s="165"/>
    </row>
    <row r="2055" spans="1:16" ht="15" hidden="1" customHeight="1" x14ac:dyDescent="0.25">
      <c r="A2055" s="168"/>
      <c r="B2055" s="167"/>
      <c r="C2055" s="168"/>
      <c r="D2055" s="167"/>
      <c r="E2055" s="167"/>
      <c r="F2055" s="167"/>
      <c r="G2055" s="167"/>
      <c r="H2055" s="167"/>
      <c r="I2055" s="164">
        <f t="shared" ca="1" si="32"/>
        <v>44939</v>
      </c>
      <c r="J2055" s="163">
        <v>0.33333333333333331</v>
      </c>
      <c r="K2055" s="162" t="s">
        <v>749</v>
      </c>
      <c r="L2055" s="166"/>
      <c r="M2055" s="166"/>
      <c r="N2055" s="164"/>
      <c r="O2055" s="166"/>
      <c r="P2055" s="165"/>
    </row>
    <row r="2056" spans="1:16" ht="15" hidden="1" customHeight="1" x14ac:dyDescent="0.25">
      <c r="A2056" s="168"/>
      <c r="B2056" s="167"/>
      <c r="C2056" s="168"/>
      <c r="D2056" s="167"/>
      <c r="E2056" s="167"/>
      <c r="F2056" s="167"/>
      <c r="G2056" s="167"/>
      <c r="H2056" s="167"/>
      <c r="I2056" s="164">
        <f t="shared" ca="1" si="32"/>
        <v>44939</v>
      </c>
      <c r="J2056" s="163">
        <v>0.33333333333333331</v>
      </c>
      <c r="K2056" s="162" t="s">
        <v>749</v>
      </c>
      <c r="L2056" s="166"/>
      <c r="M2056" s="166"/>
      <c r="N2056" s="164"/>
      <c r="O2056" s="166"/>
      <c r="P2056" s="165"/>
    </row>
    <row r="2057" spans="1:16" ht="15" hidden="1" customHeight="1" x14ac:dyDescent="0.25">
      <c r="A2057" s="168"/>
      <c r="B2057" s="167"/>
      <c r="C2057" s="168"/>
      <c r="D2057" s="167"/>
      <c r="E2057" s="167"/>
      <c r="F2057" s="167"/>
      <c r="G2057" s="167"/>
      <c r="H2057" s="167"/>
      <c r="I2057" s="164">
        <f t="shared" ca="1" si="32"/>
        <v>44939</v>
      </c>
      <c r="J2057" s="163">
        <v>0.33333333333333331</v>
      </c>
      <c r="K2057" s="162" t="s">
        <v>749</v>
      </c>
      <c r="L2057" s="166"/>
      <c r="M2057" s="166"/>
      <c r="N2057" s="164"/>
      <c r="O2057" s="166"/>
      <c r="P2057" s="165"/>
    </row>
    <row r="2058" spans="1:16" ht="15" hidden="1" customHeight="1" x14ac:dyDescent="0.25">
      <c r="A2058" s="168"/>
      <c r="B2058" s="167"/>
      <c r="C2058" s="168"/>
      <c r="D2058" s="167"/>
      <c r="E2058" s="167"/>
      <c r="F2058" s="167"/>
      <c r="G2058" s="167"/>
      <c r="H2058" s="167"/>
      <c r="I2058" s="164">
        <f t="shared" ca="1" si="32"/>
        <v>44939</v>
      </c>
      <c r="J2058" s="163">
        <v>0.33333333333333331</v>
      </c>
      <c r="K2058" s="162" t="s">
        <v>749</v>
      </c>
      <c r="L2058" s="166"/>
      <c r="M2058" s="166"/>
      <c r="N2058" s="164"/>
      <c r="O2058" s="166"/>
      <c r="P2058" s="165"/>
    </row>
    <row r="2059" spans="1:16" ht="15" hidden="1" customHeight="1" x14ac:dyDescent="0.25">
      <c r="A2059" s="168"/>
      <c r="B2059" s="167"/>
      <c r="C2059" s="168"/>
      <c r="D2059" s="167"/>
      <c r="E2059" s="167"/>
      <c r="F2059" s="167"/>
      <c r="G2059" s="167"/>
      <c r="H2059" s="167"/>
      <c r="I2059" s="164">
        <f t="shared" ca="1" si="32"/>
        <v>44939</v>
      </c>
      <c r="J2059" s="163">
        <v>0.33333333333333331</v>
      </c>
      <c r="K2059" s="162" t="s">
        <v>749</v>
      </c>
      <c r="L2059" s="166"/>
      <c r="M2059" s="166"/>
      <c r="N2059" s="164"/>
      <c r="O2059" s="166"/>
      <c r="P2059" s="165"/>
    </row>
    <row r="2060" spans="1:16" ht="15" hidden="1" customHeight="1" x14ac:dyDescent="0.25">
      <c r="A2060" s="168"/>
      <c r="B2060" s="167"/>
      <c r="C2060" s="168"/>
      <c r="D2060" s="167"/>
      <c r="E2060" s="167"/>
      <c r="F2060" s="167"/>
      <c r="G2060" s="167"/>
      <c r="H2060" s="167"/>
      <c r="I2060" s="164">
        <f t="shared" ca="1" si="32"/>
        <v>44939</v>
      </c>
      <c r="J2060" s="163">
        <v>0.33333333333333331</v>
      </c>
      <c r="K2060" s="162" t="s">
        <v>749</v>
      </c>
      <c r="L2060" s="166"/>
      <c r="M2060" s="166"/>
      <c r="N2060" s="164"/>
      <c r="O2060" s="166"/>
      <c r="P2060" s="165"/>
    </row>
    <row r="2061" spans="1:16" ht="15" hidden="1" customHeight="1" x14ac:dyDescent="0.25">
      <c r="A2061" s="168"/>
      <c r="B2061" s="167"/>
      <c r="C2061" s="168"/>
      <c r="D2061" s="167"/>
      <c r="E2061" s="167"/>
      <c r="F2061" s="167"/>
      <c r="G2061" s="167"/>
      <c r="H2061" s="167"/>
      <c r="I2061" s="164">
        <f t="shared" ca="1" si="32"/>
        <v>44939</v>
      </c>
      <c r="J2061" s="163">
        <v>0.33333333333333331</v>
      </c>
      <c r="K2061" s="162" t="s">
        <v>749</v>
      </c>
      <c r="L2061" s="166"/>
      <c r="M2061" s="166"/>
      <c r="N2061" s="164"/>
      <c r="O2061" s="166"/>
      <c r="P2061" s="165"/>
    </row>
    <row r="2062" spans="1:16" ht="15" hidden="1" customHeight="1" x14ac:dyDescent="0.25">
      <c r="A2062" s="168"/>
      <c r="B2062" s="167"/>
      <c r="C2062" s="168"/>
      <c r="D2062" s="167"/>
      <c r="E2062" s="167"/>
      <c r="F2062" s="167"/>
      <c r="G2062" s="167"/>
      <c r="H2062" s="167"/>
      <c r="I2062" s="164">
        <f t="shared" ca="1" si="32"/>
        <v>44939</v>
      </c>
      <c r="J2062" s="163">
        <v>0.33333333333333331</v>
      </c>
      <c r="K2062" s="162" t="s">
        <v>749</v>
      </c>
      <c r="L2062" s="166"/>
      <c r="M2062" s="166"/>
      <c r="N2062" s="164"/>
      <c r="O2062" s="166"/>
      <c r="P2062" s="165"/>
    </row>
    <row r="2063" spans="1:16" ht="15" hidden="1" customHeight="1" x14ac:dyDescent="0.25">
      <c r="A2063" s="168"/>
      <c r="B2063" s="167"/>
      <c r="C2063" s="168"/>
      <c r="D2063" s="167"/>
      <c r="E2063" s="167"/>
      <c r="F2063" s="167"/>
      <c r="G2063" s="167"/>
      <c r="H2063" s="167"/>
      <c r="I2063" s="164">
        <f t="shared" ca="1" si="32"/>
        <v>44939</v>
      </c>
      <c r="J2063" s="163">
        <v>0.33333333333333331</v>
      </c>
      <c r="K2063" s="162" t="s">
        <v>749</v>
      </c>
      <c r="L2063" s="166"/>
      <c r="M2063" s="166"/>
      <c r="N2063" s="164"/>
      <c r="O2063" s="166"/>
      <c r="P2063" s="165"/>
    </row>
    <row r="2064" spans="1:16" ht="15" hidden="1" customHeight="1" x14ac:dyDescent="0.25">
      <c r="A2064" s="168"/>
      <c r="B2064" s="167"/>
      <c r="C2064" s="168"/>
      <c r="D2064" s="167"/>
      <c r="E2064" s="167"/>
      <c r="F2064" s="167"/>
      <c r="G2064" s="167"/>
      <c r="H2064" s="167"/>
      <c r="I2064" s="164">
        <f t="shared" ca="1" si="32"/>
        <v>44939</v>
      </c>
      <c r="J2064" s="163">
        <v>0.33333333333333331</v>
      </c>
      <c r="K2064" s="162" t="s">
        <v>749</v>
      </c>
      <c r="L2064" s="166"/>
      <c r="M2064" s="166"/>
      <c r="N2064" s="164"/>
      <c r="O2064" s="166"/>
      <c r="P2064" s="165"/>
    </row>
    <row r="2065" spans="1:16" ht="15" hidden="1" customHeight="1" x14ac:dyDescent="0.25">
      <c r="A2065" s="168"/>
      <c r="B2065" s="167"/>
      <c r="C2065" s="168"/>
      <c r="D2065" s="167"/>
      <c r="E2065" s="167"/>
      <c r="F2065" s="167"/>
      <c r="G2065" s="167"/>
      <c r="H2065" s="167"/>
      <c r="I2065" s="164">
        <f t="shared" ca="1" si="32"/>
        <v>44939</v>
      </c>
      <c r="J2065" s="163">
        <v>0.33333333333333331</v>
      </c>
      <c r="K2065" s="162" t="s">
        <v>749</v>
      </c>
      <c r="L2065" s="166"/>
      <c r="M2065" s="166"/>
      <c r="N2065" s="164"/>
      <c r="O2065" s="166"/>
      <c r="P2065" s="165"/>
    </row>
    <row r="2066" spans="1:16" ht="15" hidden="1" customHeight="1" x14ac:dyDescent="0.25">
      <c r="A2066" s="168"/>
      <c r="B2066" s="167"/>
      <c r="C2066" s="168"/>
      <c r="D2066" s="167"/>
      <c r="E2066" s="167"/>
      <c r="F2066" s="167"/>
      <c r="G2066" s="167"/>
      <c r="H2066" s="167"/>
      <c r="I2066" s="164">
        <f t="shared" ca="1" si="32"/>
        <v>44939</v>
      </c>
      <c r="J2066" s="163">
        <v>0.33333333333333331</v>
      </c>
      <c r="K2066" s="162" t="s">
        <v>749</v>
      </c>
      <c r="L2066" s="166"/>
      <c r="M2066" s="166"/>
      <c r="N2066" s="164"/>
      <c r="O2066" s="166"/>
      <c r="P2066" s="165"/>
    </row>
    <row r="2067" spans="1:16" ht="15" hidden="1" customHeight="1" x14ac:dyDescent="0.25">
      <c r="A2067" s="168"/>
      <c r="B2067" s="167"/>
      <c r="C2067" s="168"/>
      <c r="D2067" s="167"/>
      <c r="E2067" s="167"/>
      <c r="F2067" s="167"/>
      <c r="G2067" s="167"/>
      <c r="H2067" s="167"/>
      <c r="I2067" s="164">
        <f t="shared" ca="1" si="32"/>
        <v>44939</v>
      </c>
      <c r="J2067" s="163">
        <v>0.33333333333333331</v>
      </c>
      <c r="K2067" s="162" t="s">
        <v>749</v>
      </c>
      <c r="L2067" s="166"/>
      <c r="M2067" s="166"/>
      <c r="N2067" s="164"/>
      <c r="O2067" s="166"/>
      <c r="P2067" s="165"/>
    </row>
    <row r="2068" spans="1:16" ht="15" hidden="1" customHeight="1" x14ac:dyDescent="0.25">
      <c r="A2068" s="168"/>
      <c r="B2068" s="167"/>
      <c r="C2068" s="168"/>
      <c r="D2068" s="167"/>
      <c r="E2068" s="167"/>
      <c r="F2068" s="167"/>
      <c r="G2068" s="167"/>
      <c r="H2068" s="167"/>
      <c r="I2068" s="164">
        <f t="shared" ca="1" si="32"/>
        <v>44939</v>
      </c>
      <c r="J2068" s="163">
        <v>0.33333333333333331</v>
      </c>
      <c r="K2068" s="162" t="s">
        <v>749</v>
      </c>
      <c r="L2068" s="166"/>
      <c r="M2068" s="166"/>
      <c r="N2068" s="164"/>
      <c r="O2068" s="166"/>
      <c r="P2068" s="165"/>
    </row>
    <row r="2069" spans="1:16" ht="15" hidden="1" customHeight="1" x14ac:dyDescent="0.25">
      <c r="A2069" s="168"/>
      <c r="B2069" s="167"/>
      <c r="C2069" s="168"/>
      <c r="D2069" s="167"/>
      <c r="E2069" s="167"/>
      <c r="F2069" s="167"/>
      <c r="G2069" s="167"/>
      <c r="H2069" s="167"/>
      <c r="I2069" s="164">
        <f t="shared" ca="1" si="32"/>
        <v>44939</v>
      </c>
      <c r="J2069" s="163">
        <v>0.33333333333333331</v>
      </c>
      <c r="K2069" s="162" t="s">
        <v>749</v>
      </c>
      <c r="L2069" s="166"/>
      <c r="M2069" s="166"/>
      <c r="N2069" s="164"/>
      <c r="O2069" s="166"/>
      <c r="P2069" s="165"/>
    </row>
    <row r="2070" spans="1:16" ht="15" hidden="1" customHeight="1" x14ac:dyDescent="0.25">
      <c r="A2070" s="168"/>
      <c r="B2070" s="167"/>
      <c r="C2070" s="168"/>
      <c r="D2070" s="167"/>
      <c r="E2070" s="167"/>
      <c r="F2070" s="167"/>
      <c r="G2070" s="167"/>
      <c r="H2070" s="167"/>
      <c r="I2070" s="164">
        <f t="shared" ca="1" si="32"/>
        <v>44939</v>
      </c>
      <c r="J2070" s="163">
        <v>0.33333333333333331</v>
      </c>
      <c r="K2070" s="162" t="s">
        <v>749</v>
      </c>
      <c r="L2070" s="166"/>
      <c r="M2070" s="166"/>
      <c r="N2070" s="164"/>
      <c r="O2070" s="166"/>
      <c r="P2070" s="165"/>
    </row>
    <row r="2071" spans="1:16" ht="15" hidden="1" customHeight="1" x14ac:dyDescent="0.25">
      <c r="A2071" s="168"/>
      <c r="B2071" s="167"/>
      <c r="C2071" s="168"/>
      <c r="D2071" s="167"/>
      <c r="E2071" s="167"/>
      <c r="F2071" s="167"/>
      <c r="G2071" s="167"/>
      <c r="H2071" s="167"/>
      <c r="I2071" s="164">
        <f t="shared" ca="1" si="32"/>
        <v>44939</v>
      </c>
      <c r="J2071" s="163">
        <v>0.33333333333333331</v>
      </c>
      <c r="K2071" s="162" t="s">
        <v>749</v>
      </c>
      <c r="L2071" s="166"/>
      <c r="M2071" s="166"/>
      <c r="N2071" s="164"/>
      <c r="O2071" s="166"/>
      <c r="P2071" s="165"/>
    </row>
    <row r="2072" spans="1:16" ht="15" hidden="1" customHeight="1" x14ac:dyDescent="0.25">
      <c r="A2072" s="168"/>
      <c r="B2072" s="167"/>
      <c r="C2072" s="168"/>
      <c r="D2072" s="167"/>
      <c r="E2072" s="167"/>
      <c r="F2072" s="167"/>
      <c r="G2072" s="167"/>
      <c r="H2072" s="167"/>
      <c r="I2072" s="164">
        <f t="shared" ref="I2072:I2135" ca="1" si="33">TODAY()</f>
        <v>44939</v>
      </c>
      <c r="J2072" s="163">
        <v>0.33333333333333331</v>
      </c>
      <c r="K2072" s="162" t="s">
        <v>749</v>
      </c>
      <c r="L2072" s="166"/>
      <c r="M2072" s="166"/>
      <c r="N2072" s="164"/>
      <c r="O2072" s="166"/>
      <c r="P2072" s="165"/>
    </row>
    <row r="2073" spans="1:16" ht="15" hidden="1" customHeight="1" x14ac:dyDescent="0.25">
      <c r="A2073" s="168"/>
      <c r="B2073" s="167"/>
      <c r="C2073" s="168"/>
      <c r="D2073" s="167"/>
      <c r="E2073" s="167"/>
      <c r="F2073" s="167"/>
      <c r="G2073" s="167"/>
      <c r="H2073" s="167"/>
      <c r="I2073" s="164">
        <f t="shared" ca="1" si="33"/>
        <v>44939</v>
      </c>
      <c r="J2073" s="163">
        <v>0.33333333333333331</v>
      </c>
      <c r="K2073" s="162" t="s">
        <v>749</v>
      </c>
      <c r="L2073" s="166"/>
      <c r="M2073" s="166"/>
      <c r="N2073" s="164"/>
      <c r="O2073" s="166"/>
      <c r="P2073" s="165"/>
    </row>
    <row r="2074" spans="1:16" ht="15" hidden="1" customHeight="1" x14ac:dyDescent="0.25">
      <c r="A2074" s="168"/>
      <c r="B2074" s="167"/>
      <c r="C2074" s="168"/>
      <c r="D2074" s="167"/>
      <c r="E2074" s="167"/>
      <c r="F2074" s="167"/>
      <c r="G2074" s="167"/>
      <c r="H2074" s="167"/>
      <c r="I2074" s="164">
        <f t="shared" ca="1" si="33"/>
        <v>44939</v>
      </c>
      <c r="J2074" s="163">
        <v>0.33333333333333331</v>
      </c>
      <c r="K2074" s="162" t="s">
        <v>749</v>
      </c>
      <c r="L2074" s="166"/>
      <c r="M2074" s="166"/>
      <c r="N2074" s="164"/>
      <c r="O2074" s="166"/>
      <c r="P2074" s="165"/>
    </row>
    <row r="2075" spans="1:16" ht="15" hidden="1" customHeight="1" x14ac:dyDescent="0.25">
      <c r="A2075" s="168"/>
      <c r="B2075" s="167"/>
      <c r="C2075" s="168"/>
      <c r="D2075" s="167"/>
      <c r="E2075" s="167"/>
      <c r="F2075" s="167"/>
      <c r="G2075" s="167"/>
      <c r="H2075" s="167"/>
      <c r="I2075" s="164">
        <f t="shared" ca="1" si="33"/>
        <v>44939</v>
      </c>
      <c r="J2075" s="163">
        <v>0.33333333333333331</v>
      </c>
      <c r="K2075" s="162" t="s">
        <v>749</v>
      </c>
      <c r="L2075" s="166"/>
      <c r="M2075" s="166"/>
      <c r="N2075" s="164"/>
      <c r="O2075" s="166"/>
      <c r="P2075" s="165"/>
    </row>
    <row r="2076" spans="1:16" ht="15" hidden="1" customHeight="1" x14ac:dyDescent="0.25">
      <c r="A2076" s="168"/>
      <c r="B2076" s="167"/>
      <c r="C2076" s="168"/>
      <c r="D2076" s="167"/>
      <c r="E2076" s="167"/>
      <c r="F2076" s="167"/>
      <c r="G2076" s="167"/>
      <c r="H2076" s="167"/>
      <c r="I2076" s="164">
        <f t="shared" ca="1" si="33"/>
        <v>44939</v>
      </c>
      <c r="J2076" s="163">
        <v>0.33333333333333331</v>
      </c>
      <c r="K2076" s="162" t="s">
        <v>749</v>
      </c>
      <c r="L2076" s="166"/>
      <c r="M2076" s="166"/>
      <c r="N2076" s="164"/>
      <c r="O2076" s="166"/>
      <c r="P2076" s="165"/>
    </row>
    <row r="2077" spans="1:16" ht="15" hidden="1" customHeight="1" x14ac:dyDescent="0.25">
      <c r="A2077" s="168"/>
      <c r="B2077" s="167"/>
      <c r="C2077" s="168"/>
      <c r="D2077" s="167"/>
      <c r="E2077" s="167"/>
      <c r="F2077" s="167"/>
      <c r="G2077" s="167"/>
      <c r="H2077" s="167"/>
      <c r="I2077" s="164">
        <f t="shared" ca="1" si="33"/>
        <v>44939</v>
      </c>
      <c r="J2077" s="163">
        <v>0.33333333333333331</v>
      </c>
      <c r="K2077" s="162" t="s">
        <v>749</v>
      </c>
      <c r="L2077" s="166"/>
      <c r="M2077" s="166"/>
      <c r="N2077" s="164"/>
      <c r="O2077" s="166"/>
      <c r="P2077" s="165"/>
    </row>
    <row r="2078" spans="1:16" ht="15" hidden="1" customHeight="1" x14ac:dyDescent="0.25">
      <c r="A2078" s="168"/>
      <c r="B2078" s="167"/>
      <c r="C2078" s="168"/>
      <c r="D2078" s="167"/>
      <c r="E2078" s="167"/>
      <c r="F2078" s="167"/>
      <c r="G2078" s="167"/>
      <c r="H2078" s="167"/>
      <c r="I2078" s="164">
        <f t="shared" ca="1" si="33"/>
        <v>44939</v>
      </c>
      <c r="J2078" s="163">
        <v>0.33333333333333331</v>
      </c>
      <c r="K2078" s="162" t="s">
        <v>749</v>
      </c>
      <c r="L2078" s="166"/>
      <c r="M2078" s="166"/>
      <c r="N2078" s="164"/>
      <c r="O2078" s="166"/>
      <c r="P2078" s="165"/>
    </row>
    <row r="2079" spans="1:16" ht="15" hidden="1" customHeight="1" x14ac:dyDescent="0.25">
      <c r="A2079" s="168"/>
      <c r="B2079" s="167"/>
      <c r="C2079" s="168"/>
      <c r="D2079" s="167"/>
      <c r="E2079" s="167"/>
      <c r="F2079" s="167"/>
      <c r="G2079" s="167"/>
      <c r="H2079" s="167"/>
      <c r="I2079" s="164">
        <f t="shared" ca="1" si="33"/>
        <v>44939</v>
      </c>
      <c r="J2079" s="163">
        <v>0.33333333333333331</v>
      </c>
      <c r="K2079" s="162" t="s">
        <v>749</v>
      </c>
      <c r="L2079" s="166"/>
      <c r="M2079" s="166"/>
      <c r="N2079" s="164"/>
      <c r="O2079" s="166"/>
      <c r="P2079" s="165"/>
    </row>
    <row r="2080" spans="1:16" ht="15" hidden="1" customHeight="1" x14ac:dyDescent="0.25">
      <c r="A2080" s="168"/>
      <c r="B2080" s="167"/>
      <c r="C2080" s="168"/>
      <c r="D2080" s="167"/>
      <c r="E2080" s="167"/>
      <c r="F2080" s="167"/>
      <c r="G2080" s="167"/>
      <c r="H2080" s="167"/>
      <c r="I2080" s="164">
        <f t="shared" ca="1" si="33"/>
        <v>44939</v>
      </c>
      <c r="J2080" s="163">
        <v>0.33333333333333331</v>
      </c>
      <c r="K2080" s="162" t="s">
        <v>749</v>
      </c>
      <c r="L2080" s="166"/>
      <c r="M2080" s="166"/>
      <c r="N2080" s="164"/>
      <c r="O2080" s="166"/>
      <c r="P2080" s="165"/>
    </row>
    <row r="2081" spans="1:16" ht="15" hidden="1" customHeight="1" x14ac:dyDescent="0.25">
      <c r="A2081" s="168"/>
      <c r="B2081" s="167"/>
      <c r="C2081" s="168"/>
      <c r="D2081" s="167"/>
      <c r="E2081" s="167"/>
      <c r="F2081" s="167"/>
      <c r="G2081" s="167"/>
      <c r="H2081" s="167"/>
      <c r="I2081" s="164">
        <f t="shared" ca="1" si="33"/>
        <v>44939</v>
      </c>
      <c r="J2081" s="163">
        <v>0.33333333333333331</v>
      </c>
      <c r="K2081" s="162" t="s">
        <v>749</v>
      </c>
      <c r="L2081" s="166"/>
      <c r="M2081" s="166"/>
      <c r="N2081" s="164"/>
      <c r="O2081" s="166"/>
      <c r="P2081" s="165"/>
    </row>
    <row r="2082" spans="1:16" ht="15" hidden="1" customHeight="1" x14ac:dyDescent="0.25">
      <c r="A2082" s="168"/>
      <c r="B2082" s="167"/>
      <c r="C2082" s="168"/>
      <c r="D2082" s="167"/>
      <c r="E2082" s="167"/>
      <c r="F2082" s="167"/>
      <c r="G2082" s="167"/>
      <c r="H2082" s="167"/>
      <c r="I2082" s="164">
        <f t="shared" ca="1" si="33"/>
        <v>44939</v>
      </c>
      <c r="J2082" s="163">
        <v>0.33333333333333331</v>
      </c>
      <c r="K2082" s="162" t="s">
        <v>749</v>
      </c>
      <c r="L2082" s="166"/>
      <c r="M2082" s="166"/>
      <c r="N2082" s="164"/>
      <c r="O2082" s="166"/>
      <c r="P2082" s="165"/>
    </row>
    <row r="2083" spans="1:16" ht="15" hidden="1" customHeight="1" x14ac:dyDescent="0.25">
      <c r="A2083" s="168"/>
      <c r="B2083" s="167"/>
      <c r="C2083" s="168"/>
      <c r="D2083" s="167"/>
      <c r="E2083" s="167"/>
      <c r="F2083" s="167"/>
      <c r="G2083" s="167"/>
      <c r="H2083" s="167"/>
      <c r="I2083" s="164">
        <f t="shared" ca="1" si="33"/>
        <v>44939</v>
      </c>
      <c r="J2083" s="163">
        <v>0.33333333333333331</v>
      </c>
      <c r="K2083" s="162" t="s">
        <v>749</v>
      </c>
      <c r="L2083" s="166"/>
      <c r="M2083" s="166"/>
      <c r="N2083" s="164"/>
      <c r="O2083" s="166"/>
      <c r="P2083" s="165"/>
    </row>
    <row r="2084" spans="1:16" ht="15" hidden="1" customHeight="1" x14ac:dyDescent="0.25">
      <c r="A2084" s="168"/>
      <c r="B2084" s="167"/>
      <c r="C2084" s="168"/>
      <c r="D2084" s="167"/>
      <c r="E2084" s="167"/>
      <c r="F2084" s="167"/>
      <c r="G2084" s="167"/>
      <c r="H2084" s="167"/>
      <c r="I2084" s="164">
        <f t="shared" ca="1" si="33"/>
        <v>44939</v>
      </c>
      <c r="J2084" s="163">
        <v>0.33333333333333331</v>
      </c>
      <c r="K2084" s="162" t="s">
        <v>749</v>
      </c>
      <c r="L2084" s="166"/>
      <c r="M2084" s="166"/>
      <c r="N2084" s="164"/>
      <c r="O2084" s="166"/>
      <c r="P2084" s="165"/>
    </row>
    <row r="2085" spans="1:16" ht="15" hidden="1" customHeight="1" x14ac:dyDescent="0.25">
      <c r="A2085" s="168"/>
      <c r="B2085" s="167"/>
      <c r="C2085" s="168"/>
      <c r="D2085" s="167"/>
      <c r="E2085" s="167"/>
      <c r="F2085" s="167"/>
      <c r="G2085" s="167"/>
      <c r="H2085" s="167"/>
      <c r="I2085" s="164">
        <f t="shared" ca="1" si="33"/>
        <v>44939</v>
      </c>
      <c r="J2085" s="163">
        <v>0.33333333333333331</v>
      </c>
      <c r="K2085" s="162" t="s">
        <v>749</v>
      </c>
      <c r="L2085" s="166"/>
      <c r="M2085" s="166"/>
      <c r="N2085" s="164"/>
      <c r="O2085" s="166"/>
      <c r="P2085" s="165"/>
    </row>
    <row r="2086" spans="1:16" ht="15" hidden="1" customHeight="1" x14ac:dyDescent="0.25">
      <c r="A2086" s="168"/>
      <c r="B2086" s="167"/>
      <c r="C2086" s="168"/>
      <c r="D2086" s="167"/>
      <c r="E2086" s="167"/>
      <c r="F2086" s="167"/>
      <c r="G2086" s="167"/>
      <c r="H2086" s="167"/>
      <c r="I2086" s="164">
        <f t="shared" ca="1" si="33"/>
        <v>44939</v>
      </c>
      <c r="J2086" s="163">
        <v>0.33333333333333331</v>
      </c>
      <c r="K2086" s="162" t="s">
        <v>749</v>
      </c>
      <c r="L2086" s="166"/>
      <c r="M2086" s="166"/>
      <c r="N2086" s="164"/>
      <c r="O2086" s="166"/>
      <c r="P2086" s="165"/>
    </row>
    <row r="2087" spans="1:16" ht="15" hidden="1" customHeight="1" x14ac:dyDescent="0.25">
      <c r="A2087" s="168"/>
      <c r="B2087" s="167"/>
      <c r="C2087" s="168"/>
      <c r="D2087" s="167"/>
      <c r="E2087" s="167"/>
      <c r="F2087" s="167"/>
      <c r="G2087" s="167"/>
      <c r="H2087" s="167"/>
      <c r="I2087" s="164">
        <f t="shared" ca="1" si="33"/>
        <v>44939</v>
      </c>
      <c r="J2087" s="163">
        <v>0.33333333333333331</v>
      </c>
      <c r="K2087" s="162" t="s">
        <v>749</v>
      </c>
      <c r="L2087" s="166"/>
      <c r="M2087" s="166"/>
      <c r="N2087" s="164"/>
      <c r="O2087" s="166"/>
      <c r="P2087" s="165"/>
    </row>
    <row r="2088" spans="1:16" ht="15" hidden="1" customHeight="1" x14ac:dyDescent="0.25">
      <c r="A2088" s="168"/>
      <c r="B2088" s="167"/>
      <c r="C2088" s="168"/>
      <c r="D2088" s="167"/>
      <c r="E2088" s="167"/>
      <c r="F2088" s="167"/>
      <c r="G2088" s="167"/>
      <c r="H2088" s="167"/>
      <c r="I2088" s="164">
        <f t="shared" ca="1" si="33"/>
        <v>44939</v>
      </c>
      <c r="J2088" s="163">
        <v>0.33333333333333331</v>
      </c>
      <c r="K2088" s="162" t="s">
        <v>749</v>
      </c>
      <c r="L2088" s="166"/>
      <c r="M2088" s="166"/>
      <c r="N2088" s="164"/>
      <c r="O2088" s="166"/>
      <c r="P2088" s="165"/>
    </row>
    <row r="2089" spans="1:16" ht="15" hidden="1" customHeight="1" x14ac:dyDescent="0.25">
      <c r="A2089" s="168"/>
      <c r="B2089" s="167"/>
      <c r="C2089" s="168"/>
      <c r="D2089" s="167"/>
      <c r="E2089" s="167"/>
      <c r="F2089" s="167"/>
      <c r="G2089" s="167"/>
      <c r="H2089" s="167"/>
      <c r="I2089" s="164">
        <f t="shared" ca="1" si="33"/>
        <v>44939</v>
      </c>
      <c r="J2089" s="163">
        <v>0.33333333333333331</v>
      </c>
      <c r="K2089" s="162" t="s">
        <v>749</v>
      </c>
      <c r="L2089" s="166"/>
      <c r="M2089" s="166"/>
      <c r="N2089" s="164"/>
      <c r="O2089" s="166"/>
      <c r="P2089" s="165"/>
    </row>
    <row r="2090" spans="1:16" ht="15" hidden="1" customHeight="1" x14ac:dyDescent="0.25">
      <c r="A2090" s="168"/>
      <c r="B2090" s="167"/>
      <c r="C2090" s="168"/>
      <c r="D2090" s="167"/>
      <c r="E2090" s="167"/>
      <c r="F2090" s="167"/>
      <c r="G2090" s="167"/>
      <c r="H2090" s="167"/>
      <c r="I2090" s="164">
        <f t="shared" ca="1" si="33"/>
        <v>44939</v>
      </c>
      <c r="J2090" s="163">
        <v>0.33333333333333331</v>
      </c>
      <c r="K2090" s="162" t="s">
        <v>749</v>
      </c>
      <c r="L2090" s="166"/>
      <c r="M2090" s="166"/>
      <c r="N2090" s="164"/>
      <c r="O2090" s="166"/>
      <c r="P2090" s="165"/>
    </row>
    <row r="2091" spans="1:16" ht="15" hidden="1" customHeight="1" x14ac:dyDescent="0.25">
      <c r="A2091" s="168"/>
      <c r="B2091" s="167"/>
      <c r="C2091" s="168"/>
      <c r="D2091" s="167"/>
      <c r="E2091" s="167"/>
      <c r="F2091" s="167"/>
      <c r="G2091" s="167"/>
      <c r="H2091" s="167"/>
      <c r="I2091" s="164">
        <f t="shared" ca="1" si="33"/>
        <v>44939</v>
      </c>
      <c r="J2091" s="163">
        <v>0.33333333333333331</v>
      </c>
      <c r="K2091" s="162" t="s">
        <v>749</v>
      </c>
      <c r="L2091" s="166"/>
      <c r="M2091" s="166"/>
      <c r="N2091" s="164"/>
      <c r="O2091" s="166"/>
      <c r="P2091" s="165"/>
    </row>
    <row r="2092" spans="1:16" ht="15" hidden="1" customHeight="1" x14ac:dyDescent="0.25">
      <c r="A2092" s="168"/>
      <c r="B2092" s="167"/>
      <c r="C2092" s="168"/>
      <c r="D2092" s="167"/>
      <c r="E2092" s="167"/>
      <c r="F2092" s="167"/>
      <c r="G2092" s="167"/>
      <c r="H2092" s="167"/>
      <c r="I2092" s="164">
        <f t="shared" ca="1" si="33"/>
        <v>44939</v>
      </c>
      <c r="J2092" s="163">
        <v>0.33333333333333331</v>
      </c>
      <c r="K2092" s="162" t="s">
        <v>749</v>
      </c>
      <c r="L2092" s="166"/>
      <c r="M2092" s="166"/>
      <c r="N2092" s="164"/>
      <c r="O2092" s="166"/>
      <c r="P2092" s="165"/>
    </row>
    <row r="2093" spans="1:16" ht="15" hidden="1" customHeight="1" x14ac:dyDescent="0.25">
      <c r="A2093" s="168"/>
      <c r="B2093" s="167"/>
      <c r="C2093" s="168"/>
      <c r="D2093" s="167"/>
      <c r="E2093" s="167"/>
      <c r="F2093" s="167"/>
      <c r="G2093" s="167"/>
      <c r="H2093" s="167"/>
      <c r="I2093" s="164">
        <f t="shared" ca="1" si="33"/>
        <v>44939</v>
      </c>
      <c r="J2093" s="163">
        <v>0.33333333333333331</v>
      </c>
      <c r="K2093" s="162" t="s">
        <v>749</v>
      </c>
      <c r="L2093" s="166"/>
      <c r="M2093" s="166"/>
      <c r="N2093" s="164"/>
      <c r="O2093" s="166"/>
      <c r="P2093" s="165"/>
    </row>
    <row r="2094" spans="1:16" ht="15" hidden="1" customHeight="1" x14ac:dyDescent="0.25">
      <c r="A2094" s="168"/>
      <c r="B2094" s="167"/>
      <c r="C2094" s="168"/>
      <c r="D2094" s="167"/>
      <c r="E2094" s="167"/>
      <c r="F2094" s="167"/>
      <c r="G2094" s="167"/>
      <c r="H2094" s="167"/>
      <c r="I2094" s="164">
        <f t="shared" ca="1" si="33"/>
        <v>44939</v>
      </c>
      <c r="J2094" s="163">
        <v>0.33333333333333331</v>
      </c>
      <c r="K2094" s="162" t="s">
        <v>749</v>
      </c>
      <c r="L2094" s="166"/>
      <c r="M2094" s="166"/>
      <c r="N2094" s="164"/>
      <c r="O2094" s="166"/>
      <c r="P2094" s="165"/>
    </row>
    <row r="2095" spans="1:16" ht="15" hidden="1" customHeight="1" x14ac:dyDescent="0.25">
      <c r="A2095" s="168"/>
      <c r="B2095" s="167"/>
      <c r="C2095" s="168"/>
      <c r="D2095" s="167"/>
      <c r="E2095" s="167"/>
      <c r="F2095" s="167"/>
      <c r="G2095" s="167"/>
      <c r="H2095" s="167"/>
      <c r="I2095" s="164">
        <f t="shared" ca="1" si="33"/>
        <v>44939</v>
      </c>
      <c r="J2095" s="163">
        <v>0.33333333333333331</v>
      </c>
      <c r="K2095" s="162" t="s">
        <v>749</v>
      </c>
      <c r="L2095" s="166"/>
      <c r="M2095" s="166"/>
      <c r="N2095" s="164"/>
      <c r="O2095" s="166"/>
      <c r="P2095" s="165"/>
    </row>
    <row r="2096" spans="1:16" ht="15" hidden="1" customHeight="1" x14ac:dyDescent="0.25">
      <c r="A2096" s="168"/>
      <c r="B2096" s="167"/>
      <c r="C2096" s="168"/>
      <c r="D2096" s="167"/>
      <c r="E2096" s="167"/>
      <c r="F2096" s="167"/>
      <c r="G2096" s="167"/>
      <c r="H2096" s="167"/>
      <c r="I2096" s="164">
        <f t="shared" ca="1" si="33"/>
        <v>44939</v>
      </c>
      <c r="J2096" s="163">
        <v>0.33333333333333331</v>
      </c>
      <c r="K2096" s="162" t="s">
        <v>749</v>
      </c>
      <c r="L2096" s="166"/>
      <c r="M2096" s="166"/>
      <c r="N2096" s="164"/>
      <c r="O2096" s="166"/>
      <c r="P2096" s="165"/>
    </row>
    <row r="2097" spans="1:16" ht="15" hidden="1" customHeight="1" x14ac:dyDescent="0.25">
      <c r="A2097" s="168"/>
      <c r="B2097" s="167"/>
      <c r="C2097" s="168"/>
      <c r="D2097" s="167"/>
      <c r="E2097" s="167"/>
      <c r="F2097" s="167"/>
      <c r="G2097" s="167"/>
      <c r="H2097" s="167"/>
      <c r="I2097" s="164">
        <f t="shared" ca="1" si="33"/>
        <v>44939</v>
      </c>
      <c r="J2097" s="163">
        <v>0.33333333333333331</v>
      </c>
      <c r="K2097" s="162" t="s">
        <v>749</v>
      </c>
      <c r="L2097" s="166"/>
      <c r="M2097" s="166"/>
      <c r="N2097" s="164"/>
      <c r="O2097" s="166"/>
      <c r="P2097" s="165"/>
    </row>
    <row r="2098" spans="1:16" ht="15" hidden="1" customHeight="1" x14ac:dyDescent="0.25">
      <c r="A2098" s="168"/>
      <c r="B2098" s="167"/>
      <c r="C2098" s="168"/>
      <c r="D2098" s="167"/>
      <c r="E2098" s="167"/>
      <c r="F2098" s="167"/>
      <c r="G2098" s="167"/>
      <c r="H2098" s="167"/>
      <c r="I2098" s="164">
        <f t="shared" ca="1" si="33"/>
        <v>44939</v>
      </c>
      <c r="J2098" s="163">
        <v>0.33333333333333331</v>
      </c>
      <c r="K2098" s="162" t="s">
        <v>749</v>
      </c>
      <c r="L2098" s="166"/>
      <c r="M2098" s="166"/>
      <c r="N2098" s="164"/>
      <c r="O2098" s="166"/>
      <c r="P2098" s="165"/>
    </row>
    <row r="2099" spans="1:16" ht="15" hidden="1" customHeight="1" x14ac:dyDescent="0.25">
      <c r="A2099" s="168"/>
      <c r="B2099" s="167"/>
      <c r="C2099" s="168"/>
      <c r="D2099" s="167"/>
      <c r="E2099" s="167"/>
      <c r="F2099" s="167"/>
      <c r="G2099" s="167"/>
      <c r="H2099" s="167"/>
      <c r="I2099" s="164">
        <f t="shared" ca="1" si="33"/>
        <v>44939</v>
      </c>
      <c r="J2099" s="163">
        <v>0.33333333333333331</v>
      </c>
      <c r="K2099" s="162" t="s">
        <v>749</v>
      </c>
      <c r="L2099" s="166"/>
      <c r="M2099" s="166"/>
      <c r="N2099" s="164"/>
      <c r="O2099" s="166"/>
      <c r="P2099" s="165"/>
    </row>
    <row r="2100" spans="1:16" ht="15" hidden="1" customHeight="1" x14ac:dyDescent="0.25">
      <c r="A2100" s="168"/>
      <c r="B2100" s="167"/>
      <c r="C2100" s="168"/>
      <c r="D2100" s="167"/>
      <c r="E2100" s="167"/>
      <c r="F2100" s="167"/>
      <c r="G2100" s="167"/>
      <c r="H2100" s="167"/>
      <c r="I2100" s="164">
        <f t="shared" ca="1" si="33"/>
        <v>44939</v>
      </c>
      <c r="J2100" s="163">
        <v>0.33333333333333331</v>
      </c>
      <c r="K2100" s="162" t="s">
        <v>749</v>
      </c>
      <c r="L2100" s="166"/>
      <c r="M2100" s="166"/>
      <c r="N2100" s="164"/>
      <c r="O2100" s="166"/>
      <c r="P2100" s="165"/>
    </row>
    <row r="2101" spans="1:16" ht="15" hidden="1" customHeight="1" x14ac:dyDescent="0.25">
      <c r="A2101" s="168"/>
      <c r="B2101" s="167"/>
      <c r="C2101" s="168"/>
      <c r="D2101" s="167"/>
      <c r="E2101" s="167"/>
      <c r="F2101" s="167"/>
      <c r="G2101" s="167"/>
      <c r="H2101" s="167"/>
      <c r="I2101" s="164">
        <f t="shared" ca="1" si="33"/>
        <v>44939</v>
      </c>
      <c r="J2101" s="163">
        <v>0.33333333333333331</v>
      </c>
      <c r="K2101" s="162" t="s">
        <v>749</v>
      </c>
      <c r="L2101" s="166"/>
      <c r="M2101" s="166"/>
      <c r="N2101" s="164"/>
      <c r="O2101" s="166"/>
      <c r="P2101" s="165"/>
    </row>
    <row r="2102" spans="1:16" ht="15" hidden="1" customHeight="1" x14ac:dyDescent="0.25">
      <c r="A2102" s="168"/>
      <c r="B2102" s="167"/>
      <c r="C2102" s="168"/>
      <c r="D2102" s="167"/>
      <c r="E2102" s="167"/>
      <c r="F2102" s="167"/>
      <c r="G2102" s="167"/>
      <c r="H2102" s="167"/>
      <c r="I2102" s="164">
        <f t="shared" ca="1" si="33"/>
        <v>44939</v>
      </c>
      <c r="J2102" s="163">
        <v>0.33333333333333331</v>
      </c>
      <c r="K2102" s="162" t="s">
        <v>749</v>
      </c>
      <c r="L2102" s="166"/>
      <c r="M2102" s="166"/>
      <c r="N2102" s="164"/>
      <c r="O2102" s="166"/>
      <c r="P2102" s="165"/>
    </row>
    <row r="2103" spans="1:16" ht="15" hidden="1" customHeight="1" x14ac:dyDescent="0.25">
      <c r="A2103" s="168"/>
      <c r="B2103" s="167"/>
      <c r="C2103" s="168"/>
      <c r="D2103" s="167"/>
      <c r="E2103" s="167"/>
      <c r="F2103" s="167"/>
      <c r="G2103" s="167"/>
      <c r="H2103" s="167"/>
      <c r="I2103" s="164">
        <f t="shared" ca="1" si="33"/>
        <v>44939</v>
      </c>
      <c r="J2103" s="163">
        <v>0.33333333333333331</v>
      </c>
      <c r="K2103" s="162" t="s">
        <v>749</v>
      </c>
      <c r="L2103" s="166"/>
      <c r="M2103" s="166"/>
      <c r="N2103" s="164"/>
      <c r="O2103" s="166"/>
      <c r="P2103" s="165"/>
    </row>
    <row r="2104" spans="1:16" ht="15" hidden="1" customHeight="1" x14ac:dyDescent="0.25">
      <c r="A2104" s="168"/>
      <c r="B2104" s="167"/>
      <c r="C2104" s="168"/>
      <c r="D2104" s="167"/>
      <c r="E2104" s="167"/>
      <c r="F2104" s="167"/>
      <c r="G2104" s="167"/>
      <c r="H2104" s="167"/>
      <c r="I2104" s="164">
        <f t="shared" ca="1" si="33"/>
        <v>44939</v>
      </c>
      <c r="J2104" s="163">
        <v>0.33333333333333331</v>
      </c>
      <c r="K2104" s="162" t="s">
        <v>749</v>
      </c>
      <c r="L2104" s="166"/>
      <c r="M2104" s="166"/>
      <c r="N2104" s="164"/>
      <c r="O2104" s="166"/>
      <c r="P2104" s="165"/>
    </row>
    <row r="2105" spans="1:16" ht="15" hidden="1" customHeight="1" x14ac:dyDescent="0.25">
      <c r="A2105" s="168"/>
      <c r="B2105" s="167"/>
      <c r="C2105" s="168"/>
      <c r="D2105" s="167"/>
      <c r="E2105" s="167"/>
      <c r="F2105" s="167"/>
      <c r="G2105" s="167"/>
      <c r="H2105" s="167"/>
      <c r="I2105" s="164">
        <f t="shared" ca="1" si="33"/>
        <v>44939</v>
      </c>
      <c r="J2105" s="163">
        <v>0.33333333333333331</v>
      </c>
      <c r="K2105" s="162" t="s">
        <v>749</v>
      </c>
      <c r="L2105" s="166"/>
      <c r="M2105" s="166"/>
      <c r="N2105" s="164"/>
      <c r="O2105" s="166"/>
      <c r="P2105" s="165"/>
    </row>
    <row r="2106" spans="1:16" ht="15" hidden="1" customHeight="1" x14ac:dyDescent="0.25">
      <c r="A2106" s="168"/>
      <c r="B2106" s="167"/>
      <c r="C2106" s="168"/>
      <c r="D2106" s="167"/>
      <c r="E2106" s="167"/>
      <c r="F2106" s="167"/>
      <c r="G2106" s="167"/>
      <c r="H2106" s="167"/>
      <c r="I2106" s="164">
        <f t="shared" ca="1" si="33"/>
        <v>44939</v>
      </c>
      <c r="J2106" s="163">
        <v>0.33333333333333331</v>
      </c>
      <c r="K2106" s="162" t="s">
        <v>749</v>
      </c>
      <c r="L2106" s="166"/>
      <c r="M2106" s="166"/>
      <c r="N2106" s="164"/>
      <c r="O2106" s="166"/>
      <c r="P2106" s="165"/>
    </row>
    <row r="2107" spans="1:16" ht="15" hidden="1" customHeight="1" x14ac:dyDescent="0.25">
      <c r="A2107" s="168"/>
      <c r="B2107" s="167"/>
      <c r="C2107" s="168"/>
      <c r="D2107" s="167"/>
      <c r="E2107" s="167"/>
      <c r="F2107" s="167"/>
      <c r="G2107" s="167"/>
      <c r="H2107" s="167"/>
      <c r="I2107" s="164">
        <f t="shared" ca="1" si="33"/>
        <v>44939</v>
      </c>
      <c r="J2107" s="163">
        <v>0.33333333333333331</v>
      </c>
      <c r="K2107" s="162" t="s">
        <v>749</v>
      </c>
      <c r="L2107" s="166"/>
      <c r="M2107" s="166"/>
      <c r="N2107" s="164"/>
      <c r="O2107" s="166"/>
      <c r="P2107" s="165"/>
    </row>
    <row r="2108" spans="1:16" ht="15" hidden="1" customHeight="1" x14ac:dyDescent="0.25">
      <c r="A2108" s="168"/>
      <c r="B2108" s="167"/>
      <c r="C2108" s="168"/>
      <c r="D2108" s="167"/>
      <c r="E2108" s="167"/>
      <c r="F2108" s="167"/>
      <c r="G2108" s="167"/>
      <c r="H2108" s="167"/>
      <c r="I2108" s="164">
        <f t="shared" ca="1" si="33"/>
        <v>44939</v>
      </c>
      <c r="J2108" s="163">
        <v>0.33333333333333331</v>
      </c>
      <c r="K2108" s="162" t="s">
        <v>749</v>
      </c>
      <c r="L2108" s="166"/>
      <c r="M2108" s="166"/>
      <c r="N2108" s="164"/>
      <c r="O2108" s="166"/>
      <c r="P2108" s="165"/>
    </row>
    <row r="2109" spans="1:16" ht="15" hidden="1" customHeight="1" x14ac:dyDescent="0.25">
      <c r="A2109" s="168"/>
      <c r="B2109" s="167"/>
      <c r="C2109" s="168"/>
      <c r="D2109" s="167"/>
      <c r="E2109" s="167"/>
      <c r="F2109" s="167"/>
      <c r="G2109" s="167"/>
      <c r="H2109" s="167"/>
      <c r="I2109" s="164">
        <f t="shared" ca="1" si="33"/>
        <v>44939</v>
      </c>
      <c r="J2109" s="163">
        <v>0.33333333333333331</v>
      </c>
      <c r="K2109" s="162" t="s">
        <v>749</v>
      </c>
      <c r="L2109" s="166"/>
      <c r="M2109" s="166"/>
      <c r="N2109" s="164"/>
      <c r="O2109" s="166"/>
      <c r="P2109" s="165"/>
    </row>
    <row r="2110" spans="1:16" ht="15" hidden="1" customHeight="1" x14ac:dyDescent="0.25">
      <c r="A2110" s="168"/>
      <c r="B2110" s="167"/>
      <c r="C2110" s="168"/>
      <c r="D2110" s="167"/>
      <c r="E2110" s="167"/>
      <c r="F2110" s="167"/>
      <c r="G2110" s="167"/>
      <c r="H2110" s="167"/>
      <c r="I2110" s="164">
        <f t="shared" ca="1" si="33"/>
        <v>44939</v>
      </c>
      <c r="J2110" s="163">
        <v>0.33333333333333331</v>
      </c>
      <c r="K2110" s="162" t="s">
        <v>749</v>
      </c>
      <c r="L2110" s="166"/>
      <c r="M2110" s="166"/>
      <c r="N2110" s="164"/>
      <c r="O2110" s="166"/>
      <c r="P2110" s="165"/>
    </row>
    <row r="2111" spans="1:16" ht="15" hidden="1" customHeight="1" x14ac:dyDescent="0.25">
      <c r="A2111" s="168"/>
      <c r="B2111" s="167"/>
      <c r="C2111" s="168"/>
      <c r="D2111" s="167"/>
      <c r="E2111" s="167"/>
      <c r="F2111" s="167"/>
      <c r="G2111" s="167"/>
      <c r="H2111" s="167"/>
      <c r="I2111" s="164">
        <f t="shared" ca="1" si="33"/>
        <v>44939</v>
      </c>
      <c r="J2111" s="163">
        <v>0.33333333333333331</v>
      </c>
      <c r="K2111" s="162" t="s">
        <v>749</v>
      </c>
      <c r="L2111" s="166"/>
      <c r="M2111" s="166"/>
      <c r="N2111" s="164"/>
      <c r="O2111" s="166"/>
      <c r="P2111" s="165"/>
    </row>
    <row r="2112" spans="1:16" ht="15" hidden="1" customHeight="1" x14ac:dyDescent="0.25">
      <c r="A2112" s="168"/>
      <c r="B2112" s="167"/>
      <c r="C2112" s="168"/>
      <c r="D2112" s="167"/>
      <c r="E2112" s="167"/>
      <c r="F2112" s="167"/>
      <c r="G2112" s="167"/>
      <c r="H2112" s="167"/>
      <c r="I2112" s="164">
        <f t="shared" ca="1" si="33"/>
        <v>44939</v>
      </c>
      <c r="J2112" s="163">
        <v>0.33333333333333331</v>
      </c>
      <c r="K2112" s="162" t="s">
        <v>749</v>
      </c>
      <c r="L2112" s="166"/>
      <c r="M2112" s="166"/>
      <c r="N2112" s="164"/>
      <c r="O2112" s="166"/>
      <c r="P2112" s="165"/>
    </row>
    <row r="2113" spans="1:16" ht="15" hidden="1" customHeight="1" x14ac:dyDescent="0.25">
      <c r="A2113" s="168"/>
      <c r="B2113" s="167"/>
      <c r="C2113" s="168"/>
      <c r="D2113" s="167"/>
      <c r="E2113" s="167"/>
      <c r="F2113" s="167"/>
      <c r="G2113" s="167"/>
      <c r="H2113" s="167"/>
      <c r="I2113" s="164">
        <f t="shared" ca="1" si="33"/>
        <v>44939</v>
      </c>
      <c r="J2113" s="163">
        <v>0.33333333333333331</v>
      </c>
      <c r="K2113" s="162" t="s">
        <v>749</v>
      </c>
      <c r="L2113" s="166"/>
      <c r="M2113" s="166"/>
      <c r="N2113" s="164"/>
      <c r="O2113" s="166"/>
      <c r="P2113" s="165"/>
    </row>
    <row r="2114" spans="1:16" ht="15" hidden="1" customHeight="1" x14ac:dyDescent="0.25">
      <c r="A2114" s="168"/>
      <c r="B2114" s="167"/>
      <c r="C2114" s="168"/>
      <c r="D2114" s="167"/>
      <c r="E2114" s="167"/>
      <c r="F2114" s="167"/>
      <c r="G2114" s="167"/>
      <c r="H2114" s="167"/>
      <c r="I2114" s="164">
        <f t="shared" ca="1" si="33"/>
        <v>44939</v>
      </c>
      <c r="J2114" s="163">
        <v>0.33333333333333331</v>
      </c>
      <c r="K2114" s="162" t="s">
        <v>749</v>
      </c>
      <c r="L2114" s="166"/>
      <c r="M2114" s="166"/>
      <c r="N2114" s="164"/>
      <c r="O2114" s="166"/>
      <c r="P2114" s="165"/>
    </row>
    <row r="2115" spans="1:16" ht="15" hidden="1" customHeight="1" x14ac:dyDescent="0.25">
      <c r="A2115" s="168"/>
      <c r="B2115" s="167"/>
      <c r="C2115" s="168"/>
      <c r="D2115" s="167"/>
      <c r="E2115" s="167"/>
      <c r="F2115" s="167"/>
      <c r="G2115" s="167"/>
      <c r="H2115" s="167"/>
      <c r="I2115" s="164">
        <f t="shared" ca="1" si="33"/>
        <v>44939</v>
      </c>
      <c r="J2115" s="163">
        <v>0.33333333333333331</v>
      </c>
      <c r="K2115" s="162" t="s">
        <v>749</v>
      </c>
      <c r="L2115" s="166"/>
      <c r="M2115" s="166"/>
      <c r="N2115" s="164"/>
      <c r="O2115" s="166"/>
      <c r="P2115" s="165"/>
    </row>
    <row r="2116" spans="1:16" ht="15" hidden="1" customHeight="1" x14ac:dyDescent="0.25">
      <c r="A2116" s="168"/>
      <c r="B2116" s="167"/>
      <c r="C2116" s="168"/>
      <c r="D2116" s="167"/>
      <c r="E2116" s="167"/>
      <c r="F2116" s="167"/>
      <c r="G2116" s="167"/>
      <c r="H2116" s="167"/>
      <c r="I2116" s="164">
        <f t="shared" ca="1" si="33"/>
        <v>44939</v>
      </c>
      <c r="J2116" s="163">
        <v>0.33333333333333331</v>
      </c>
      <c r="K2116" s="162" t="s">
        <v>749</v>
      </c>
      <c r="L2116" s="166"/>
      <c r="M2116" s="166"/>
      <c r="N2116" s="164"/>
      <c r="O2116" s="166"/>
      <c r="P2116" s="165"/>
    </row>
    <row r="2117" spans="1:16" ht="15" hidden="1" customHeight="1" x14ac:dyDescent="0.25">
      <c r="A2117" s="168"/>
      <c r="B2117" s="167"/>
      <c r="C2117" s="168"/>
      <c r="D2117" s="167"/>
      <c r="E2117" s="167"/>
      <c r="F2117" s="167"/>
      <c r="G2117" s="167"/>
      <c r="H2117" s="167"/>
      <c r="I2117" s="164">
        <f t="shared" ca="1" si="33"/>
        <v>44939</v>
      </c>
      <c r="J2117" s="163">
        <v>0.33333333333333331</v>
      </c>
      <c r="K2117" s="162" t="s">
        <v>749</v>
      </c>
      <c r="L2117" s="166"/>
      <c r="M2117" s="166"/>
      <c r="N2117" s="164"/>
      <c r="O2117" s="166"/>
      <c r="P2117" s="165"/>
    </row>
    <row r="2118" spans="1:16" ht="15" hidden="1" customHeight="1" x14ac:dyDescent="0.25">
      <c r="A2118" s="168"/>
      <c r="B2118" s="167"/>
      <c r="C2118" s="168"/>
      <c r="D2118" s="167"/>
      <c r="E2118" s="167"/>
      <c r="F2118" s="167"/>
      <c r="G2118" s="167"/>
      <c r="H2118" s="167"/>
      <c r="I2118" s="164">
        <f t="shared" ca="1" si="33"/>
        <v>44939</v>
      </c>
      <c r="J2118" s="163">
        <v>0.33333333333333331</v>
      </c>
      <c r="K2118" s="162" t="s">
        <v>749</v>
      </c>
      <c r="L2118" s="166"/>
      <c r="M2118" s="166"/>
      <c r="N2118" s="164"/>
      <c r="O2118" s="166"/>
      <c r="P2118" s="165"/>
    </row>
    <row r="2119" spans="1:16" ht="15" hidden="1" customHeight="1" x14ac:dyDescent="0.25">
      <c r="A2119" s="168"/>
      <c r="B2119" s="167"/>
      <c r="C2119" s="168"/>
      <c r="D2119" s="167"/>
      <c r="E2119" s="167"/>
      <c r="F2119" s="167"/>
      <c r="G2119" s="167"/>
      <c r="H2119" s="167"/>
      <c r="I2119" s="164">
        <f t="shared" ca="1" si="33"/>
        <v>44939</v>
      </c>
      <c r="J2119" s="163">
        <v>0.33333333333333331</v>
      </c>
      <c r="K2119" s="162" t="s">
        <v>749</v>
      </c>
      <c r="L2119" s="166"/>
      <c r="M2119" s="166"/>
      <c r="N2119" s="164"/>
      <c r="O2119" s="166"/>
      <c r="P2119" s="165"/>
    </row>
    <row r="2120" spans="1:16" ht="15" hidden="1" customHeight="1" x14ac:dyDescent="0.25">
      <c r="A2120" s="168"/>
      <c r="B2120" s="167"/>
      <c r="C2120" s="168"/>
      <c r="D2120" s="167"/>
      <c r="E2120" s="167"/>
      <c r="F2120" s="167"/>
      <c r="G2120" s="167"/>
      <c r="H2120" s="167"/>
      <c r="I2120" s="164">
        <f t="shared" ca="1" si="33"/>
        <v>44939</v>
      </c>
      <c r="J2120" s="163">
        <v>0.33333333333333331</v>
      </c>
      <c r="K2120" s="162" t="s">
        <v>749</v>
      </c>
      <c r="L2120" s="166"/>
      <c r="M2120" s="166"/>
      <c r="N2120" s="164"/>
      <c r="O2120" s="166"/>
      <c r="P2120" s="165"/>
    </row>
    <row r="2121" spans="1:16" ht="15" hidden="1" customHeight="1" x14ac:dyDescent="0.25">
      <c r="A2121" s="168"/>
      <c r="B2121" s="167"/>
      <c r="C2121" s="168"/>
      <c r="D2121" s="167"/>
      <c r="E2121" s="167"/>
      <c r="F2121" s="167"/>
      <c r="G2121" s="167"/>
      <c r="H2121" s="167"/>
      <c r="I2121" s="164">
        <f t="shared" ca="1" si="33"/>
        <v>44939</v>
      </c>
      <c r="J2121" s="163">
        <v>0.33333333333333331</v>
      </c>
      <c r="K2121" s="162" t="s">
        <v>749</v>
      </c>
      <c r="L2121" s="166"/>
      <c r="M2121" s="166"/>
      <c r="N2121" s="164"/>
      <c r="O2121" s="166"/>
      <c r="P2121" s="165"/>
    </row>
    <row r="2122" spans="1:16" ht="15" hidden="1" customHeight="1" x14ac:dyDescent="0.25">
      <c r="A2122" s="168"/>
      <c r="B2122" s="167"/>
      <c r="C2122" s="168"/>
      <c r="D2122" s="167"/>
      <c r="E2122" s="167"/>
      <c r="F2122" s="167"/>
      <c r="G2122" s="167"/>
      <c r="H2122" s="167"/>
      <c r="I2122" s="164">
        <f t="shared" ca="1" si="33"/>
        <v>44939</v>
      </c>
      <c r="J2122" s="163">
        <v>0.33333333333333331</v>
      </c>
      <c r="K2122" s="162" t="s">
        <v>749</v>
      </c>
      <c r="L2122" s="166"/>
      <c r="M2122" s="166"/>
      <c r="N2122" s="164"/>
      <c r="O2122" s="166"/>
      <c r="P2122" s="165"/>
    </row>
    <row r="2123" spans="1:16" ht="15" hidden="1" customHeight="1" x14ac:dyDescent="0.25">
      <c r="A2123" s="168"/>
      <c r="B2123" s="167"/>
      <c r="C2123" s="168"/>
      <c r="D2123" s="167"/>
      <c r="E2123" s="167"/>
      <c r="F2123" s="167"/>
      <c r="G2123" s="167"/>
      <c r="H2123" s="167"/>
      <c r="I2123" s="164">
        <f t="shared" ca="1" si="33"/>
        <v>44939</v>
      </c>
      <c r="J2123" s="163">
        <v>0.33333333333333331</v>
      </c>
      <c r="K2123" s="162" t="s">
        <v>749</v>
      </c>
      <c r="L2123" s="166"/>
      <c r="M2123" s="166"/>
      <c r="N2123" s="164"/>
      <c r="O2123" s="166"/>
      <c r="P2123" s="165"/>
    </row>
    <row r="2124" spans="1:16" ht="15" hidden="1" customHeight="1" x14ac:dyDescent="0.25">
      <c r="A2124" s="168"/>
      <c r="B2124" s="167"/>
      <c r="C2124" s="168"/>
      <c r="D2124" s="167"/>
      <c r="E2124" s="167"/>
      <c r="F2124" s="167"/>
      <c r="G2124" s="167"/>
      <c r="H2124" s="167"/>
      <c r="I2124" s="164">
        <f t="shared" ca="1" si="33"/>
        <v>44939</v>
      </c>
      <c r="J2124" s="163">
        <v>0.33333333333333331</v>
      </c>
      <c r="K2124" s="162" t="s">
        <v>749</v>
      </c>
      <c r="L2124" s="166"/>
      <c r="M2124" s="166"/>
      <c r="N2124" s="164"/>
      <c r="O2124" s="166"/>
      <c r="P2124" s="165"/>
    </row>
    <row r="2125" spans="1:16" ht="15" hidden="1" customHeight="1" x14ac:dyDescent="0.25">
      <c r="A2125" s="168"/>
      <c r="B2125" s="167"/>
      <c r="C2125" s="168"/>
      <c r="D2125" s="167"/>
      <c r="E2125" s="167"/>
      <c r="F2125" s="167"/>
      <c r="G2125" s="167"/>
      <c r="H2125" s="167"/>
      <c r="I2125" s="164">
        <f t="shared" ca="1" si="33"/>
        <v>44939</v>
      </c>
      <c r="J2125" s="163">
        <v>0.33333333333333331</v>
      </c>
      <c r="K2125" s="162" t="s">
        <v>749</v>
      </c>
      <c r="L2125" s="166"/>
      <c r="M2125" s="166"/>
      <c r="N2125" s="164"/>
      <c r="O2125" s="166"/>
      <c r="P2125" s="165"/>
    </row>
    <row r="2126" spans="1:16" ht="15" hidden="1" customHeight="1" x14ac:dyDescent="0.25">
      <c r="A2126" s="168"/>
      <c r="B2126" s="167"/>
      <c r="C2126" s="168"/>
      <c r="D2126" s="167"/>
      <c r="E2126" s="167"/>
      <c r="F2126" s="167"/>
      <c r="G2126" s="167"/>
      <c r="H2126" s="167"/>
      <c r="I2126" s="164">
        <f t="shared" ca="1" si="33"/>
        <v>44939</v>
      </c>
      <c r="J2126" s="163">
        <v>0.33333333333333331</v>
      </c>
      <c r="K2126" s="162" t="s">
        <v>749</v>
      </c>
      <c r="L2126" s="166"/>
      <c r="M2126" s="166"/>
      <c r="N2126" s="164"/>
      <c r="O2126" s="166"/>
      <c r="P2126" s="165"/>
    </row>
    <row r="2127" spans="1:16" ht="15" hidden="1" customHeight="1" x14ac:dyDescent="0.25">
      <c r="A2127" s="168"/>
      <c r="B2127" s="167"/>
      <c r="C2127" s="168"/>
      <c r="D2127" s="167"/>
      <c r="E2127" s="167"/>
      <c r="F2127" s="167"/>
      <c r="G2127" s="167"/>
      <c r="H2127" s="167"/>
      <c r="I2127" s="164">
        <f t="shared" ca="1" si="33"/>
        <v>44939</v>
      </c>
      <c r="J2127" s="163">
        <v>0.33333333333333331</v>
      </c>
      <c r="K2127" s="162" t="s">
        <v>749</v>
      </c>
      <c r="L2127" s="166"/>
      <c r="M2127" s="166"/>
      <c r="N2127" s="164"/>
      <c r="O2127" s="166"/>
      <c r="P2127" s="165"/>
    </row>
    <row r="2128" spans="1:16" ht="15" hidden="1" customHeight="1" x14ac:dyDescent="0.25">
      <c r="A2128" s="168"/>
      <c r="B2128" s="167"/>
      <c r="C2128" s="168"/>
      <c r="D2128" s="167"/>
      <c r="E2128" s="167"/>
      <c r="F2128" s="167"/>
      <c r="G2128" s="167"/>
      <c r="H2128" s="167"/>
      <c r="I2128" s="164">
        <f t="shared" ca="1" si="33"/>
        <v>44939</v>
      </c>
      <c r="J2128" s="163">
        <v>0.33333333333333331</v>
      </c>
      <c r="K2128" s="162" t="s">
        <v>749</v>
      </c>
      <c r="L2128" s="166"/>
      <c r="M2128" s="166"/>
      <c r="N2128" s="164"/>
      <c r="O2128" s="166"/>
      <c r="P2128" s="165"/>
    </row>
    <row r="2129" spans="1:16" ht="15" hidden="1" customHeight="1" x14ac:dyDescent="0.25">
      <c r="A2129" s="168"/>
      <c r="B2129" s="167"/>
      <c r="C2129" s="168"/>
      <c r="D2129" s="167"/>
      <c r="E2129" s="167"/>
      <c r="F2129" s="167"/>
      <c r="G2129" s="167"/>
      <c r="H2129" s="167"/>
      <c r="I2129" s="164">
        <f t="shared" ca="1" si="33"/>
        <v>44939</v>
      </c>
      <c r="J2129" s="163">
        <v>0.33333333333333331</v>
      </c>
      <c r="K2129" s="162" t="s">
        <v>749</v>
      </c>
      <c r="L2129" s="166"/>
      <c r="M2129" s="166"/>
      <c r="N2129" s="164"/>
      <c r="O2129" s="166"/>
      <c r="P2129" s="165"/>
    </row>
    <row r="2130" spans="1:16" ht="15" hidden="1" customHeight="1" x14ac:dyDescent="0.25">
      <c r="A2130" s="168"/>
      <c r="B2130" s="167"/>
      <c r="C2130" s="168"/>
      <c r="D2130" s="167"/>
      <c r="E2130" s="167"/>
      <c r="F2130" s="167"/>
      <c r="G2130" s="167"/>
      <c r="H2130" s="167"/>
      <c r="I2130" s="164">
        <f t="shared" ca="1" si="33"/>
        <v>44939</v>
      </c>
      <c r="J2130" s="163">
        <v>0.33333333333333331</v>
      </c>
      <c r="K2130" s="162" t="s">
        <v>749</v>
      </c>
      <c r="L2130" s="166"/>
      <c r="M2130" s="166"/>
      <c r="N2130" s="164"/>
      <c r="O2130" s="166"/>
      <c r="P2130" s="165"/>
    </row>
    <row r="2131" spans="1:16" ht="15" hidden="1" customHeight="1" x14ac:dyDescent="0.25">
      <c r="A2131" s="168"/>
      <c r="B2131" s="167"/>
      <c r="C2131" s="168"/>
      <c r="D2131" s="167"/>
      <c r="E2131" s="167"/>
      <c r="F2131" s="167"/>
      <c r="G2131" s="167"/>
      <c r="H2131" s="167"/>
      <c r="I2131" s="164">
        <f t="shared" ca="1" si="33"/>
        <v>44939</v>
      </c>
      <c r="J2131" s="163">
        <v>0.33333333333333331</v>
      </c>
      <c r="K2131" s="162" t="s">
        <v>749</v>
      </c>
      <c r="L2131" s="166"/>
      <c r="M2131" s="166"/>
      <c r="N2131" s="164"/>
      <c r="O2131" s="166"/>
      <c r="P2131" s="165"/>
    </row>
    <row r="2132" spans="1:16" ht="15" hidden="1" customHeight="1" x14ac:dyDescent="0.25">
      <c r="A2132" s="168"/>
      <c r="B2132" s="167"/>
      <c r="C2132" s="168"/>
      <c r="D2132" s="167"/>
      <c r="E2132" s="167"/>
      <c r="F2132" s="167"/>
      <c r="G2132" s="167"/>
      <c r="H2132" s="167"/>
      <c r="I2132" s="164">
        <f t="shared" ca="1" si="33"/>
        <v>44939</v>
      </c>
      <c r="J2132" s="163">
        <v>0.33333333333333331</v>
      </c>
      <c r="K2132" s="162" t="s">
        <v>749</v>
      </c>
      <c r="L2132" s="166"/>
      <c r="M2132" s="166"/>
      <c r="N2132" s="164"/>
      <c r="O2132" s="166"/>
      <c r="P2132" s="165"/>
    </row>
    <row r="2133" spans="1:16" ht="15" hidden="1" customHeight="1" x14ac:dyDescent="0.25">
      <c r="A2133" s="168"/>
      <c r="B2133" s="167"/>
      <c r="C2133" s="168"/>
      <c r="D2133" s="167"/>
      <c r="E2133" s="167"/>
      <c r="F2133" s="167"/>
      <c r="G2133" s="167"/>
      <c r="H2133" s="167"/>
      <c r="I2133" s="164">
        <f t="shared" ca="1" si="33"/>
        <v>44939</v>
      </c>
      <c r="J2133" s="163">
        <v>0.33333333333333331</v>
      </c>
      <c r="K2133" s="162" t="s">
        <v>749</v>
      </c>
      <c r="L2133" s="166"/>
      <c r="M2133" s="166"/>
      <c r="N2133" s="164"/>
      <c r="O2133" s="166"/>
      <c r="P2133" s="165"/>
    </row>
    <row r="2134" spans="1:16" ht="15" hidden="1" customHeight="1" x14ac:dyDescent="0.25">
      <c r="A2134" s="168"/>
      <c r="B2134" s="167"/>
      <c r="C2134" s="168"/>
      <c r="D2134" s="167"/>
      <c r="E2134" s="167"/>
      <c r="F2134" s="167"/>
      <c r="G2134" s="167"/>
      <c r="H2134" s="167"/>
      <c r="I2134" s="164">
        <f t="shared" ca="1" si="33"/>
        <v>44939</v>
      </c>
      <c r="J2134" s="163">
        <v>0.33333333333333331</v>
      </c>
      <c r="K2134" s="162" t="s">
        <v>749</v>
      </c>
      <c r="L2134" s="166"/>
      <c r="M2134" s="166"/>
      <c r="N2134" s="164"/>
      <c r="O2134" s="166"/>
      <c r="P2134" s="165"/>
    </row>
    <row r="2135" spans="1:16" ht="15" hidden="1" customHeight="1" x14ac:dyDescent="0.25">
      <c r="A2135" s="168"/>
      <c r="B2135" s="167"/>
      <c r="C2135" s="168"/>
      <c r="D2135" s="167"/>
      <c r="E2135" s="167"/>
      <c r="F2135" s="167"/>
      <c r="G2135" s="167"/>
      <c r="H2135" s="167"/>
      <c r="I2135" s="164">
        <f t="shared" ca="1" si="33"/>
        <v>44939</v>
      </c>
      <c r="J2135" s="163">
        <v>0.33333333333333331</v>
      </c>
      <c r="K2135" s="162" t="s">
        <v>749</v>
      </c>
      <c r="L2135" s="166"/>
      <c r="M2135" s="166"/>
      <c r="N2135" s="164"/>
      <c r="O2135" s="166"/>
      <c r="P2135" s="165"/>
    </row>
    <row r="2136" spans="1:16" ht="15" hidden="1" customHeight="1" x14ac:dyDescent="0.25">
      <c r="A2136" s="168"/>
      <c r="B2136" s="167"/>
      <c r="C2136" s="168"/>
      <c r="D2136" s="167"/>
      <c r="E2136" s="167"/>
      <c r="F2136" s="167"/>
      <c r="G2136" s="167"/>
      <c r="H2136" s="167"/>
      <c r="I2136" s="164">
        <f t="shared" ref="I2136:I2199" ca="1" si="34">TODAY()</f>
        <v>44939</v>
      </c>
      <c r="J2136" s="163">
        <v>0.33333333333333331</v>
      </c>
      <c r="K2136" s="162" t="s">
        <v>749</v>
      </c>
      <c r="L2136" s="166"/>
      <c r="M2136" s="166"/>
      <c r="N2136" s="164"/>
      <c r="O2136" s="166"/>
      <c r="P2136" s="165"/>
    </row>
    <row r="2137" spans="1:16" ht="15" hidden="1" customHeight="1" x14ac:dyDescent="0.25">
      <c r="A2137" s="168"/>
      <c r="B2137" s="167"/>
      <c r="C2137" s="168"/>
      <c r="D2137" s="167"/>
      <c r="E2137" s="167"/>
      <c r="F2137" s="167"/>
      <c r="G2137" s="167"/>
      <c r="H2137" s="167"/>
      <c r="I2137" s="164">
        <f t="shared" ca="1" si="34"/>
        <v>44939</v>
      </c>
      <c r="J2137" s="163">
        <v>0.33333333333333331</v>
      </c>
      <c r="K2137" s="162" t="s">
        <v>749</v>
      </c>
      <c r="L2137" s="166"/>
      <c r="M2137" s="166"/>
      <c r="N2137" s="164"/>
      <c r="O2137" s="166"/>
      <c r="P2137" s="165"/>
    </row>
    <row r="2138" spans="1:16" ht="15" hidden="1" customHeight="1" x14ac:dyDescent="0.25">
      <c r="A2138" s="168"/>
      <c r="B2138" s="167"/>
      <c r="C2138" s="168"/>
      <c r="D2138" s="167"/>
      <c r="E2138" s="167"/>
      <c r="F2138" s="167"/>
      <c r="G2138" s="167"/>
      <c r="H2138" s="167"/>
      <c r="I2138" s="164">
        <f t="shared" ca="1" si="34"/>
        <v>44939</v>
      </c>
      <c r="J2138" s="163">
        <v>0.33333333333333331</v>
      </c>
      <c r="K2138" s="162" t="s">
        <v>749</v>
      </c>
      <c r="L2138" s="166"/>
      <c r="M2138" s="166"/>
      <c r="N2138" s="164"/>
      <c r="O2138" s="166"/>
      <c r="P2138" s="165"/>
    </row>
    <row r="2139" spans="1:16" ht="15" hidden="1" customHeight="1" x14ac:dyDescent="0.25">
      <c r="A2139" s="168"/>
      <c r="B2139" s="167"/>
      <c r="C2139" s="168"/>
      <c r="D2139" s="167"/>
      <c r="E2139" s="167"/>
      <c r="F2139" s="167"/>
      <c r="G2139" s="167"/>
      <c r="H2139" s="167"/>
      <c r="I2139" s="164">
        <f t="shared" ca="1" si="34"/>
        <v>44939</v>
      </c>
      <c r="J2139" s="163">
        <v>0.33333333333333331</v>
      </c>
      <c r="K2139" s="162" t="s">
        <v>749</v>
      </c>
      <c r="L2139" s="166"/>
      <c r="M2139" s="166"/>
      <c r="N2139" s="164"/>
      <c r="O2139" s="166"/>
      <c r="P2139" s="165"/>
    </row>
    <row r="2140" spans="1:16" ht="15" hidden="1" customHeight="1" x14ac:dyDescent="0.25">
      <c r="A2140" s="168"/>
      <c r="B2140" s="167"/>
      <c r="C2140" s="168"/>
      <c r="D2140" s="167"/>
      <c r="E2140" s="167"/>
      <c r="F2140" s="167"/>
      <c r="G2140" s="167"/>
      <c r="H2140" s="167"/>
      <c r="I2140" s="164">
        <f t="shared" ca="1" si="34"/>
        <v>44939</v>
      </c>
      <c r="J2140" s="163">
        <v>0.33333333333333331</v>
      </c>
      <c r="K2140" s="162" t="s">
        <v>749</v>
      </c>
      <c r="L2140" s="166"/>
      <c r="M2140" s="166"/>
      <c r="N2140" s="164"/>
      <c r="O2140" s="166"/>
      <c r="P2140" s="165"/>
    </row>
    <row r="2141" spans="1:16" ht="15" hidden="1" customHeight="1" x14ac:dyDescent="0.25">
      <c r="A2141" s="168"/>
      <c r="B2141" s="167"/>
      <c r="C2141" s="168"/>
      <c r="D2141" s="167"/>
      <c r="E2141" s="167"/>
      <c r="F2141" s="167"/>
      <c r="G2141" s="167"/>
      <c r="H2141" s="167"/>
      <c r="I2141" s="164">
        <f t="shared" ca="1" si="34"/>
        <v>44939</v>
      </c>
      <c r="J2141" s="163">
        <v>0.33333333333333331</v>
      </c>
      <c r="K2141" s="162" t="s">
        <v>749</v>
      </c>
      <c r="L2141" s="166"/>
      <c r="M2141" s="166"/>
      <c r="N2141" s="164"/>
      <c r="O2141" s="166"/>
      <c r="P2141" s="165"/>
    </row>
    <row r="2142" spans="1:16" ht="15" hidden="1" customHeight="1" x14ac:dyDescent="0.25">
      <c r="A2142" s="168"/>
      <c r="B2142" s="167"/>
      <c r="C2142" s="168"/>
      <c r="D2142" s="167"/>
      <c r="E2142" s="167"/>
      <c r="F2142" s="167"/>
      <c r="G2142" s="167"/>
      <c r="H2142" s="167"/>
      <c r="I2142" s="164">
        <f t="shared" ca="1" si="34"/>
        <v>44939</v>
      </c>
      <c r="J2142" s="163">
        <v>0.33333333333333331</v>
      </c>
      <c r="K2142" s="162" t="s">
        <v>749</v>
      </c>
      <c r="L2142" s="166"/>
      <c r="M2142" s="166"/>
      <c r="N2142" s="164"/>
      <c r="O2142" s="166"/>
      <c r="P2142" s="165"/>
    </row>
    <row r="2143" spans="1:16" ht="15" hidden="1" customHeight="1" x14ac:dyDescent="0.25">
      <c r="A2143" s="168"/>
      <c r="B2143" s="167"/>
      <c r="C2143" s="168"/>
      <c r="D2143" s="167"/>
      <c r="E2143" s="167"/>
      <c r="F2143" s="167"/>
      <c r="G2143" s="167"/>
      <c r="H2143" s="167"/>
      <c r="I2143" s="164">
        <f t="shared" ca="1" si="34"/>
        <v>44939</v>
      </c>
      <c r="J2143" s="163">
        <v>0.33333333333333331</v>
      </c>
      <c r="K2143" s="162" t="s">
        <v>749</v>
      </c>
      <c r="L2143" s="166"/>
      <c r="M2143" s="166"/>
      <c r="N2143" s="164"/>
      <c r="O2143" s="166"/>
      <c r="P2143" s="165"/>
    </row>
    <row r="2144" spans="1:16" ht="15" hidden="1" customHeight="1" x14ac:dyDescent="0.25">
      <c r="A2144" s="168"/>
      <c r="B2144" s="167"/>
      <c r="C2144" s="168"/>
      <c r="D2144" s="167"/>
      <c r="E2144" s="167"/>
      <c r="F2144" s="167"/>
      <c r="G2144" s="167"/>
      <c r="H2144" s="167"/>
      <c r="I2144" s="164">
        <f t="shared" ca="1" si="34"/>
        <v>44939</v>
      </c>
      <c r="J2144" s="163">
        <v>0.33333333333333331</v>
      </c>
      <c r="K2144" s="162" t="s">
        <v>749</v>
      </c>
      <c r="L2144" s="166"/>
      <c r="M2144" s="166"/>
      <c r="N2144" s="164"/>
      <c r="O2144" s="166"/>
      <c r="P2144" s="165"/>
    </row>
    <row r="2145" spans="1:16" ht="15" hidden="1" customHeight="1" x14ac:dyDescent="0.25">
      <c r="A2145" s="168"/>
      <c r="B2145" s="167"/>
      <c r="C2145" s="168"/>
      <c r="D2145" s="167"/>
      <c r="E2145" s="167"/>
      <c r="F2145" s="167"/>
      <c r="G2145" s="167"/>
      <c r="H2145" s="167"/>
      <c r="I2145" s="164">
        <f t="shared" ca="1" si="34"/>
        <v>44939</v>
      </c>
      <c r="J2145" s="163">
        <v>0.33333333333333331</v>
      </c>
      <c r="K2145" s="162" t="s">
        <v>749</v>
      </c>
      <c r="L2145" s="166"/>
      <c r="M2145" s="166"/>
      <c r="N2145" s="164"/>
      <c r="O2145" s="166"/>
      <c r="P2145" s="165"/>
    </row>
    <row r="2146" spans="1:16" ht="15" hidden="1" customHeight="1" x14ac:dyDescent="0.25">
      <c r="A2146" s="168"/>
      <c r="B2146" s="167"/>
      <c r="C2146" s="168"/>
      <c r="D2146" s="167"/>
      <c r="E2146" s="167"/>
      <c r="F2146" s="167"/>
      <c r="G2146" s="167"/>
      <c r="H2146" s="167"/>
      <c r="I2146" s="164">
        <f t="shared" ca="1" si="34"/>
        <v>44939</v>
      </c>
      <c r="J2146" s="163">
        <v>0.33333333333333331</v>
      </c>
      <c r="K2146" s="162" t="s">
        <v>749</v>
      </c>
      <c r="L2146" s="166"/>
      <c r="M2146" s="166"/>
      <c r="N2146" s="164"/>
      <c r="O2146" s="166"/>
      <c r="P2146" s="165"/>
    </row>
    <row r="2147" spans="1:16" ht="15" hidden="1" customHeight="1" x14ac:dyDescent="0.25">
      <c r="A2147" s="168"/>
      <c r="B2147" s="167"/>
      <c r="C2147" s="168"/>
      <c r="D2147" s="167"/>
      <c r="E2147" s="167"/>
      <c r="F2147" s="167"/>
      <c r="G2147" s="167"/>
      <c r="H2147" s="167"/>
      <c r="I2147" s="164">
        <f t="shared" ca="1" si="34"/>
        <v>44939</v>
      </c>
      <c r="J2147" s="163">
        <v>0.33333333333333331</v>
      </c>
      <c r="K2147" s="162" t="s">
        <v>749</v>
      </c>
      <c r="L2147" s="166"/>
      <c r="M2147" s="166"/>
      <c r="N2147" s="164"/>
      <c r="O2147" s="166"/>
      <c r="P2147" s="165"/>
    </row>
    <row r="2148" spans="1:16" ht="15" hidden="1" customHeight="1" x14ac:dyDescent="0.25">
      <c r="A2148" s="168"/>
      <c r="B2148" s="167"/>
      <c r="C2148" s="168"/>
      <c r="D2148" s="167"/>
      <c r="E2148" s="167"/>
      <c r="F2148" s="167"/>
      <c r="G2148" s="167"/>
      <c r="H2148" s="167"/>
      <c r="I2148" s="164">
        <f t="shared" ca="1" si="34"/>
        <v>44939</v>
      </c>
      <c r="J2148" s="163">
        <v>0.33333333333333331</v>
      </c>
      <c r="K2148" s="162" t="s">
        <v>749</v>
      </c>
      <c r="L2148" s="166"/>
      <c r="M2148" s="166"/>
      <c r="N2148" s="164"/>
      <c r="O2148" s="166"/>
      <c r="P2148" s="165"/>
    </row>
    <row r="2149" spans="1:16" ht="15" hidden="1" customHeight="1" x14ac:dyDescent="0.25">
      <c r="A2149" s="168"/>
      <c r="B2149" s="167"/>
      <c r="C2149" s="168"/>
      <c r="D2149" s="167"/>
      <c r="E2149" s="167"/>
      <c r="F2149" s="167"/>
      <c r="G2149" s="167"/>
      <c r="H2149" s="167"/>
      <c r="I2149" s="164">
        <f t="shared" ca="1" si="34"/>
        <v>44939</v>
      </c>
      <c r="J2149" s="163">
        <v>0.33333333333333331</v>
      </c>
      <c r="K2149" s="162" t="s">
        <v>749</v>
      </c>
      <c r="L2149" s="166"/>
      <c r="M2149" s="166"/>
      <c r="N2149" s="164"/>
      <c r="O2149" s="166"/>
      <c r="P2149" s="165"/>
    </row>
    <row r="2150" spans="1:16" ht="15" hidden="1" customHeight="1" x14ac:dyDescent="0.25">
      <c r="A2150" s="168"/>
      <c r="B2150" s="167"/>
      <c r="C2150" s="168"/>
      <c r="D2150" s="167"/>
      <c r="E2150" s="167"/>
      <c r="F2150" s="167"/>
      <c r="G2150" s="167"/>
      <c r="H2150" s="167"/>
      <c r="I2150" s="164">
        <f t="shared" ca="1" si="34"/>
        <v>44939</v>
      </c>
      <c r="J2150" s="163">
        <v>0.33333333333333331</v>
      </c>
      <c r="K2150" s="162" t="s">
        <v>749</v>
      </c>
      <c r="L2150" s="166"/>
      <c r="M2150" s="166"/>
      <c r="N2150" s="164"/>
      <c r="O2150" s="166"/>
      <c r="P2150" s="165"/>
    </row>
    <row r="2151" spans="1:16" ht="15" hidden="1" customHeight="1" x14ac:dyDescent="0.25">
      <c r="A2151" s="168"/>
      <c r="B2151" s="167"/>
      <c r="C2151" s="168"/>
      <c r="D2151" s="167"/>
      <c r="E2151" s="167"/>
      <c r="F2151" s="167"/>
      <c r="G2151" s="167"/>
      <c r="H2151" s="167"/>
      <c r="I2151" s="164">
        <f t="shared" ca="1" si="34"/>
        <v>44939</v>
      </c>
      <c r="J2151" s="163">
        <v>0.33333333333333331</v>
      </c>
      <c r="K2151" s="162" t="s">
        <v>749</v>
      </c>
      <c r="L2151" s="166"/>
      <c r="M2151" s="166"/>
      <c r="N2151" s="164"/>
      <c r="O2151" s="166"/>
      <c r="P2151" s="165"/>
    </row>
    <row r="2152" spans="1:16" ht="15" hidden="1" customHeight="1" x14ac:dyDescent="0.25">
      <c r="A2152" s="168"/>
      <c r="B2152" s="167"/>
      <c r="C2152" s="168"/>
      <c r="D2152" s="167"/>
      <c r="E2152" s="167"/>
      <c r="F2152" s="167"/>
      <c r="G2152" s="167"/>
      <c r="H2152" s="167"/>
      <c r="I2152" s="164">
        <f t="shared" ca="1" si="34"/>
        <v>44939</v>
      </c>
      <c r="J2152" s="163">
        <v>0.33333333333333331</v>
      </c>
      <c r="K2152" s="162" t="s">
        <v>749</v>
      </c>
      <c r="L2152" s="166"/>
      <c r="M2152" s="166"/>
      <c r="N2152" s="164"/>
      <c r="O2152" s="166"/>
      <c r="P2152" s="165"/>
    </row>
    <row r="2153" spans="1:16" ht="15" hidden="1" customHeight="1" x14ac:dyDescent="0.25">
      <c r="A2153" s="168"/>
      <c r="B2153" s="167"/>
      <c r="C2153" s="168"/>
      <c r="D2153" s="167"/>
      <c r="E2153" s="167"/>
      <c r="F2153" s="167"/>
      <c r="G2153" s="167"/>
      <c r="H2153" s="167"/>
      <c r="I2153" s="164">
        <f t="shared" ca="1" si="34"/>
        <v>44939</v>
      </c>
      <c r="J2153" s="163">
        <v>0.33333333333333331</v>
      </c>
      <c r="K2153" s="162" t="s">
        <v>749</v>
      </c>
      <c r="L2153" s="166"/>
      <c r="M2153" s="166"/>
      <c r="N2153" s="164"/>
      <c r="O2153" s="166"/>
      <c r="P2153" s="165"/>
    </row>
    <row r="2154" spans="1:16" ht="15" hidden="1" customHeight="1" x14ac:dyDescent="0.25">
      <c r="A2154" s="168"/>
      <c r="B2154" s="167"/>
      <c r="C2154" s="168"/>
      <c r="D2154" s="167"/>
      <c r="E2154" s="167"/>
      <c r="F2154" s="167"/>
      <c r="G2154" s="167"/>
      <c r="H2154" s="167"/>
      <c r="I2154" s="164">
        <f t="shared" ca="1" si="34"/>
        <v>44939</v>
      </c>
      <c r="J2154" s="163">
        <v>0.33333333333333331</v>
      </c>
      <c r="K2154" s="162" t="s">
        <v>749</v>
      </c>
      <c r="L2154" s="166"/>
      <c r="M2154" s="166"/>
      <c r="N2154" s="164"/>
      <c r="O2154" s="166"/>
      <c r="P2154" s="165"/>
    </row>
    <row r="2155" spans="1:16" ht="15" hidden="1" customHeight="1" x14ac:dyDescent="0.25">
      <c r="A2155" s="168"/>
      <c r="B2155" s="167"/>
      <c r="C2155" s="168"/>
      <c r="D2155" s="167"/>
      <c r="E2155" s="167"/>
      <c r="F2155" s="167"/>
      <c r="G2155" s="167"/>
      <c r="H2155" s="167"/>
      <c r="I2155" s="164">
        <f t="shared" ca="1" si="34"/>
        <v>44939</v>
      </c>
      <c r="J2155" s="163">
        <v>0.33333333333333331</v>
      </c>
      <c r="K2155" s="162" t="s">
        <v>749</v>
      </c>
      <c r="L2155" s="166"/>
      <c r="M2155" s="166"/>
      <c r="N2155" s="164"/>
      <c r="O2155" s="166"/>
      <c r="P2155" s="165"/>
    </row>
    <row r="2156" spans="1:16" ht="15" hidden="1" customHeight="1" x14ac:dyDescent="0.25">
      <c r="A2156" s="168"/>
      <c r="B2156" s="167"/>
      <c r="C2156" s="168"/>
      <c r="D2156" s="167"/>
      <c r="E2156" s="167"/>
      <c r="F2156" s="167"/>
      <c r="G2156" s="167"/>
      <c r="H2156" s="167"/>
      <c r="I2156" s="164">
        <f t="shared" ca="1" si="34"/>
        <v>44939</v>
      </c>
      <c r="J2156" s="163">
        <v>0.33333333333333331</v>
      </c>
      <c r="K2156" s="162" t="s">
        <v>749</v>
      </c>
      <c r="L2156" s="166"/>
      <c r="M2156" s="166"/>
      <c r="N2156" s="164"/>
      <c r="O2156" s="166"/>
      <c r="P2156" s="165"/>
    </row>
    <row r="2157" spans="1:16" ht="15" hidden="1" customHeight="1" x14ac:dyDescent="0.25">
      <c r="A2157" s="168"/>
      <c r="B2157" s="167"/>
      <c r="C2157" s="168"/>
      <c r="D2157" s="167"/>
      <c r="E2157" s="167"/>
      <c r="F2157" s="167"/>
      <c r="G2157" s="167"/>
      <c r="H2157" s="167"/>
      <c r="I2157" s="164">
        <f t="shared" ca="1" si="34"/>
        <v>44939</v>
      </c>
      <c r="J2157" s="163">
        <v>0.33333333333333331</v>
      </c>
      <c r="K2157" s="162" t="s">
        <v>749</v>
      </c>
      <c r="L2157" s="166"/>
      <c r="M2157" s="166"/>
      <c r="N2157" s="164"/>
      <c r="O2157" s="166"/>
      <c r="P2157" s="165"/>
    </row>
    <row r="2158" spans="1:16" ht="15" hidden="1" customHeight="1" x14ac:dyDescent="0.25">
      <c r="A2158" s="168"/>
      <c r="B2158" s="167"/>
      <c r="C2158" s="168"/>
      <c r="D2158" s="167"/>
      <c r="E2158" s="167"/>
      <c r="F2158" s="167"/>
      <c r="G2158" s="167"/>
      <c r="H2158" s="167"/>
      <c r="I2158" s="164">
        <f t="shared" ca="1" si="34"/>
        <v>44939</v>
      </c>
      <c r="J2158" s="163">
        <v>0.33333333333333331</v>
      </c>
      <c r="K2158" s="162" t="s">
        <v>749</v>
      </c>
      <c r="L2158" s="166"/>
      <c r="M2158" s="166"/>
      <c r="N2158" s="164"/>
      <c r="O2158" s="166"/>
      <c r="P2158" s="165"/>
    </row>
    <row r="2159" spans="1:16" ht="15" hidden="1" customHeight="1" x14ac:dyDescent="0.25">
      <c r="A2159" s="168"/>
      <c r="B2159" s="167"/>
      <c r="C2159" s="168"/>
      <c r="D2159" s="167"/>
      <c r="E2159" s="167"/>
      <c r="F2159" s="167"/>
      <c r="G2159" s="167"/>
      <c r="H2159" s="167"/>
      <c r="I2159" s="164">
        <f t="shared" ca="1" si="34"/>
        <v>44939</v>
      </c>
      <c r="J2159" s="163">
        <v>0.33333333333333331</v>
      </c>
      <c r="K2159" s="162" t="s">
        <v>749</v>
      </c>
      <c r="L2159" s="166"/>
      <c r="M2159" s="166"/>
      <c r="N2159" s="164"/>
      <c r="O2159" s="166"/>
      <c r="P2159" s="165"/>
    </row>
    <row r="2160" spans="1:16" ht="15" hidden="1" customHeight="1" x14ac:dyDescent="0.25">
      <c r="A2160" s="168"/>
      <c r="B2160" s="167"/>
      <c r="C2160" s="168"/>
      <c r="D2160" s="167"/>
      <c r="E2160" s="167"/>
      <c r="F2160" s="167"/>
      <c r="G2160" s="167"/>
      <c r="H2160" s="167"/>
      <c r="I2160" s="164">
        <f t="shared" ca="1" si="34"/>
        <v>44939</v>
      </c>
      <c r="J2160" s="163">
        <v>0.33333333333333331</v>
      </c>
      <c r="K2160" s="162" t="s">
        <v>749</v>
      </c>
      <c r="L2160" s="166"/>
      <c r="M2160" s="166"/>
      <c r="N2160" s="164"/>
      <c r="O2160" s="166"/>
      <c r="P2160" s="165"/>
    </row>
    <row r="2161" spans="1:16" ht="15" hidden="1" customHeight="1" x14ac:dyDescent="0.25">
      <c r="A2161" s="168"/>
      <c r="B2161" s="167"/>
      <c r="C2161" s="168"/>
      <c r="D2161" s="167"/>
      <c r="E2161" s="167"/>
      <c r="F2161" s="167"/>
      <c r="G2161" s="167"/>
      <c r="H2161" s="167"/>
      <c r="I2161" s="164">
        <f t="shared" ca="1" si="34"/>
        <v>44939</v>
      </c>
      <c r="J2161" s="163">
        <v>0.33333333333333331</v>
      </c>
      <c r="K2161" s="162" t="s">
        <v>749</v>
      </c>
      <c r="L2161" s="166"/>
      <c r="M2161" s="166"/>
      <c r="N2161" s="164"/>
      <c r="O2161" s="166"/>
      <c r="P2161" s="165"/>
    </row>
    <row r="2162" spans="1:16" ht="15" hidden="1" customHeight="1" x14ac:dyDescent="0.25">
      <c r="A2162" s="168"/>
      <c r="B2162" s="167"/>
      <c r="C2162" s="168"/>
      <c r="D2162" s="167"/>
      <c r="E2162" s="167"/>
      <c r="F2162" s="167"/>
      <c r="G2162" s="167"/>
      <c r="H2162" s="167"/>
      <c r="I2162" s="164">
        <f t="shared" ca="1" si="34"/>
        <v>44939</v>
      </c>
      <c r="J2162" s="163">
        <v>0.33333333333333331</v>
      </c>
      <c r="K2162" s="162" t="s">
        <v>749</v>
      </c>
      <c r="L2162" s="166"/>
      <c r="M2162" s="166"/>
      <c r="N2162" s="164"/>
      <c r="O2162" s="166"/>
      <c r="P2162" s="165"/>
    </row>
    <row r="2163" spans="1:16" ht="15" hidden="1" customHeight="1" x14ac:dyDescent="0.25">
      <c r="A2163" s="168"/>
      <c r="B2163" s="167"/>
      <c r="C2163" s="168"/>
      <c r="D2163" s="167"/>
      <c r="E2163" s="167"/>
      <c r="F2163" s="167"/>
      <c r="G2163" s="167"/>
      <c r="H2163" s="167"/>
      <c r="I2163" s="164">
        <f t="shared" ca="1" si="34"/>
        <v>44939</v>
      </c>
      <c r="J2163" s="163">
        <v>0.33333333333333331</v>
      </c>
      <c r="K2163" s="162" t="s">
        <v>749</v>
      </c>
      <c r="L2163" s="166"/>
      <c r="M2163" s="166"/>
      <c r="N2163" s="164"/>
      <c r="O2163" s="166"/>
      <c r="P2163" s="165"/>
    </row>
    <row r="2164" spans="1:16" ht="15" hidden="1" customHeight="1" x14ac:dyDescent="0.25">
      <c r="A2164" s="168"/>
      <c r="B2164" s="167"/>
      <c r="C2164" s="168"/>
      <c r="D2164" s="167"/>
      <c r="E2164" s="167"/>
      <c r="F2164" s="167"/>
      <c r="G2164" s="167"/>
      <c r="H2164" s="167"/>
      <c r="I2164" s="164">
        <f t="shared" ca="1" si="34"/>
        <v>44939</v>
      </c>
      <c r="J2164" s="163">
        <v>0.33333333333333331</v>
      </c>
      <c r="K2164" s="162" t="s">
        <v>749</v>
      </c>
      <c r="L2164" s="166"/>
      <c r="M2164" s="166"/>
      <c r="N2164" s="164"/>
      <c r="O2164" s="166"/>
      <c r="P2164" s="165"/>
    </row>
    <row r="2165" spans="1:16" ht="15" hidden="1" customHeight="1" x14ac:dyDescent="0.25">
      <c r="A2165" s="168"/>
      <c r="B2165" s="167"/>
      <c r="C2165" s="168"/>
      <c r="D2165" s="167"/>
      <c r="E2165" s="167"/>
      <c r="F2165" s="167"/>
      <c r="G2165" s="167"/>
      <c r="H2165" s="167"/>
      <c r="I2165" s="164">
        <f t="shared" ca="1" si="34"/>
        <v>44939</v>
      </c>
      <c r="J2165" s="163">
        <v>0.33333333333333331</v>
      </c>
      <c r="K2165" s="162" t="s">
        <v>749</v>
      </c>
      <c r="L2165" s="166"/>
      <c r="M2165" s="166"/>
      <c r="N2165" s="164"/>
      <c r="O2165" s="166"/>
      <c r="P2165" s="165"/>
    </row>
    <row r="2166" spans="1:16" ht="15" hidden="1" customHeight="1" x14ac:dyDescent="0.25">
      <c r="A2166" s="168"/>
      <c r="B2166" s="167"/>
      <c r="C2166" s="168"/>
      <c r="D2166" s="167"/>
      <c r="E2166" s="167"/>
      <c r="F2166" s="167"/>
      <c r="G2166" s="167"/>
      <c r="H2166" s="167"/>
      <c r="I2166" s="164">
        <f t="shared" ca="1" si="34"/>
        <v>44939</v>
      </c>
      <c r="J2166" s="163">
        <v>0.33333333333333331</v>
      </c>
      <c r="K2166" s="162" t="s">
        <v>749</v>
      </c>
      <c r="L2166" s="166"/>
      <c r="M2166" s="166"/>
      <c r="N2166" s="164"/>
      <c r="O2166" s="166"/>
      <c r="P2166" s="165"/>
    </row>
    <row r="2167" spans="1:16" ht="15" hidden="1" customHeight="1" x14ac:dyDescent="0.25">
      <c r="A2167" s="168"/>
      <c r="B2167" s="167"/>
      <c r="C2167" s="168"/>
      <c r="D2167" s="167"/>
      <c r="E2167" s="167"/>
      <c r="F2167" s="167"/>
      <c r="G2167" s="167"/>
      <c r="H2167" s="167"/>
      <c r="I2167" s="164">
        <f t="shared" ca="1" si="34"/>
        <v>44939</v>
      </c>
      <c r="J2167" s="163">
        <v>0.33333333333333331</v>
      </c>
      <c r="K2167" s="162" t="s">
        <v>749</v>
      </c>
      <c r="L2167" s="166"/>
      <c r="M2167" s="166"/>
      <c r="N2167" s="164"/>
      <c r="O2167" s="166"/>
      <c r="P2167" s="165"/>
    </row>
    <row r="2168" spans="1:16" ht="15" hidden="1" customHeight="1" x14ac:dyDescent="0.25">
      <c r="A2168" s="168"/>
      <c r="B2168" s="167"/>
      <c r="C2168" s="168"/>
      <c r="D2168" s="167"/>
      <c r="E2168" s="167"/>
      <c r="F2168" s="167"/>
      <c r="G2168" s="167"/>
      <c r="H2168" s="167"/>
      <c r="I2168" s="164">
        <f t="shared" ca="1" si="34"/>
        <v>44939</v>
      </c>
      <c r="J2168" s="163">
        <v>0.33333333333333331</v>
      </c>
      <c r="K2168" s="162" t="s">
        <v>749</v>
      </c>
      <c r="L2168" s="166"/>
      <c r="M2168" s="166"/>
      <c r="N2168" s="164"/>
      <c r="O2168" s="166"/>
      <c r="P2168" s="165"/>
    </row>
    <row r="2169" spans="1:16" ht="15" hidden="1" customHeight="1" x14ac:dyDescent="0.25">
      <c r="A2169" s="168"/>
      <c r="B2169" s="167"/>
      <c r="C2169" s="168"/>
      <c r="D2169" s="167"/>
      <c r="E2169" s="167"/>
      <c r="F2169" s="167"/>
      <c r="G2169" s="167"/>
      <c r="H2169" s="167"/>
      <c r="I2169" s="164">
        <f t="shared" ca="1" si="34"/>
        <v>44939</v>
      </c>
      <c r="J2169" s="163">
        <v>0.33333333333333331</v>
      </c>
      <c r="K2169" s="162" t="s">
        <v>749</v>
      </c>
      <c r="L2169" s="166"/>
      <c r="M2169" s="166"/>
      <c r="N2169" s="164"/>
      <c r="O2169" s="166"/>
      <c r="P2169" s="165"/>
    </row>
    <row r="2170" spans="1:16" ht="15" hidden="1" customHeight="1" x14ac:dyDescent="0.25">
      <c r="A2170" s="168"/>
      <c r="B2170" s="167"/>
      <c r="C2170" s="168"/>
      <c r="D2170" s="167"/>
      <c r="E2170" s="167"/>
      <c r="F2170" s="167"/>
      <c r="G2170" s="167"/>
      <c r="H2170" s="167"/>
      <c r="I2170" s="164">
        <f t="shared" ca="1" si="34"/>
        <v>44939</v>
      </c>
      <c r="J2170" s="163">
        <v>0.33333333333333331</v>
      </c>
      <c r="K2170" s="162" t="s">
        <v>749</v>
      </c>
      <c r="L2170" s="166"/>
      <c r="M2170" s="166"/>
      <c r="N2170" s="164"/>
      <c r="O2170" s="166"/>
      <c r="P2170" s="165"/>
    </row>
    <row r="2171" spans="1:16" ht="15" hidden="1" customHeight="1" x14ac:dyDescent="0.25">
      <c r="A2171" s="168"/>
      <c r="B2171" s="167"/>
      <c r="C2171" s="168"/>
      <c r="D2171" s="167"/>
      <c r="E2171" s="167"/>
      <c r="F2171" s="167"/>
      <c r="G2171" s="167"/>
      <c r="H2171" s="167"/>
      <c r="I2171" s="164">
        <f t="shared" ca="1" si="34"/>
        <v>44939</v>
      </c>
      <c r="J2171" s="163">
        <v>0.33333333333333331</v>
      </c>
      <c r="K2171" s="162" t="s">
        <v>749</v>
      </c>
      <c r="L2171" s="166"/>
      <c r="M2171" s="166"/>
      <c r="N2171" s="164"/>
      <c r="O2171" s="166"/>
      <c r="P2171" s="165"/>
    </row>
    <row r="2172" spans="1:16" ht="15" hidden="1" customHeight="1" x14ac:dyDescent="0.25">
      <c r="A2172" s="168"/>
      <c r="B2172" s="167"/>
      <c r="C2172" s="168"/>
      <c r="D2172" s="167"/>
      <c r="E2172" s="167"/>
      <c r="F2172" s="167"/>
      <c r="G2172" s="167"/>
      <c r="H2172" s="167"/>
      <c r="I2172" s="164">
        <f t="shared" ca="1" si="34"/>
        <v>44939</v>
      </c>
      <c r="J2172" s="163">
        <v>0.33333333333333331</v>
      </c>
      <c r="K2172" s="162" t="s">
        <v>749</v>
      </c>
      <c r="L2172" s="166"/>
      <c r="M2172" s="166"/>
      <c r="N2172" s="164"/>
      <c r="O2172" s="166"/>
      <c r="P2172" s="165"/>
    </row>
    <row r="2173" spans="1:16" ht="15" hidden="1" customHeight="1" x14ac:dyDescent="0.25">
      <c r="A2173" s="168"/>
      <c r="B2173" s="167"/>
      <c r="C2173" s="168"/>
      <c r="D2173" s="167"/>
      <c r="E2173" s="167"/>
      <c r="F2173" s="167"/>
      <c r="G2173" s="167"/>
      <c r="H2173" s="167"/>
      <c r="I2173" s="164">
        <f t="shared" ca="1" si="34"/>
        <v>44939</v>
      </c>
      <c r="J2173" s="163">
        <v>0.33333333333333331</v>
      </c>
      <c r="K2173" s="162" t="s">
        <v>749</v>
      </c>
      <c r="L2173" s="166"/>
      <c r="M2173" s="166"/>
      <c r="N2173" s="164"/>
      <c r="O2173" s="166"/>
      <c r="P2173" s="165"/>
    </row>
    <row r="2174" spans="1:16" ht="15" hidden="1" customHeight="1" x14ac:dyDescent="0.25">
      <c r="A2174" s="168"/>
      <c r="B2174" s="167"/>
      <c r="C2174" s="168"/>
      <c r="D2174" s="167"/>
      <c r="E2174" s="167"/>
      <c r="F2174" s="167"/>
      <c r="G2174" s="167"/>
      <c r="H2174" s="167"/>
      <c r="I2174" s="164">
        <f t="shared" ca="1" si="34"/>
        <v>44939</v>
      </c>
      <c r="J2174" s="163">
        <v>0.33333333333333331</v>
      </c>
      <c r="K2174" s="162" t="s">
        <v>749</v>
      </c>
      <c r="L2174" s="166"/>
      <c r="M2174" s="166"/>
      <c r="N2174" s="164"/>
      <c r="O2174" s="166"/>
      <c r="P2174" s="165"/>
    </row>
    <row r="2175" spans="1:16" ht="15" hidden="1" customHeight="1" x14ac:dyDescent="0.25">
      <c r="A2175" s="168"/>
      <c r="B2175" s="167"/>
      <c r="C2175" s="168"/>
      <c r="D2175" s="167"/>
      <c r="E2175" s="167"/>
      <c r="F2175" s="167"/>
      <c r="G2175" s="167"/>
      <c r="H2175" s="167"/>
      <c r="I2175" s="164">
        <f t="shared" ca="1" si="34"/>
        <v>44939</v>
      </c>
      <c r="J2175" s="163">
        <v>0.33333333333333331</v>
      </c>
      <c r="K2175" s="162" t="s">
        <v>749</v>
      </c>
      <c r="L2175" s="166"/>
      <c r="M2175" s="166"/>
      <c r="N2175" s="164"/>
      <c r="O2175" s="166"/>
      <c r="P2175" s="165"/>
    </row>
    <row r="2176" spans="1:16" ht="15" hidden="1" customHeight="1" x14ac:dyDescent="0.25">
      <c r="A2176" s="168"/>
      <c r="B2176" s="167"/>
      <c r="C2176" s="168"/>
      <c r="D2176" s="167"/>
      <c r="E2176" s="167"/>
      <c r="F2176" s="167"/>
      <c r="G2176" s="167"/>
      <c r="H2176" s="167"/>
      <c r="I2176" s="164">
        <f t="shared" ca="1" si="34"/>
        <v>44939</v>
      </c>
      <c r="J2176" s="163">
        <v>0.33333333333333331</v>
      </c>
      <c r="K2176" s="162" t="s">
        <v>749</v>
      </c>
      <c r="L2176" s="166"/>
      <c r="M2176" s="166"/>
      <c r="N2176" s="164"/>
      <c r="O2176" s="166"/>
      <c r="P2176" s="165"/>
    </row>
    <row r="2177" spans="1:16" ht="15" hidden="1" customHeight="1" x14ac:dyDescent="0.25">
      <c r="A2177" s="168"/>
      <c r="B2177" s="167"/>
      <c r="C2177" s="168"/>
      <c r="D2177" s="167"/>
      <c r="E2177" s="167"/>
      <c r="F2177" s="167"/>
      <c r="G2177" s="167"/>
      <c r="H2177" s="167"/>
      <c r="I2177" s="164">
        <f t="shared" ca="1" si="34"/>
        <v>44939</v>
      </c>
      <c r="J2177" s="163">
        <v>0.33333333333333331</v>
      </c>
      <c r="K2177" s="162" t="s">
        <v>749</v>
      </c>
      <c r="L2177" s="166"/>
      <c r="M2177" s="166"/>
      <c r="N2177" s="164"/>
      <c r="O2177" s="166"/>
      <c r="P2177" s="165"/>
    </row>
    <row r="2178" spans="1:16" ht="15" hidden="1" customHeight="1" x14ac:dyDescent="0.25">
      <c r="A2178" s="168"/>
      <c r="B2178" s="167"/>
      <c r="C2178" s="168"/>
      <c r="D2178" s="167"/>
      <c r="E2178" s="167"/>
      <c r="F2178" s="167"/>
      <c r="G2178" s="167"/>
      <c r="H2178" s="167"/>
      <c r="I2178" s="164">
        <f t="shared" ca="1" si="34"/>
        <v>44939</v>
      </c>
      <c r="J2178" s="163">
        <v>0.33333333333333331</v>
      </c>
      <c r="K2178" s="162" t="s">
        <v>749</v>
      </c>
      <c r="L2178" s="166"/>
      <c r="M2178" s="166"/>
      <c r="N2178" s="164"/>
      <c r="O2178" s="166"/>
      <c r="P2178" s="165"/>
    </row>
    <row r="2179" spans="1:16" ht="15" hidden="1" customHeight="1" x14ac:dyDescent="0.25">
      <c r="A2179" s="168"/>
      <c r="B2179" s="167"/>
      <c r="C2179" s="168"/>
      <c r="D2179" s="167"/>
      <c r="E2179" s="167"/>
      <c r="F2179" s="167"/>
      <c r="G2179" s="167"/>
      <c r="H2179" s="167"/>
      <c r="I2179" s="164">
        <f t="shared" ca="1" si="34"/>
        <v>44939</v>
      </c>
      <c r="J2179" s="163">
        <v>0.33333333333333331</v>
      </c>
      <c r="K2179" s="162" t="s">
        <v>749</v>
      </c>
      <c r="L2179" s="166"/>
      <c r="M2179" s="166"/>
      <c r="N2179" s="164"/>
      <c r="O2179" s="166"/>
      <c r="P2179" s="165"/>
    </row>
    <row r="2180" spans="1:16" ht="15" hidden="1" customHeight="1" x14ac:dyDescent="0.25">
      <c r="A2180" s="168"/>
      <c r="B2180" s="167"/>
      <c r="C2180" s="168"/>
      <c r="D2180" s="167"/>
      <c r="E2180" s="167"/>
      <c r="F2180" s="167"/>
      <c r="G2180" s="167"/>
      <c r="H2180" s="167"/>
      <c r="I2180" s="164">
        <f t="shared" ca="1" si="34"/>
        <v>44939</v>
      </c>
      <c r="J2180" s="163">
        <v>0.33333333333333331</v>
      </c>
      <c r="K2180" s="162" t="s">
        <v>749</v>
      </c>
      <c r="L2180" s="166"/>
      <c r="M2180" s="166"/>
      <c r="N2180" s="164"/>
      <c r="O2180" s="166"/>
      <c r="P2180" s="165"/>
    </row>
    <row r="2181" spans="1:16" ht="15" hidden="1" customHeight="1" x14ac:dyDescent="0.25">
      <c r="A2181" s="168"/>
      <c r="B2181" s="167"/>
      <c r="C2181" s="168"/>
      <c r="D2181" s="167"/>
      <c r="E2181" s="167"/>
      <c r="F2181" s="167"/>
      <c r="G2181" s="167"/>
      <c r="H2181" s="167"/>
      <c r="I2181" s="164">
        <f t="shared" ca="1" si="34"/>
        <v>44939</v>
      </c>
      <c r="J2181" s="163">
        <v>0.33333333333333331</v>
      </c>
      <c r="K2181" s="162" t="s">
        <v>749</v>
      </c>
      <c r="L2181" s="166"/>
      <c r="M2181" s="166"/>
      <c r="N2181" s="164"/>
      <c r="O2181" s="166"/>
      <c r="P2181" s="165"/>
    </row>
    <row r="2182" spans="1:16" ht="15" hidden="1" customHeight="1" x14ac:dyDescent="0.25">
      <c r="A2182" s="168"/>
      <c r="B2182" s="167"/>
      <c r="C2182" s="168"/>
      <c r="D2182" s="167"/>
      <c r="E2182" s="167"/>
      <c r="F2182" s="167"/>
      <c r="G2182" s="167"/>
      <c r="H2182" s="167"/>
      <c r="I2182" s="164">
        <f t="shared" ca="1" si="34"/>
        <v>44939</v>
      </c>
      <c r="J2182" s="163">
        <v>0.33333333333333331</v>
      </c>
      <c r="K2182" s="162" t="s">
        <v>749</v>
      </c>
      <c r="L2182" s="166"/>
      <c r="M2182" s="166"/>
      <c r="N2182" s="164"/>
      <c r="O2182" s="166"/>
      <c r="P2182" s="165"/>
    </row>
    <row r="2183" spans="1:16" ht="15" hidden="1" customHeight="1" x14ac:dyDescent="0.25">
      <c r="A2183" s="168"/>
      <c r="B2183" s="167"/>
      <c r="C2183" s="168"/>
      <c r="D2183" s="167"/>
      <c r="E2183" s="167"/>
      <c r="F2183" s="167"/>
      <c r="G2183" s="167"/>
      <c r="H2183" s="167"/>
      <c r="I2183" s="164">
        <f t="shared" ca="1" si="34"/>
        <v>44939</v>
      </c>
      <c r="J2183" s="163">
        <v>0.33333333333333331</v>
      </c>
      <c r="K2183" s="162" t="s">
        <v>749</v>
      </c>
      <c r="L2183" s="166"/>
      <c r="M2183" s="166"/>
      <c r="N2183" s="164"/>
      <c r="O2183" s="166"/>
      <c r="P2183" s="165"/>
    </row>
    <row r="2184" spans="1:16" ht="15" hidden="1" customHeight="1" x14ac:dyDescent="0.25">
      <c r="A2184" s="168"/>
      <c r="B2184" s="167"/>
      <c r="C2184" s="168"/>
      <c r="D2184" s="167"/>
      <c r="E2184" s="167"/>
      <c r="F2184" s="167"/>
      <c r="G2184" s="167"/>
      <c r="H2184" s="167"/>
      <c r="I2184" s="164">
        <f t="shared" ca="1" si="34"/>
        <v>44939</v>
      </c>
      <c r="J2184" s="163">
        <v>0.33333333333333331</v>
      </c>
      <c r="K2184" s="162" t="s">
        <v>749</v>
      </c>
      <c r="L2184" s="166"/>
      <c r="M2184" s="166"/>
      <c r="N2184" s="164"/>
      <c r="O2184" s="166"/>
      <c r="P2184" s="165"/>
    </row>
    <row r="2185" spans="1:16" ht="15" hidden="1" customHeight="1" x14ac:dyDescent="0.25">
      <c r="A2185" s="168"/>
      <c r="B2185" s="167"/>
      <c r="C2185" s="168"/>
      <c r="D2185" s="167"/>
      <c r="E2185" s="167"/>
      <c r="F2185" s="167"/>
      <c r="G2185" s="167"/>
      <c r="H2185" s="167"/>
      <c r="I2185" s="164">
        <f t="shared" ca="1" si="34"/>
        <v>44939</v>
      </c>
      <c r="J2185" s="163">
        <v>0.33333333333333331</v>
      </c>
      <c r="K2185" s="162" t="s">
        <v>749</v>
      </c>
      <c r="L2185" s="166"/>
      <c r="M2185" s="166"/>
      <c r="N2185" s="164"/>
      <c r="O2185" s="166"/>
      <c r="P2185" s="165"/>
    </row>
    <row r="2186" spans="1:16" ht="15" hidden="1" customHeight="1" x14ac:dyDescent="0.25">
      <c r="A2186" s="168"/>
      <c r="B2186" s="167"/>
      <c r="C2186" s="168"/>
      <c r="D2186" s="167"/>
      <c r="E2186" s="167"/>
      <c r="F2186" s="167"/>
      <c r="G2186" s="167"/>
      <c r="H2186" s="167"/>
      <c r="I2186" s="164">
        <f t="shared" ca="1" si="34"/>
        <v>44939</v>
      </c>
      <c r="J2186" s="163">
        <v>0.33333333333333331</v>
      </c>
      <c r="K2186" s="162" t="s">
        <v>749</v>
      </c>
      <c r="L2186" s="166"/>
      <c r="M2186" s="166"/>
      <c r="N2186" s="164"/>
      <c r="O2186" s="166"/>
      <c r="P2186" s="165"/>
    </row>
    <row r="2187" spans="1:16" ht="15" hidden="1" customHeight="1" x14ac:dyDescent="0.25">
      <c r="A2187" s="168"/>
      <c r="B2187" s="167"/>
      <c r="C2187" s="168"/>
      <c r="D2187" s="167"/>
      <c r="E2187" s="167"/>
      <c r="F2187" s="167"/>
      <c r="G2187" s="167"/>
      <c r="H2187" s="167"/>
      <c r="I2187" s="164">
        <f t="shared" ca="1" si="34"/>
        <v>44939</v>
      </c>
      <c r="J2187" s="163">
        <v>0.33333333333333331</v>
      </c>
      <c r="K2187" s="162" t="s">
        <v>749</v>
      </c>
      <c r="L2187" s="166"/>
      <c r="M2187" s="166"/>
      <c r="N2187" s="164"/>
      <c r="O2187" s="166"/>
      <c r="P2187" s="165"/>
    </row>
    <row r="2188" spans="1:16" ht="15" hidden="1" customHeight="1" x14ac:dyDescent="0.25">
      <c r="A2188" s="168"/>
      <c r="B2188" s="167"/>
      <c r="C2188" s="168"/>
      <c r="D2188" s="167"/>
      <c r="E2188" s="167"/>
      <c r="F2188" s="167"/>
      <c r="G2188" s="167"/>
      <c r="H2188" s="167"/>
      <c r="I2188" s="164">
        <f t="shared" ca="1" si="34"/>
        <v>44939</v>
      </c>
      <c r="J2188" s="163">
        <v>0.33333333333333331</v>
      </c>
      <c r="K2188" s="162" t="s">
        <v>749</v>
      </c>
      <c r="L2188" s="166"/>
      <c r="M2188" s="166"/>
      <c r="N2188" s="164"/>
      <c r="O2188" s="166"/>
      <c r="P2188" s="165"/>
    </row>
    <row r="2189" spans="1:16" ht="15" hidden="1" customHeight="1" x14ac:dyDescent="0.25">
      <c r="A2189" s="168"/>
      <c r="B2189" s="167"/>
      <c r="C2189" s="168"/>
      <c r="D2189" s="167"/>
      <c r="E2189" s="167"/>
      <c r="F2189" s="167"/>
      <c r="G2189" s="167"/>
      <c r="H2189" s="167"/>
      <c r="I2189" s="164">
        <f t="shared" ca="1" si="34"/>
        <v>44939</v>
      </c>
      <c r="J2189" s="163">
        <v>0.33333333333333331</v>
      </c>
      <c r="K2189" s="162" t="s">
        <v>749</v>
      </c>
      <c r="L2189" s="166"/>
      <c r="M2189" s="166"/>
      <c r="N2189" s="164"/>
      <c r="O2189" s="166"/>
      <c r="P2189" s="165"/>
    </row>
    <row r="2190" spans="1:16" ht="15" hidden="1" customHeight="1" x14ac:dyDescent="0.25">
      <c r="A2190" s="168"/>
      <c r="B2190" s="167"/>
      <c r="C2190" s="168"/>
      <c r="D2190" s="167"/>
      <c r="E2190" s="167"/>
      <c r="F2190" s="167"/>
      <c r="G2190" s="167"/>
      <c r="H2190" s="167"/>
      <c r="I2190" s="164">
        <f t="shared" ca="1" si="34"/>
        <v>44939</v>
      </c>
      <c r="J2190" s="163">
        <v>0.33333333333333331</v>
      </c>
      <c r="K2190" s="162" t="s">
        <v>749</v>
      </c>
      <c r="L2190" s="166"/>
      <c r="M2190" s="166"/>
      <c r="N2190" s="164"/>
      <c r="O2190" s="166"/>
      <c r="P2190" s="165"/>
    </row>
    <row r="2191" spans="1:16" ht="15" hidden="1" customHeight="1" x14ac:dyDescent="0.25">
      <c r="A2191" s="168"/>
      <c r="B2191" s="167"/>
      <c r="C2191" s="168"/>
      <c r="D2191" s="167"/>
      <c r="E2191" s="167"/>
      <c r="F2191" s="167"/>
      <c r="G2191" s="167"/>
      <c r="H2191" s="167"/>
      <c r="I2191" s="164">
        <f t="shared" ca="1" si="34"/>
        <v>44939</v>
      </c>
      <c r="J2191" s="163">
        <v>0.33333333333333331</v>
      </c>
      <c r="K2191" s="162" t="s">
        <v>749</v>
      </c>
      <c r="L2191" s="166"/>
      <c r="M2191" s="166"/>
      <c r="N2191" s="164"/>
      <c r="O2191" s="166"/>
      <c r="P2191" s="165"/>
    </row>
    <row r="2192" spans="1:16" ht="15" hidden="1" customHeight="1" x14ac:dyDescent="0.25">
      <c r="A2192" s="168"/>
      <c r="B2192" s="167"/>
      <c r="C2192" s="168"/>
      <c r="D2192" s="167"/>
      <c r="E2192" s="167"/>
      <c r="F2192" s="167"/>
      <c r="G2192" s="167"/>
      <c r="H2192" s="167"/>
      <c r="I2192" s="164">
        <f t="shared" ca="1" si="34"/>
        <v>44939</v>
      </c>
      <c r="J2192" s="163">
        <v>0.33333333333333331</v>
      </c>
      <c r="K2192" s="162" t="s">
        <v>749</v>
      </c>
      <c r="L2192" s="166"/>
      <c r="M2192" s="166"/>
      <c r="N2192" s="164"/>
      <c r="O2192" s="166"/>
      <c r="P2192" s="165"/>
    </row>
    <row r="2193" spans="1:16" ht="15" hidden="1" customHeight="1" x14ac:dyDescent="0.25">
      <c r="A2193" s="168"/>
      <c r="B2193" s="167"/>
      <c r="C2193" s="168"/>
      <c r="D2193" s="167"/>
      <c r="E2193" s="167"/>
      <c r="F2193" s="167"/>
      <c r="G2193" s="167"/>
      <c r="H2193" s="167"/>
      <c r="I2193" s="164">
        <f t="shared" ca="1" si="34"/>
        <v>44939</v>
      </c>
      <c r="J2193" s="163">
        <v>0.33333333333333331</v>
      </c>
      <c r="K2193" s="162" t="s">
        <v>749</v>
      </c>
      <c r="L2193" s="166"/>
      <c r="M2193" s="166"/>
      <c r="N2193" s="164"/>
      <c r="O2193" s="166"/>
      <c r="P2193" s="165"/>
    </row>
    <row r="2194" spans="1:16" ht="15" hidden="1" customHeight="1" x14ac:dyDescent="0.25">
      <c r="A2194" s="168"/>
      <c r="B2194" s="167"/>
      <c r="C2194" s="168"/>
      <c r="D2194" s="167"/>
      <c r="E2194" s="167"/>
      <c r="F2194" s="167"/>
      <c r="G2194" s="167"/>
      <c r="H2194" s="167"/>
      <c r="I2194" s="164">
        <f t="shared" ca="1" si="34"/>
        <v>44939</v>
      </c>
      <c r="J2194" s="163">
        <v>0.33333333333333331</v>
      </c>
      <c r="K2194" s="162" t="s">
        <v>749</v>
      </c>
      <c r="L2194" s="166"/>
      <c r="M2194" s="166"/>
      <c r="N2194" s="164"/>
      <c r="O2194" s="166"/>
      <c r="P2194" s="165"/>
    </row>
    <row r="2195" spans="1:16" ht="15" hidden="1" customHeight="1" x14ac:dyDescent="0.25">
      <c r="A2195" s="168"/>
      <c r="B2195" s="167"/>
      <c r="C2195" s="168"/>
      <c r="D2195" s="167"/>
      <c r="E2195" s="167"/>
      <c r="F2195" s="167"/>
      <c r="G2195" s="167"/>
      <c r="H2195" s="167"/>
      <c r="I2195" s="164">
        <f t="shared" ca="1" si="34"/>
        <v>44939</v>
      </c>
      <c r="J2195" s="163">
        <v>0.33333333333333331</v>
      </c>
      <c r="K2195" s="162" t="s">
        <v>749</v>
      </c>
      <c r="L2195" s="166"/>
      <c r="M2195" s="166"/>
      <c r="N2195" s="164"/>
      <c r="O2195" s="166"/>
      <c r="P2195" s="165"/>
    </row>
    <row r="2196" spans="1:16" ht="15" hidden="1" customHeight="1" x14ac:dyDescent="0.25">
      <c r="A2196" s="168"/>
      <c r="B2196" s="167"/>
      <c r="C2196" s="168"/>
      <c r="D2196" s="167"/>
      <c r="E2196" s="167"/>
      <c r="F2196" s="167"/>
      <c r="G2196" s="167"/>
      <c r="H2196" s="167"/>
      <c r="I2196" s="164">
        <f t="shared" ca="1" si="34"/>
        <v>44939</v>
      </c>
      <c r="J2196" s="163">
        <v>0.33333333333333331</v>
      </c>
      <c r="K2196" s="162" t="s">
        <v>749</v>
      </c>
      <c r="L2196" s="166"/>
      <c r="M2196" s="166"/>
      <c r="N2196" s="164"/>
      <c r="O2196" s="166"/>
      <c r="P2196" s="165"/>
    </row>
    <row r="2197" spans="1:16" ht="15" hidden="1" customHeight="1" x14ac:dyDescent="0.25">
      <c r="A2197" s="168"/>
      <c r="B2197" s="167"/>
      <c r="C2197" s="168"/>
      <c r="D2197" s="167"/>
      <c r="E2197" s="167"/>
      <c r="F2197" s="167"/>
      <c r="G2197" s="167"/>
      <c r="H2197" s="167"/>
      <c r="I2197" s="164">
        <f t="shared" ca="1" si="34"/>
        <v>44939</v>
      </c>
      <c r="J2197" s="163">
        <v>0.33333333333333331</v>
      </c>
      <c r="K2197" s="162" t="s">
        <v>749</v>
      </c>
      <c r="L2197" s="166"/>
      <c r="M2197" s="166"/>
      <c r="N2197" s="164"/>
      <c r="O2197" s="166"/>
      <c r="P2197" s="165"/>
    </row>
    <row r="2198" spans="1:16" ht="15" hidden="1" customHeight="1" x14ac:dyDescent="0.25">
      <c r="A2198" s="168"/>
      <c r="B2198" s="167"/>
      <c r="C2198" s="168"/>
      <c r="D2198" s="167"/>
      <c r="E2198" s="167"/>
      <c r="F2198" s="167"/>
      <c r="G2198" s="167"/>
      <c r="H2198" s="167"/>
      <c r="I2198" s="164">
        <f t="shared" ca="1" si="34"/>
        <v>44939</v>
      </c>
      <c r="J2198" s="163">
        <v>0.33333333333333331</v>
      </c>
      <c r="K2198" s="162" t="s">
        <v>749</v>
      </c>
      <c r="L2198" s="166"/>
      <c r="M2198" s="166"/>
      <c r="N2198" s="164"/>
      <c r="O2198" s="166"/>
      <c r="P2198" s="165"/>
    </row>
    <row r="2199" spans="1:16" ht="15" hidden="1" customHeight="1" x14ac:dyDescent="0.25">
      <c r="A2199" s="168"/>
      <c r="B2199" s="167"/>
      <c r="C2199" s="168"/>
      <c r="D2199" s="167"/>
      <c r="E2199" s="167"/>
      <c r="F2199" s="167"/>
      <c r="G2199" s="167"/>
      <c r="H2199" s="167"/>
      <c r="I2199" s="164">
        <f t="shared" ca="1" si="34"/>
        <v>44939</v>
      </c>
      <c r="J2199" s="163">
        <v>0.33333333333333331</v>
      </c>
      <c r="K2199" s="162" t="s">
        <v>749</v>
      </c>
      <c r="L2199" s="166"/>
      <c r="M2199" s="166"/>
      <c r="N2199" s="164"/>
      <c r="O2199" s="166"/>
      <c r="P2199" s="165"/>
    </row>
    <row r="2200" spans="1:16" ht="15" hidden="1" customHeight="1" x14ac:dyDescent="0.25">
      <c r="A2200" s="168"/>
      <c r="B2200" s="167"/>
      <c r="C2200" s="168"/>
      <c r="D2200" s="167"/>
      <c r="E2200" s="167"/>
      <c r="F2200" s="167"/>
      <c r="G2200" s="167"/>
      <c r="H2200" s="167"/>
      <c r="I2200" s="164">
        <f t="shared" ref="I2200:I2263" ca="1" si="35">TODAY()</f>
        <v>44939</v>
      </c>
      <c r="J2200" s="163">
        <v>0.33333333333333331</v>
      </c>
      <c r="K2200" s="162" t="s">
        <v>749</v>
      </c>
      <c r="L2200" s="166"/>
      <c r="M2200" s="166"/>
      <c r="N2200" s="164"/>
      <c r="O2200" s="166"/>
      <c r="P2200" s="165"/>
    </row>
    <row r="2201" spans="1:16" ht="15" hidden="1" customHeight="1" x14ac:dyDescent="0.25">
      <c r="A2201" s="168"/>
      <c r="B2201" s="167"/>
      <c r="C2201" s="168"/>
      <c r="D2201" s="167"/>
      <c r="E2201" s="167"/>
      <c r="F2201" s="167"/>
      <c r="G2201" s="167"/>
      <c r="H2201" s="167"/>
      <c r="I2201" s="164">
        <f t="shared" ca="1" si="35"/>
        <v>44939</v>
      </c>
      <c r="J2201" s="163">
        <v>0.33333333333333331</v>
      </c>
      <c r="K2201" s="162" t="s">
        <v>749</v>
      </c>
      <c r="L2201" s="166"/>
      <c r="M2201" s="166"/>
      <c r="N2201" s="164"/>
      <c r="O2201" s="166"/>
      <c r="P2201" s="165"/>
    </row>
    <row r="2202" spans="1:16" ht="15" hidden="1" customHeight="1" x14ac:dyDescent="0.25">
      <c r="A2202" s="168"/>
      <c r="B2202" s="167"/>
      <c r="C2202" s="168"/>
      <c r="D2202" s="167"/>
      <c r="E2202" s="167"/>
      <c r="F2202" s="167"/>
      <c r="G2202" s="167"/>
      <c r="H2202" s="167"/>
      <c r="I2202" s="164">
        <f t="shared" ca="1" si="35"/>
        <v>44939</v>
      </c>
      <c r="J2202" s="163">
        <v>0.33333333333333331</v>
      </c>
      <c r="K2202" s="162" t="s">
        <v>749</v>
      </c>
      <c r="L2202" s="166"/>
      <c r="M2202" s="166"/>
      <c r="N2202" s="164"/>
      <c r="O2202" s="166"/>
      <c r="P2202" s="165"/>
    </row>
    <row r="2203" spans="1:16" ht="15" hidden="1" customHeight="1" x14ac:dyDescent="0.25">
      <c r="A2203" s="168"/>
      <c r="B2203" s="167"/>
      <c r="C2203" s="168"/>
      <c r="D2203" s="167"/>
      <c r="E2203" s="167"/>
      <c r="F2203" s="167"/>
      <c r="G2203" s="167"/>
      <c r="H2203" s="167"/>
      <c r="I2203" s="164">
        <f t="shared" ca="1" si="35"/>
        <v>44939</v>
      </c>
      <c r="J2203" s="163">
        <v>0.33333333333333331</v>
      </c>
      <c r="K2203" s="162" t="s">
        <v>749</v>
      </c>
      <c r="L2203" s="166"/>
      <c r="M2203" s="166"/>
      <c r="N2203" s="164"/>
      <c r="O2203" s="166"/>
      <c r="P2203" s="165"/>
    </row>
    <row r="2204" spans="1:16" ht="15" hidden="1" customHeight="1" x14ac:dyDescent="0.25">
      <c r="A2204" s="168"/>
      <c r="B2204" s="167"/>
      <c r="C2204" s="168"/>
      <c r="D2204" s="167"/>
      <c r="E2204" s="167"/>
      <c r="F2204" s="167"/>
      <c r="G2204" s="167"/>
      <c r="H2204" s="167"/>
      <c r="I2204" s="164">
        <f t="shared" ca="1" si="35"/>
        <v>44939</v>
      </c>
      <c r="J2204" s="163">
        <v>0.33333333333333331</v>
      </c>
      <c r="K2204" s="162" t="s">
        <v>749</v>
      </c>
      <c r="L2204" s="166"/>
      <c r="M2204" s="166"/>
      <c r="N2204" s="164"/>
      <c r="O2204" s="166"/>
      <c r="P2204" s="165"/>
    </row>
    <row r="2205" spans="1:16" ht="15" hidden="1" customHeight="1" x14ac:dyDescent="0.25">
      <c r="A2205" s="168"/>
      <c r="B2205" s="167"/>
      <c r="C2205" s="168"/>
      <c r="D2205" s="167"/>
      <c r="E2205" s="167"/>
      <c r="F2205" s="167"/>
      <c r="G2205" s="167"/>
      <c r="H2205" s="167"/>
      <c r="I2205" s="164">
        <f t="shared" ca="1" si="35"/>
        <v>44939</v>
      </c>
      <c r="J2205" s="163">
        <v>0.33333333333333331</v>
      </c>
      <c r="K2205" s="162" t="s">
        <v>749</v>
      </c>
      <c r="L2205" s="166"/>
      <c r="M2205" s="166"/>
      <c r="N2205" s="164"/>
      <c r="O2205" s="166"/>
      <c r="P2205" s="165"/>
    </row>
    <row r="2206" spans="1:16" ht="15" hidden="1" customHeight="1" x14ac:dyDescent="0.25">
      <c r="A2206" s="168"/>
      <c r="B2206" s="167"/>
      <c r="C2206" s="168"/>
      <c r="D2206" s="167"/>
      <c r="E2206" s="167"/>
      <c r="F2206" s="167"/>
      <c r="G2206" s="167"/>
      <c r="H2206" s="167"/>
      <c r="I2206" s="164">
        <f t="shared" ca="1" si="35"/>
        <v>44939</v>
      </c>
      <c r="J2206" s="163">
        <v>0.33333333333333331</v>
      </c>
      <c r="K2206" s="162" t="s">
        <v>749</v>
      </c>
      <c r="L2206" s="166"/>
      <c r="M2206" s="166"/>
      <c r="N2206" s="164"/>
      <c r="O2206" s="166"/>
      <c r="P2206" s="165"/>
    </row>
    <row r="2207" spans="1:16" ht="15" hidden="1" customHeight="1" x14ac:dyDescent="0.25">
      <c r="A2207" s="168"/>
      <c r="B2207" s="167"/>
      <c r="C2207" s="168"/>
      <c r="D2207" s="167"/>
      <c r="E2207" s="167"/>
      <c r="F2207" s="167"/>
      <c r="G2207" s="167"/>
      <c r="H2207" s="167"/>
      <c r="I2207" s="164">
        <f t="shared" ca="1" si="35"/>
        <v>44939</v>
      </c>
      <c r="J2207" s="163">
        <v>0.33333333333333331</v>
      </c>
      <c r="K2207" s="162" t="s">
        <v>749</v>
      </c>
      <c r="L2207" s="166"/>
      <c r="M2207" s="166"/>
      <c r="N2207" s="164"/>
      <c r="O2207" s="166"/>
      <c r="P2207" s="165"/>
    </row>
    <row r="2208" spans="1:16" ht="15" hidden="1" customHeight="1" x14ac:dyDescent="0.25">
      <c r="A2208" s="168"/>
      <c r="B2208" s="167"/>
      <c r="C2208" s="168"/>
      <c r="D2208" s="167"/>
      <c r="E2208" s="167"/>
      <c r="F2208" s="167"/>
      <c r="G2208" s="167"/>
      <c r="H2208" s="167"/>
      <c r="I2208" s="164">
        <f t="shared" ca="1" si="35"/>
        <v>44939</v>
      </c>
      <c r="J2208" s="163">
        <v>0.33333333333333331</v>
      </c>
      <c r="K2208" s="162" t="s">
        <v>749</v>
      </c>
      <c r="L2208" s="166"/>
      <c r="M2208" s="166"/>
      <c r="N2208" s="164"/>
      <c r="O2208" s="166"/>
      <c r="P2208" s="165"/>
    </row>
    <row r="2209" spans="1:16" ht="15" hidden="1" customHeight="1" x14ac:dyDescent="0.25">
      <c r="A2209" s="168"/>
      <c r="B2209" s="167"/>
      <c r="C2209" s="168"/>
      <c r="D2209" s="167"/>
      <c r="E2209" s="167"/>
      <c r="F2209" s="167"/>
      <c r="G2209" s="167"/>
      <c r="H2209" s="167"/>
      <c r="I2209" s="164">
        <f t="shared" ca="1" si="35"/>
        <v>44939</v>
      </c>
      <c r="J2209" s="163">
        <v>0.33333333333333331</v>
      </c>
      <c r="K2209" s="162" t="s">
        <v>749</v>
      </c>
      <c r="L2209" s="166"/>
      <c r="M2209" s="166"/>
      <c r="N2209" s="164"/>
      <c r="O2209" s="166"/>
      <c r="P2209" s="165"/>
    </row>
    <row r="2210" spans="1:16" ht="15" hidden="1" customHeight="1" x14ac:dyDescent="0.25">
      <c r="A2210" s="168"/>
      <c r="B2210" s="167"/>
      <c r="C2210" s="168"/>
      <c r="D2210" s="167"/>
      <c r="E2210" s="167"/>
      <c r="F2210" s="167"/>
      <c r="G2210" s="167"/>
      <c r="H2210" s="167"/>
      <c r="I2210" s="164">
        <f t="shared" ca="1" si="35"/>
        <v>44939</v>
      </c>
      <c r="J2210" s="163">
        <v>0.33333333333333331</v>
      </c>
      <c r="K2210" s="162" t="s">
        <v>749</v>
      </c>
      <c r="L2210" s="166"/>
      <c r="M2210" s="166"/>
      <c r="N2210" s="164"/>
      <c r="O2210" s="166"/>
      <c r="P2210" s="165"/>
    </row>
    <row r="2211" spans="1:16" ht="15" hidden="1" customHeight="1" x14ac:dyDescent="0.25">
      <c r="A2211" s="168"/>
      <c r="B2211" s="167"/>
      <c r="C2211" s="168"/>
      <c r="D2211" s="167"/>
      <c r="E2211" s="167"/>
      <c r="F2211" s="167"/>
      <c r="G2211" s="167"/>
      <c r="H2211" s="167"/>
      <c r="I2211" s="164">
        <f t="shared" ca="1" si="35"/>
        <v>44939</v>
      </c>
      <c r="J2211" s="163">
        <v>0.33333333333333331</v>
      </c>
      <c r="K2211" s="162" t="s">
        <v>749</v>
      </c>
      <c r="L2211" s="166"/>
      <c r="M2211" s="166"/>
      <c r="N2211" s="164"/>
      <c r="O2211" s="166"/>
      <c r="P2211" s="165"/>
    </row>
    <row r="2212" spans="1:16" ht="15" hidden="1" customHeight="1" x14ac:dyDescent="0.25">
      <c r="A2212" s="168"/>
      <c r="B2212" s="167"/>
      <c r="C2212" s="168"/>
      <c r="D2212" s="167"/>
      <c r="E2212" s="167"/>
      <c r="F2212" s="167"/>
      <c r="G2212" s="167"/>
      <c r="H2212" s="167"/>
      <c r="I2212" s="164">
        <f t="shared" ca="1" si="35"/>
        <v>44939</v>
      </c>
      <c r="J2212" s="163">
        <v>0.33333333333333331</v>
      </c>
      <c r="K2212" s="162" t="s">
        <v>749</v>
      </c>
      <c r="L2212" s="166"/>
      <c r="M2212" s="166"/>
      <c r="N2212" s="164"/>
      <c r="O2212" s="166"/>
      <c r="P2212" s="165"/>
    </row>
    <row r="2213" spans="1:16" ht="15" hidden="1" customHeight="1" x14ac:dyDescent="0.25">
      <c r="A2213" s="168"/>
      <c r="B2213" s="167"/>
      <c r="C2213" s="168"/>
      <c r="D2213" s="167"/>
      <c r="E2213" s="167"/>
      <c r="F2213" s="167"/>
      <c r="G2213" s="167"/>
      <c r="H2213" s="167"/>
      <c r="I2213" s="164">
        <f t="shared" ca="1" si="35"/>
        <v>44939</v>
      </c>
      <c r="J2213" s="163">
        <v>0.33333333333333331</v>
      </c>
      <c r="K2213" s="162" t="s">
        <v>749</v>
      </c>
      <c r="L2213" s="166"/>
      <c r="M2213" s="166"/>
      <c r="N2213" s="164"/>
      <c r="O2213" s="166"/>
      <c r="P2213" s="165"/>
    </row>
    <row r="2214" spans="1:16" ht="15" hidden="1" customHeight="1" x14ac:dyDescent="0.25">
      <c r="A2214" s="168"/>
      <c r="B2214" s="167"/>
      <c r="C2214" s="168"/>
      <c r="D2214" s="167"/>
      <c r="E2214" s="167"/>
      <c r="F2214" s="167"/>
      <c r="G2214" s="167"/>
      <c r="H2214" s="167"/>
      <c r="I2214" s="164">
        <f t="shared" ca="1" si="35"/>
        <v>44939</v>
      </c>
      <c r="J2214" s="163">
        <v>0.33333333333333331</v>
      </c>
      <c r="K2214" s="162" t="s">
        <v>749</v>
      </c>
      <c r="L2214" s="166"/>
      <c r="M2214" s="166"/>
      <c r="N2214" s="164"/>
      <c r="O2214" s="166"/>
      <c r="P2214" s="165"/>
    </row>
    <row r="2215" spans="1:16" ht="15" hidden="1" customHeight="1" x14ac:dyDescent="0.25">
      <c r="A2215" s="168"/>
      <c r="B2215" s="167"/>
      <c r="C2215" s="168"/>
      <c r="D2215" s="167"/>
      <c r="E2215" s="167"/>
      <c r="F2215" s="167"/>
      <c r="G2215" s="167"/>
      <c r="H2215" s="167"/>
      <c r="I2215" s="164">
        <f t="shared" ca="1" si="35"/>
        <v>44939</v>
      </c>
      <c r="J2215" s="163">
        <v>0.33333333333333331</v>
      </c>
      <c r="K2215" s="162" t="s">
        <v>749</v>
      </c>
      <c r="L2215" s="166"/>
      <c r="M2215" s="166"/>
      <c r="N2215" s="164"/>
      <c r="O2215" s="166"/>
      <c r="P2215" s="165"/>
    </row>
    <row r="2216" spans="1:16" ht="15" hidden="1" customHeight="1" x14ac:dyDescent="0.25">
      <c r="A2216" s="168"/>
      <c r="B2216" s="167"/>
      <c r="C2216" s="168"/>
      <c r="D2216" s="167"/>
      <c r="E2216" s="167"/>
      <c r="F2216" s="167"/>
      <c r="G2216" s="167"/>
      <c r="H2216" s="167"/>
      <c r="I2216" s="164">
        <f t="shared" ca="1" si="35"/>
        <v>44939</v>
      </c>
      <c r="J2216" s="163">
        <v>0.33333333333333331</v>
      </c>
      <c r="K2216" s="162" t="s">
        <v>749</v>
      </c>
      <c r="L2216" s="166"/>
      <c r="M2216" s="166"/>
      <c r="N2216" s="164"/>
      <c r="O2216" s="166"/>
      <c r="P2216" s="165"/>
    </row>
    <row r="2217" spans="1:16" ht="15" hidden="1" customHeight="1" x14ac:dyDescent="0.25">
      <c r="A2217" s="168"/>
      <c r="B2217" s="167"/>
      <c r="C2217" s="168"/>
      <c r="D2217" s="167"/>
      <c r="E2217" s="167"/>
      <c r="F2217" s="167"/>
      <c r="G2217" s="167"/>
      <c r="H2217" s="167"/>
      <c r="I2217" s="164">
        <f t="shared" ca="1" si="35"/>
        <v>44939</v>
      </c>
      <c r="J2217" s="163">
        <v>0.33333333333333331</v>
      </c>
      <c r="K2217" s="162" t="s">
        <v>749</v>
      </c>
      <c r="L2217" s="166"/>
      <c r="M2217" s="166"/>
      <c r="N2217" s="164"/>
      <c r="O2217" s="166"/>
      <c r="P2217" s="165"/>
    </row>
    <row r="2218" spans="1:16" ht="15" hidden="1" customHeight="1" x14ac:dyDescent="0.25">
      <c r="A2218" s="168"/>
      <c r="B2218" s="167"/>
      <c r="C2218" s="168"/>
      <c r="D2218" s="167"/>
      <c r="E2218" s="167"/>
      <c r="F2218" s="167"/>
      <c r="G2218" s="167"/>
      <c r="H2218" s="167"/>
      <c r="I2218" s="164">
        <f t="shared" ca="1" si="35"/>
        <v>44939</v>
      </c>
      <c r="J2218" s="163">
        <v>0.33333333333333331</v>
      </c>
      <c r="K2218" s="162" t="s">
        <v>749</v>
      </c>
      <c r="L2218" s="166"/>
      <c r="M2218" s="166"/>
      <c r="N2218" s="164"/>
      <c r="O2218" s="166"/>
      <c r="P2218" s="165"/>
    </row>
    <row r="2219" spans="1:16" ht="15" hidden="1" customHeight="1" x14ac:dyDescent="0.25">
      <c r="A2219" s="168"/>
      <c r="B2219" s="167"/>
      <c r="C2219" s="168"/>
      <c r="D2219" s="167"/>
      <c r="E2219" s="167"/>
      <c r="F2219" s="167"/>
      <c r="G2219" s="167"/>
      <c r="H2219" s="167"/>
      <c r="I2219" s="164">
        <f t="shared" ca="1" si="35"/>
        <v>44939</v>
      </c>
      <c r="J2219" s="163">
        <v>0.33333333333333331</v>
      </c>
      <c r="K2219" s="162" t="s">
        <v>749</v>
      </c>
      <c r="L2219" s="166"/>
      <c r="M2219" s="166"/>
      <c r="N2219" s="164"/>
      <c r="O2219" s="166"/>
      <c r="P2219" s="165"/>
    </row>
    <row r="2220" spans="1:16" ht="15" hidden="1" customHeight="1" x14ac:dyDescent="0.25">
      <c r="A2220" s="168"/>
      <c r="B2220" s="167"/>
      <c r="C2220" s="168"/>
      <c r="D2220" s="167"/>
      <c r="E2220" s="167"/>
      <c r="F2220" s="167"/>
      <c r="G2220" s="167"/>
      <c r="H2220" s="167"/>
      <c r="I2220" s="164">
        <f t="shared" ca="1" si="35"/>
        <v>44939</v>
      </c>
      <c r="J2220" s="163">
        <v>0.33333333333333331</v>
      </c>
      <c r="K2220" s="162" t="s">
        <v>749</v>
      </c>
      <c r="L2220" s="166"/>
      <c r="M2220" s="166"/>
      <c r="N2220" s="164"/>
      <c r="O2220" s="166"/>
      <c r="P2220" s="165"/>
    </row>
    <row r="2221" spans="1:16" ht="15" hidden="1" customHeight="1" x14ac:dyDescent="0.25">
      <c r="A2221" s="168"/>
      <c r="B2221" s="167"/>
      <c r="C2221" s="168"/>
      <c r="D2221" s="167"/>
      <c r="E2221" s="167"/>
      <c r="F2221" s="167"/>
      <c r="G2221" s="167"/>
      <c r="H2221" s="167"/>
      <c r="I2221" s="164">
        <f t="shared" ca="1" si="35"/>
        <v>44939</v>
      </c>
      <c r="J2221" s="163">
        <v>0.33333333333333331</v>
      </c>
      <c r="K2221" s="162" t="s">
        <v>749</v>
      </c>
      <c r="L2221" s="166"/>
      <c r="M2221" s="166"/>
      <c r="N2221" s="164"/>
      <c r="O2221" s="166"/>
      <c r="P2221" s="165"/>
    </row>
    <row r="2222" spans="1:16" ht="15" hidden="1" customHeight="1" x14ac:dyDescent="0.25">
      <c r="A2222" s="168"/>
      <c r="B2222" s="167"/>
      <c r="C2222" s="168"/>
      <c r="D2222" s="167"/>
      <c r="E2222" s="167"/>
      <c r="F2222" s="167"/>
      <c r="G2222" s="167"/>
      <c r="H2222" s="167"/>
      <c r="I2222" s="164">
        <f t="shared" ca="1" si="35"/>
        <v>44939</v>
      </c>
      <c r="J2222" s="163">
        <v>0.33333333333333331</v>
      </c>
      <c r="K2222" s="162" t="s">
        <v>749</v>
      </c>
      <c r="L2222" s="166"/>
      <c r="M2222" s="166"/>
      <c r="N2222" s="164"/>
      <c r="O2222" s="166"/>
      <c r="P2222" s="165"/>
    </row>
    <row r="2223" spans="1:16" ht="15" hidden="1" customHeight="1" x14ac:dyDescent="0.25">
      <c r="A2223" s="168"/>
      <c r="B2223" s="167"/>
      <c r="C2223" s="168"/>
      <c r="D2223" s="167"/>
      <c r="E2223" s="167"/>
      <c r="F2223" s="167"/>
      <c r="G2223" s="167"/>
      <c r="H2223" s="167"/>
      <c r="I2223" s="164">
        <f t="shared" ca="1" si="35"/>
        <v>44939</v>
      </c>
      <c r="J2223" s="163">
        <v>0.33333333333333331</v>
      </c>
      <c r="K2223" s="162" t="s">
        <v>749</v>
      </c>
      <c r="L2223" s="166"/>
      <c r="M2223" s="166"/>
      <c r="N2223" s="164"/>
      <c r="O2223" s="166"/>
      <c r="P2223" s="165"/>
    </row>
    <row r="2224" spans="1:16" ht="15" hidden="1" customHeight="1" x14ac:dyDescent="0.25">
      <c r="A2224" s="168"/>
      <c r="B2224" s="167"/>
      <c r="C2224" s="168"/>
      <c r="D2224" s="167"/>
      <c r="E2224" s="167"/>
      <c r="F2224" s="167"/>
      <c r="G2224" s="167"/>
      <c r="H2224" s="167"/>
      <c r="I2224" s="164">
        <f t="shared" ca="1" si="35"/>
        <v>44939</v>
      </c>
      <c r="J2224" s="163">
        <v>0.33333333333333331</v>
      </c>
      <c r="K2224" s="162" t="s">
        <v>749</v>
      </c>
      <c r="L2224" s="166"/>
      <c r="M2224" s="166"/>
      <c r="N2224" s="164"/>
      <c r="O2224" s="166"/>
      <c r="P2224" s="165"/>
    </row>
    <row r="2225" spans="1:16" ht="15" hidden="1" customHeight="1" x14ac:dyDescent="0.25">
      <c r="A2225" s="168"/>
      <c r="B2225" s="167"/>
      <c r="C2225" s="168"/>
      <c r="D2225" s="167"/>
      <c r="E2225" s="167"/>
      <c r="F2225" s="167"/>
      <c r="G2225" s="167"/>
      <c r="H2225" s="167"/>
      <c r="I2225" s="164">
        <f t="shared" ca="1" si="35"/>
        <v>44939</v>
      </c>
      <c r="J2225" s="163">
        <v>0.33333333333333331</v>
      </c>
      <c r="K2225" s="162" t="s">
        <v>749</v>
      </c>
      <c r="L2225" s="166"/>
      <c r="M2225" s="166"/>
      <c r="N2225" s="164"/>
      <c r="O2225" s="166"/>
      <c r="P2225" s="165"/>
    </row>
    <row r="2226" spans="1:16" ht="15" hidden="1" customHeight="1" x14ac:dyDescent="0.25">
      <c r="A2226" s="168"/>
      <c r="B2226" s="167"/>
      <c r="C2226" s="168"/>
      <c r="D2226" s="167"/>
      <c r="E2226" s="167"/>
      <c r="F2226" s="167"/>
      <c r="G2226" s="167"/>
      <c r="H2226" s="167"/>
      <c r="I2226" s="164">
        <f t="shared" ca="1" si="35"/>
        <v>44939</v>
      </c>
      <c r="J2226" s="163">
        <v>0.33333333333333331</v>
      </c>
      <c r="K2226" s="162" t="s">
        <v>749</v>
      </c>
      <c r="L2226" s="166"/>
      <c r="M2226" s="166"/>
      <c r="N2226" s="164"/>
      <c r="O2226" s="166"/>
      <c r="P2226" s="165"/>
    </row>
    <row r="2227" spans="1:16" ht="15" hidden="1" customHeight="1" x14ac:dyDescent="0.25">
      <c r="A2227" s="168"/>
      <c r="B2227" s="167"/>
      <c r="C2227" s="168"/>
      <c r="D2227" s="167"/>
      <c r="E2227" s="167"/>
      <c r="F2227" s="167"/>
      <c r="G2227" s="167"/>
      <c r="H2227" s="167"/>
      <c r="I2227" s="164">
        <f t="shared" ca="1" si="35"/>
        <v>44939</v>
      </c>
      <c r="J2227" s="163">
        <v>0.33333333333333331</v>
      </c>
      <c r="K2227" s="162" t="s">
        <v>749</v>
      </c>
      <c r="L2227" s="166"/>
      <c r="M2227" s="166"/>
      <c r="N2227" s="164"/>
      <c r="O2227" s="166"/>
      <c r="P2227" s="165"/>
    </row>
    <row r="2228" spans="1:16" ht="15" hidden="1" customHeight="1" x14ac:dyDescent="0.25">
      <c r="A2228" s="168"/>
      <c r="B2228" s="167"/>
      <c r="C2228" s="168"/>
      <c r="D2228" s="167"/>
      <c r="E2228" s="167"/>
      <c r="F2228" s="167"/>
      <c r="G2228" s="167"/>
      <c r="H2228" s="167"/>
      <c r="I2228" s="164">
        <f t="shared" ca="1" si="35"/>
        <v>44939</v>
      </c>
      <c r="J2228" s="163">
        <v>0.33333333333333331</v>
      </c>
      <c r="K2228" s="162" t="s">
        <v>749</v>
      </c>
      <c r="L2228" s="166"/>
      <c r="M2228" s="166"/>
      <c r="N2228" s="164"/>
      <c r="O2228" s="166"/>
      <c r="P2228" s="165"/>
    </row>
    <row r="2229" spans="1:16" ht="15" hidden="1" customHeight="1" x14ac:dyDescent="0.25">
      <c r="A2229" s="168"/>
      <c r="B2229" s="167"/>
      <c r="C2229" s="168"/>
      <c r="D2229" s="167"/>
      <c r="E2229" s="167"/>
      <c r="F2229" s="167"/>
      <c r="G2229" s="167"/>
      <c r="H2229" s="167"/>
      <c r="I2229" s="164">
        <f t="shared" ca="1" si="35"/>
        <v>44939</v>
      </c>
      <c r="J2229" s="163">
        <v>0.33333333333333331</v>
      </c>
      <c r="K2229" s="162" t="s">
        <v>749</v>
      </c>
      <c r="L2229" s="166"/>
      <c r="M2229" s="166"/>
      <c r="N2229" s="164"/>
      <c r="O2229" s="166"/>
      <c r="P2229" s="165"/>
    </row>
    <row r="2230" spans="1:16" ht="15" hidden="1" customHeight="1" x14ac:dyDescent="0.25">
      <c r="A2230" s="168"/>
      <c r="B2230" s="167"/>
      <c r="C2230" s="168"/>
      <c r="D2230" s="167"/>
      <c r="E2230" s="167"/>
      <c r="F2230" s="167"/>
      <c r="G2230" s="167"/>
      <c r="H2230" s="167"/>
      <c r="I2230" s="164">
        <f t="shared" ca="1" si="35"/>
        <v>44939</v>
      </c>
      <c r="J2230" s="163">
        <v>0.33333333333333331</v>
      </c>
      <c r="K2230" s="162" t="s">
        <v>749</v>
      </c>
      <c r="L2230" s="166"/>
      <c r="M2230" s="166"/>
      <c r="N2230" s="164"/>
      <c r="O2230" s="166"/>
      <c r="P2230" s="165"/>
    </row>
    <row r="2231" spans="1:16" ht="15" hidden="1" customHeight="1" x14ac:dyDescent="0.25">
      <c r="A2231" s="168"/>
      <c r="B2231" s="167"/>
      <c r="C2231" s="168"/>
      <c r="D2231" s="167"/>
      <c r="E2231" s="167"/>
      <c r="F2231" s="167"/>
      <c r="G2231" s="167"/>
      <c r="H2231" s="167"/>
      <c r="I2231" s="164">
        <f t="shared" ca="1" si="35"/>
        <v>44939</v>
      </c>
      <c r="J2231" s="163">
        <v>0.33333333333333331</v>
      </c>
      <c r="K2231" s="162" t="s">
        <v>749</v>
      </c>
      <c r="L2231" s="166"/>
      <c r="M2231" s="166"/>
      <c r="N2231" s="164"/>
      <c r="O2231" s="166"/>
      <c r="P2231" s="165"/>
    </row>
    <row r="2232" spans="1:16" ht="15" hidden="1" customHeight="1" x14ac:dyDescent="0.25">
      <c r="A2232" s="168"/>
      <c r="B2232" s="167"/>
      <c r="C2232" s="168"/>
      <c r="D2232" s="167"/>
      <c r="E2232" s="167"/>
      <c r="F2232" s="167"/>
      <c r="G2232" s="167"/>
      <c r="H2232" s="167"/>
      <c r="I2232" s="164">
        <f t="shared" ca="1" si="35"/>
        <v>44939</v>
      </c>
      <c r="J2232" s="163">
        <v>0.33333333333333331</v>
      </c>
      <c r="K2232" s="162" t="s">
        <v>749</v>
      </c>
      <c r="L2232" s="166"/>
      <c r="M2232" s="166"/>
      <c r="N2232" s="164"/>
      <c r="O2232" s="166"/>
      <c r="P2232" s="165"/>
    </row>
    <row r="2233" spans="1:16" ht="15" hidden="1" customHeight="1" x14ac:dyDescent="0.25">
      <c r="A2233" s="168"/>
      <c r="B2233" s="167"/>
      <c r="C2233" s="168"/>
      <c r="D2233" s="167"/>
      <c r="E2233" s="167"/>
      <c r="F2233" s="167"/>
      <c r="G2233" s="167"/>
      <c r="H2233" s="167"/>
      <c r="I2233" s="164">
        <f t="shared" ca="1" si="35"/>
        <v>44939</v>
      </c>
      <c r="J2233" s="163">
        <v>0.33333333333333331</v>
      </c>
      <c r="K2233" s="162" t="s">
        <v>749</v>
      </c>
      <c r="L2233" s="166"/>
      <c r="M2233" s="166"/>
      <c r="N2233" s="164"/>
      <c r="O2233" s="166"/>
      <c r="P2233" s="165"/>
    </row>
    <row r="2234" spans="1:16" ht="15" hidden="1" customHeight="1" x14ac:dyDescent="0.25">
      <c r="A2234" s="168"/>
      <c r="B2234" s="167"/>
      <c r="C2234" s="168"/>
      <c r="D2234" s="167"/>
      <c r="E2234" s="167"/>
      <c r="F2234" s="167"/>
      <c r="G2234" s="167"/>
      <c r="H2234" s="167"/>
      <c r="I2234" s="164">
        <f t="shared" ca="1" si="35"/>
        <v>44939</v>
      </c>
      <c r="J2234" s="163">
        <v>0.33333333333333331</v>
      </c>
      <c r="K2234" s="162" t="s">
        <v>749</v>
      </c>
      <c r="L2234" s="166"/>
      <c r="M2234" s="166"/>
      <c r="N2234" s="164"/>
      <c r="O2234" s="166"/>
      <c r="P2234" s="165"/>
    </row>
    <row r="2235" spans="1:16" ht="15" hidden="1" customHeight="1" x14ac:dyDescent="0.25">
      <c r="A2235" s="168"/>
      <c r="B2235" s="167"/>
      <c r="C2235" s="168"/>
      <c r="D2235" s="167"/>
      <c r="E2235" s="167"/>
      <c r="F2235" s="167"/>
      <c r="G2235" s="167"/>
      <c r="H2235" s="167"/>
      <c r="I2235" s="164">
        <f t="shared" ca="1" si="35"/>
        <v>44939</v>
      </c>
      <c r="J2235" s="163">
        <v>0.33333333333333331</v>
      </c>
      <c r="K2235" s="162" t="s">
        <v>749</v>
      </c>
      <c r="L2235" s="166"/>
      <c r="M2235" s="166"/>
      <c r="N2235" s="164"/>
      <c r="O2235" s="166"/>
      <c r="P2235" s="165"/>
    </row>
    <row r="2236" spans="1:16" ht="15" hidden="1" customHeight="1" x14ac:dyDescent="0.25">
      <c r="A2236" s="168"/>
      <c r="B2236" s="167"/>
      <c r="C2236" s="168"/>
      <c r="D2236" s="167"/>
      <c r="E2236" s="167"/>
      <c r="F2236" s="167"/>
      <c r="G2236" s="167"/>
      <c r="H2236" s="167"/>
      <c r="I2236" s="164">
        <f t="shared" ca="1" si="35"/>
        <v>44939</v>
      </c>
      <c r="J2236" s="163">
        <v>0.33333333333333331</v>
      </c>
      <c r="K2236" s="162" t="s">
        <v>749</v>
      </c>
      <c r="L2236" s="166"/>
      <c r="M2236" s="166"/>
      <c r="N2236" s="164"/>
      <c r="O2236" s="166"/>
      <c r="P2236" s="165"/>
    </row>
    <row r="2237" spans="1:16" ht="15" hidden="1" customHeight="1" x14ac:dyDescent="0.25">
      <c r="A2237" s="168"/>
      <c r="B2237" s="167"/>
      <c r="C2237" s="168"/>
      <c r="D2237" s="167"/>
      <c r="E2237" s="167"/>
      <c r="F2237" s="167"/>
      <c r="G2237" s="167"/>
      <c r="H2237" s="167"/>
      <c r="I2237" s="164">
        <f t="shared" ca="1" si="35"/>
        <v>44939</v>
      </c>
      <c r="J2237" s="163">
        <v>0.33333333333333331</v>
      </c>
      <c r="K2237" s="162" t="s">
        <v>749</v>
      </c>
      <c r="L2237" s="166"/>
      <c r="M2237" s="166"/>
      <c r="N2237" s="164"/>
      <c r="O2237" s="166"/>
      <c r="P2237" s="165"/>
    </row>
    <row r="2238" spans="1:16" ht="15" hidden="1" customHeight="1" x14ac:dyDescent="0.25">
      <c r="A2238" s="168"/>
      <c r="B2238" s="167"/>
      <c r="C2238" s="168"/>
      <c r="D2238" s="167"/>
      <c r="E2238" s="167"/>
      <c r="F2238" s="167"/>
      <c r="G2238" s="167"/>
      <c r="H2238" s="167"/>
      <c r="I2238" s="164">
        <f t="shared" ca="1" si="35"/>
        <v>44939</v>
      </c>
      <c r="J2238" s="163">
        <v>0.33333333333333331</v>
      </c>
      <c r="K2238" s="162" t="s">
        <v>749</v>
      </c>
      <c r="L2238" s="166"/>
      <c r="M2238" s="166"/>
      <c r="N2238" s="164"/>
      <c r="O2238" s="166"/>
      <c r="P2238" s="165"/>
    </row>
    <row r="2239" spans="1:16" ht="15" hidden="1" customHeight="1" x14ac:dyDescent="0.25">
      <c r="A2239" s="168"/>
      <c r="B2239" s="167"/>
      <c r="C2239" s="168"/>
      <c r="D2239" s="167"/>
      <c r="E2239" s="167"/>
      <c r="F2239" s="167"/>
      <c r="G2239" s="167"/>
      <c r="H2239" s="167"/>
      <c r="I2239" s="164">
        <f t="shared" ca="1" si="35"/>
        <v>44939</v>
      </c>
      <c r="J2239" s="163">
        <v>0.33333333333333331</v>
      </c>
      <c r="K2239" s="162" t="s">
        <v>749</v>
      </c>
      <c r="L2239" s="166"/>
      <c r="M2239" s="166"/>
      <c r="N2239" s="164"/>
      <c r="O2239" s="166"/>
      <c r="P2239" s="165"/>
    </row>
    <row r="2240" spans="1:16" ht="15" hidden="1" customHeight="1" x14ac:dyDescent="0.25">
      <c r="A2240" s="168"/>
      <c r="B2240" s="167"/>
      <c r="C2240" s="168"/>
      <c r="D2240" s="167"/>
      <c r="E2240" s="167"/>
      <c r="F2240" s="167"/>
      <c r="G2240" s="167"/>
      <c r="H2240" s="167"/>
      <c r="I2240" s="164">
        <f t="shared" ca="1" si="35"/>
        <v>44939</v>
      </c>
      <c r="J2240" s="163">
        <v>0.33333333333333331</v>
      </c>
      <c r="K2240" s="162" t="s">
        <v>749</v>
      </c>
      <c r="L2240" s="166"/>
      <c r="M2240" s="166"/>
      <c r="N2240" s="164"/>
      <c r="O2240" s="166"/>
      <c r="P2240" s="165"/>
    </row>
    <row r="2241" spans="1:16" ht="15" hidden="1" customHeight="1" x14ac:dyDescent="0.25">
      <c r="A2241" s="168"/>
      <c r="B2241" s="167"/>
      <c r="C2241" s="168"/>
      <c r="D2241" s="167"/>
      <c r="E2241" s="167"/>
      <c r="F2241" s="167"/>
      <c r="G2241" s="167"/>
      <c r="H2241" s="167"/>
      <c r="I2241" s="164">
        <f t="shared" ca="1" si="35"/>
        <v>44939</v>
      </c>
      <c r="J2241" s="163">
        <v>0.33333333333333331</v>
      </c>
      <c r="K2241" s="162" t="s">
        <v>749</v>
      </c>
      <c r="L2241" s="166"/>
      <c r="M2241" s="166"/>
      <c r="N2241" s="164"/>
      <c r="O2241" s="166"/>
      <c r="P2241" s="165"/>
    </row>
    <row r="2242" spans="1:16" ht="15" hidden="1" customHeight="1" x14ac:dyDescent="0.25">
      <c r="A2242" s="168"/>
      <c r="B2242" s="167"/>
      <c r="C2242" s="168"/>
      <c r="D2242" s="167"/>
      <c r="E2242" s="167"/>
      <c r="F2242" s="167"/>
      <c r="G2242" s="167"/>
      <c r="H2242" s="167"/>
      <c r="I2242" s="164">
        <f t="shared" ca="1" si="35"/>
        <v>44939</v>
      </c>
      <c r="J2242" s="163">
        <v>0.33333333333333331</v>
      </c>
      <c r="K2242" s="162" t="s">
        <v>749</v>
      </c>
      <c r="L2242" s="166"/>
      <c r="M2242" s="166"/>
      <c r="N2242" s="164"/>
      <c r="O2242" s="166"/>
      <c r="P2242" s="165"/>
    </row>
    <row r="2243" spans="1:16" ht="15" hidden="1" customHeight="1" x14ac:dyDescent="0.25">
      <c r="A2243" s="168"/>
      <c r="B2243" s="167"/>
      <c r="C2243" s="168"/>
      <c r="D2243" s="167"/>
      <c r="E2243" s="167"/>
      <c r="F2243" s="167"/>
      <c r="G2243" s="167"/>
      <c r="H2243" s="167"/>
      <c r="I2243" s="164">
        <f t="shared" ca="1" si="35"/>
        <v>44939</v>
      </c>
      <c r="J2243" s="163">
        <v>0.33333333333333331</v>
      </c>
      <c r="K2243" s="162" t="s">
        <v>749</v>
      </c>
      <c r="L2243" s="166"/>
      <c r="M2243" s="166"/>
      <c r="N2243" s="164"/>
      <c r="O2243" s="166"/>
      <c r="P2243" s="165"/>
    </row>
    <row r="2244" spans="1:16" ht="15" hidden="1" customHeight="1" x14ac:dyDescent="0.25">
      <c r="A2244" s="168"/>
      <c r="B2244" s="167"/>
      <c r="C2244" s="168"/>
      <c r="D2244" s="167"/>
      <c r="E2244" s="167"/>
      <c r="F2244" s="167"/>
      <c r="G2244" s="167"/>
      <c r="H2244" s="167"/>
      <c r="I2244" s="164">
        <f t="shared" ca="1" si="35"/>
        <v>44939</v>
      </c>
      <c r="J2244" s="163">
        <v>0.33333333333333331</v>
      </c>
      <c r="K2244" s="162" t="s">
        <v>749</v>
      </c>
      <c r="L2244" s="166"/>
      <c r="M2244" s="166"/>
      <c r="N2244" s="164"/>
      <c r="O2244" s="166"/>
      <c r="P2244" s="165"/>
    </row>
    <row r="2245" spans="1:16" ht="15" hidden="1" customHeight="1" x14ac:dyDescent="0.25">
      <c r="A2245" s="168"/>
      <c r="B2245" s="167"/>
      <c r="C2245" s="168"/>
      <c r="D2245" s="167"/>
      <c r="E2245" s="167"/>
      <c r="F2245" s="167"/>
      <c r="G2245" s="167"/>
      <c r="H2245" s="167"/>
      <c r="I2245" s="164">
        <f t="shared" ca="1" si="35"/>
        <v>44939</v>
      </c>
      <c r="J2245" s="163">
        <v>0.33333333333333331</v>
      </c>
      <c r="K2245" s="162" t="s">
        <v>749</v>
      </c>
      <c r="L2245" s="166"/>
      <c r="M2245" s="166"/>
      <c r="N2245" s="164"/>
      <c r="O2245" s="166"/>
      <c r="P2245" s="165"/>
    </row>
    <row r="2246" spans="1:16" ht="15" hidden="1" customHeight="1" x14ac:dyDescent="0.25">
      <c r="A2246" s="168"/>
      <c r="B2246" s="167"/>
      <c r="C2246" s="168"/>
      <c r="D2246" s="167"/>
      <c r="E2246" s="167"/>
      <c r="F2246" s="167"/>
      <c r="G2246" s="167"/>
      <c r="H2246" s="167"/>
      <c r="I2246" s="164">
        <f t="shared" ca="1" si="35"/>
        <v>44939</v>
      </c>
      <c r="J2246" s="163">
        <v>0.33333333333333331</v>
      </c>
      <c r="K2246" s="162" t="s">
        <v>749</v>
      </c>
      <c r="L2246" s="166"/>
      <c r="M2246" s="166"/>
      <c r="N2246" s="164"/>
      <c r="O2246" s="166"/>
      <c r="P2246" s="165"/>
    </row>
    <row r="2247" spans="1:16" ht="15" hidden="1" customHeight="1" x14ac:dyDescent="0.25">
      <c r="A2247" s="168"/>
      <c r="B2247" s="167"/>
      <c r="C2247" s="168"/>
      <c r="D2247" s="167"/>
      <c r="E2247" s="167"/>
      <c r="F2247" s="167"/>
      <c r="G2247" s="167"/>
      <c r="H2247" s="167"/>
      <c r="I2247" s="164">
        <f t="shared" ca="1" si="35"/>
        <v>44939</v>
      </c>
      <c r="J2247" s="163">
        <v>0.33333333333333331</v>
      </c>
      <c r="K2247" s="162" t="s">
        <v>749</v>
      </c>
      <c r="L2247" s="166"/>
      <c r="M2247" s="166"/>
      <c r="N2247" s="164"/>
      <c r="O2247" s="166"/>
      <c r="P2247" s="165"/>
    </row>
    <row r="2248" spans="1:16" ht="15" hidden="1" customHeight="1" x14ac:dyDescent="0.25">
      <c r="A2248" s="168"/>
      <c r="B2248" s="167"/>
      <c r="C2248" s="168"/>
      <c r="D2248" s="167"/>
      <c r="E2248" s="167"/>
      <c r="F2248" s="167"/>
      <c r="G2248" s="167"/>
      <c r="H2248" s="167"/>
      <c r="I2248" s="164">
        <f t="shared" ca="1" si="35"/>
        <v>44939</v>
      </c>
      <c r="J2248" s="163">
        <v>0.33333333333333331</v>
      </c>
      <c r="K2248" s="162" t="s">
        <v>749</v>
      </c>
      <c r="L2248" s="166"/>
      <c r="M2248" s="166"/>
      <c r="N2248" s="164"/>
      <c r="O2248" s="166"/>
      <c r="P2248" s="165"/>
    </row>
    <row r="2249" spans="1:16" ht="15" hidden="1" customHeight="1" x14ac:dyDescent="0.25">
      <c r="A2249" s="168"/>
      <c r="B2249" s="167"/>
      <c r="C2249" s="168"/>
      <c r="D2249" s="167"/>
      <c r="E2249" s="167"/>
      <c r="F2249" s="167"/>
      <c r="G2249" s="167"/>
      <c r="H2249" s="167"/>
      <c r="I2249" s="164">
        <f t="shared" ca="1" si="35"/>
        <v>44939</v>
      </c>
      <c r="J2249" s="163">
        <v>0.33333333333333331</v>
      </c>
      <c r="K2249" s="162" t="s">
        <v>749</v>
      </c>
      <c r="L2249" s="166"/>
      <c r="M2249" s="166"/>
      <c r="N2249" s="164"/>
      <c r="O2249" s="166"/>
      <c r="P2249" s="165"/>
    </row>
    <row r="2250" spans="1:16" ht="15" hidden="1" customHeight="1" x14ac:dyDescent="0.25">
      <c r="A2250" s="168"/>
      <c r="B2250" s="167"/>
      <c r="C2250" s="168"/>
      <c r="D2250" s="167"/>
      <c r="E2250" s="167"/>
      <c r="F2250" s="167"/>
      <c r="G2250" s="167"/>
      <c r="H2250" s="167"/>
      <c r="I2250" s="164">
        <f t="shared" ca="1" si="35"/>
        <v>44939</v>
      </c>
      <c r="J2250" s="163">
        <v>0.33333333333333331</v>
      </c>
      <c r="K2250" s="162" t="s">
        <v>749</v>
      </c>
      <c r="L2250" s="166"/>
      <c r="M2250" s="166"/>
      <c r="N2250" s="164"/>
      <c r="O2250" s="166"/>
      <c r="P2250" s="165"/>
    </row>
    <row r="2251" spans="1:16" ht="15" hidden="1" customHeight="1" x14ac:dyDescent="0.25">
      <c r="A2251" s="168"/>
      <c r="B2251" s="167"/>
      <c r="C2251" s="168"/>
      <c r="D2251" s="167"/>
      <c r="E2251" s="167"/>
      <c r="F2251" s="167"/>
      <c r="G2251" s="167"/>
      <c r="H2251" s="167"/>
      <c r="I2251" s="164">
        <f t="shared" ca="1" si="35"/>
        <v>44939</v>
      </c>
      <c r="J2251" s="163">
        <v>0.33333333333333331</v>
      </c>
      <c r="K2251" s="162" t="s">
        <v>749</v>
      </c>
      <c r="L2251" s="166"/>
      <c r="M2251" s="166"/>
      <c r="N2251" s="164"/>
      <c r="O2251" s="166"/>
      <c r="P2251" s="165"/>
    </row>
    <row r="2252" spans="1:16" ht="15" hidden="1" customHeight="1" x14ac:dyDescent="0.25">
      <c r="A2252" s="168"/>
      <c r="B2252" s="167"/>
      <c r="C2252" s="168"/>
      <c r="D2252" s="167"/>
      <c r="E2252" s="167"/>
      <c r="F2252" s="167"/>
      <c r="G2252" s="167"/>
      <c r="H2252" s="167"/>
      <c r="I2252" s="164">
        <f t="shared" ca="1" si="35"/>
        <v>44939</v>
      </c>
      <c r="J2252" s="163">
        <v>0.33333333333333331</v>
      </c>
      <c r="K2252" s="162" t="s">
        <v>749</v>
      </c>
      <c r="L2252" s="166"/>
      <c r="M2252" s="166"/>
      <c r="N2252" s="164"/>
      <c r="O2252" s="166"/>
      <c r="P2252" s="165"/>
    </row>
    <row r="2253" spans="1:16" ht="15" hidden="1" customHeight="1" x14ac:dyDescent="0.25">
      <c r="A2253" s="168"/>
      <c r="B2253" s="167"/>
      <c r="C2253" s="168"/>
      <c r="D2253" s="167"/>
      <c r="E2253" s="167"/>
      <c r="F2253" s="167"/>
      <c r="G2253" s="167"/>
      <c r="H2253" s="167"/>
      <c r="I2253" s="164">
        <f t="shared" ca="1" si="35"/>
        <v>44939</v>
      </c>
      <c r="J2253" s="163">
        <v>0.33333333333333331</v>
      </c>
      <c r="K2253" s="162" t="s">
        <v>749</v>
      </c>
      <c r="L2253" s="166"/>
      <c r="M2253" s="166"/>
      <c r="N2253" s="164"/>
      <c r="O2253" s="166"/>
      <c r="P2253" s="165"/>
    </row>
    <row r="2254" spans="1:16" ht="15" hidden="1" customHeight="1" x14ac:dyDescent="0.25">
      <c r="A2254" s="168"/>
      <c r="B2254" s="167"/>
      <c r="C2254" s="168"/>
      <c r="D2254" s="167"/>
      <c r="E2254" s="167"/>
      <c r="F2254" s="167"/>
      <c r="G2254" s="167"/>
      <c r="H2254" s="167"/>
      <c r="I2254" s="164">
        <f t="shared" ca="1" si="35"/>
        <v>44939</v>
      </c>
      <c r="J2254" s="163">
        <v>0.33333333333333331</v>
      </c>
      <c r="K2254" s="162" t="s">
        <v>749</v>
      </c>
      <c r="L2254" s="166"/>
      <c r="M2254" s="166"/>
      <c r="N2254" s="164"/>
      <c r="O2254" s="166"/>
      <c r="P2254" s="165"/>
    </row>
    <row r="2255" spans="1:16" ht="15" hidden="1" customHeight="1" x14ac:dyDescent="0.25">
      <c r="A2255" s="168"/>
      <c r="B2255" s="167"/>
      <c r="C2255" s="168"/>
      <c r="D2255" s="167"/>
      <c r="E2255" s="167"/>
      <c r="F2255" s="167"/>
      <c r="G2255" s="167"/>
      <c r="H2255" s="167"/>
      <c r="I2255" s="164">
        <f t="shared" ca="1" si="35"/>
        <v>44939</v>
      </c>
      <c r="J2255" s="163">
        <v>0.33333333333333331</v>
      </c>
      <c r="K2255" s="162" t="s">
        <v>749</v>
      </c>
      <c r="L2255" s="166"/>
      <c r="M2255" s="166"/>
      <c r="N2255" s="164"/>
      <c r="O2255" s="166"/>
      <c r="P2255" s="165"/>
    </row>
    <row r="2256" spans="1:16" ht="15" hidden="1" customHeight="1" x14ac:dyDescent="0.25">
      <c r="A2256" s="168"/>
      <c r="B2256" s="167"/>
      <c r="C2256" s="168"/>
      <c r="D2256" s="167"/>
      <c r="E2256" s="167"/>
      <c r="F2256" s="167"/>
      <c r="G2256" s="167"/>
      <c r="H2256" s="167"/>
      <c r="I2256" s="164">
        <f t="shared" ca="1" si="35"/>
        <v>44939</v>
      </c>
      <c r="J2256" s="163">
        <v>0.33333333333333331</v>
      </c>
      <c r="K2256" s="162" t="s">
        <v>749</v>
      </c>
      <c r="L2256" s="166"/>
      <c r="M2256" s="166"/>
      <c r="N2256" s="164"/>
      <c r="O2256" s="166"/>
      <c r="P2256" s="165"/>
    </row>
    <row r="2257" spans="1:16" ht="15" hidden="1" customHeight="1" x14ac:dyDescent="0.25">
      <c r="A2257" s="168"/>
      <c r="B2257" s="167"/>
      <c r="C2257" s="168"/>
      <c r="D2257" s="167"/>
      <c r="E2257" s="167"/>
      <c r="F2257" s="167"/>
      <c r="G2257" s="167"/>
      <c r="H2257" s="167"/>
      <c r="I2257" s="164">
        <f t="shared" ca="1" si="35"/>
        <v>44939</v>
      </c>
      <c r="J2257" s="163">
        <v>0.33333333333333331</v>
      </c>
      <c r="K2257" s="162" t="s">
        <v>749</v>
      </c>
      <c r="L2257" s="166"/>
      <c r="M2257" s="166"/>
      <c r="N2257" s="164"/>
      <c r="O2257" s="166"/>
      <c r="P2257" s="165"/>
    </row>
    <row r="2258" spans="1:16" ht="15" hidden="1" customHeight="1" x14ac:dyDescent="0.25">
      <c r="A2258" s="168"/>
      <c r="B2258" s="167"/>
      <c r="C2258" s="168"/>
      <c r="D2258" s="167"/>
      <c r="E2258" s="167"/>
      <c r="F2258" s="167"/>
      <c r="G2258" s="167"/>
      <c r="H2258" s="167"/>
      <c r="I2258" s="164">
        <f t="shared" ca="1" si="35"/>
        <v>44939</v>
      </c>
      <c r="J2258" s="163">
        <v>0.33333333333333331</v>
      </c>
      <c r="K2258" s="162" t="s">
        <v>749</v>
      </c>
      <c r="L2258" s="166"/>
      <c r="M2258" s="166"/>
      <c r="N2258" s="164"/>
      <c r="O2258" s="166"/>
      <c r="P2258" s="165"/>
    </row>
    <row r="2259" spans="1:16" ht="15" hidden="1" customHeight="1" x14ac:dyDescent="0.25">
      <c r="A2259" s="168"/>
      <c r="B2259" s="167"/>
      <c r="C2259" s="168"/>
      <c r="D2259" s="167"/>
      <c r="E2259" s="167"/>
      <c r="F2259" s="167"/>
      <c r="G2259" s="167"/>
      <c r="H2259" s="167"/>
      <c r="I2259" s="164">
        <f t="shared" ca="1" si="35"/>
        <v>44939</v>
      </c>
      <c r="J2259" s="163">
        <v>0.33333333333333331</v>
      </c>
      <c r="K2259" s="162" t="s">
        <v>749</v>
      </c>
      <c r="L2259" s="166"/>
      <c r="M2259" s="166"/>
      <c r="N2259" s="164"/>
      <c r="O2259" s="166"/>
      <c r="P2259" s="165"/>
    </row>
    <row r="2260" spans="1:16" ht="15" hidden="1" customHeight="1" x14ac:dyDescent="0.25">
      <c r="A2260" s="168"/>
      <c r="B2260" s="167"/>
      <c r="C2260" s="168"/>
      <c r="D2260" s="167"/>
      <c r="E2260" s="167"/>
      <c r="F2260" s="167"/>
      <c r="G2260" s="167"/>
      <c r="H2260" s="167"/>
      <c r="I2260" s="164">
        <f t="shared" ca="1" si="35"/>
        <v>44939</v>
      </c>
      <c r="J2260" s="163">
        <v>0.33333333333333331</v>
      </c>
      <c r="K2260" s="162" t="s">
        <v>749</v>
      </c>
      <c r="L2260" s="166"/>
      <c r="M2260" s="166"/>
      <c r="N2260" s="164"/>
      <c r="O2260" s="166"/>
      <c r="P2260" s="165"/>
    </row>
    <row r="2261" spans="1:16" ht="15" hidden="1" customHeight="1" x14ac:dyDescent="0.25">
      <c r="A2261" s="168"/>
      <c r="B2261" s="167"/>
      <c r="C2261" s="168"/>
      <c r="D2261" s="167"/>
      <c r="E2261" s="167"/>
      <c r="F2261" s="167"/>
      <c r="G2261" s="167"/>
      <c r="H2261" s="167"/>
      <c r="I2261" s="164">
        <f t="shared" ca="1" si="35"/>
        <v>44939</v>
      </c>
      <c r="J2261" s="163">
        <v>0.33333333333333331</v>
      </c>
      <c r="K2261" s="162" t="s">
        <v>749</v>
      </c>
      <c r="L2261" s="166"/>
      <c r="M2261" s="166"/>
      <c r="N2261" s="164"/>
      <c r="O2261" s="166"/>
      <c r="P2261" s="165"/>
    </row>
    <row r="2262" spans="1:16" ht="15" hidden="1" customHeight="1" x14ac:dyDescent="0.25">
      <c r="A2262" s="168"/>
      <c r="B2262" s="167"/>
      <c r="C2262" s="168"/>
      <c r="D2262" s="167"/>
      <c r="E2262" s="167"/>
      <c r="F2262" s="167"/>
      <c r="G2262" s="167"/>
      <c r="H2262" s="167"/>
      <c r="I2262" s="164">
        <f t="shared" ca="1" si="35"/>
        <v>44939</v>
      </c>
      <c r="J2262" s="163">
        <v>0.33333333333333331</v>
      </c>
      <c r="K2262" s="162" t="s">
        <v>749</v>
      </c>
      <c r="L2262" s="166"/>
      <c r="M2262" s="166"/>
      <c r="N2262" s="164"/>
      <c r="O2262" s="166"/>
      <c r="P2262" s="165"/>
    </row>
    <row r="2263" spans="1:16" ht="15" hidden="1" customHeight="1" x14ac:dyDescent="0.25">
      <c r="A2263" s="168"/>
      <c r="B2263" s="167"/>
      <c r="C2263" s="168"/>
      <c r="D2263" s="167"/>
      <c r="E2263" s="167"/>
      <c r="F2263" s="167"/>
      <c r="G2263" s="167"/>
      <c r="H2263" s="167"/>
      <c r="I2263" s="164">
        <f t="shared" ca="1" si="35"/>
        <v>44939</v>
      </c>
      <c r="J2263" s="163">
        <v>0.33333333333333331</v>
      </c>
      <c r="K2263" s="162" t="s">
        <v>749</v>
      </c>
      <c r="L2263" s="166"/>
      <c r="M2263" s="166"/>
      <c r="N2263" s="164"/>
      <c r="O2263" s="166"/>
      <c r="P2263" s="165"/>
    </row>
    <row r="2264" spans="1:16" ht="15" hidden="1" customHeight="1" x14ac:dyDescent="0.25">
      <c r="A2264" s="168"/>
      <c r="B2264" s="167"/>
      <c r="C2264" s="168"/>
      <c r="D2264" s="167"/>
      <c r="E2264" s="167"/>
      <c r="F2264" s="167"/>
      <c r="G2264" s="167"/>
      <c r="H2264" s="167"/>
      <c r="I2264" s="164">
        <f t="shared" ref="I2264:I2327" ca="1" si="36">TODAY()</f>
        <v>44939</v>
      </c>
      <c r="J2264" s="163">
        <v>0.33333333333333331</v>
      </c>
      <c r="K2264" s="162" t="s">
        <v>749</v>
      </c>
      <c r="L2264" s="166"/>
      <c r="M2264" s="166"/>
      <c r="N2264" s="164"/>
      <c r="O2264" s="166"/>
      <c r="P2264" s="165"/>
    </row>
    <row r="2265" spans="1:16" ht="15" hidden="1" customHeight="1" x14ac:dyDescent="0.25">
      <c r="A2265" s="168"/>
      <c r="B2265" s="167"/>
      <c r="C2265" s="168"/>
      <c r="D2265" s="167"/>
      <c r="E2265" s="167"/>
      <c r="F2265" s="167"/>
      <c r="G2265" s="167"/>
      <c r="H2265" s="167"/>
      <c r="I2265" s="164">
        <f t="shared" ca="1" si="36"/>
        <v>44939</v>
      </c>
      <c r="J2265" s="163">
        <v>0.33333333333333331</v>
      </c>
      <c r="K2265" s="162" t="s">
        <v>749</v>
      </c>
      <c r="L2265" s="166"/>
      <c r="M2265" s="166"/>
      <c r="N2265" s="164"/>
      <c r="O2265" s="166"/>
      <c r="P2265" s="165"/>
    </row>
    <row r="2266" spans="1:16" ht="15" hidden="1" customHeight="1" x14ac:dyDescent="0.25">
      <c r="A2266" s="168"/>
      <c r="B2266" s="167"/>
      <c r="C2266" s="168"/>
      <c r="D2266" s="167"/>
      <c r="E2266" s="167"/>
      <c r="F2266" s="167"/>
      <c r="G2266" s="167"/>
      <c r="H2266" s="167"/>
      <c r="I2266" s="164">
        <f t="shared" ca="1" si="36"/>
        <v>44939</v>
      </c>
      <c r="J2266" s="163">
        <v>0.33333333333333331</v>
      </c>
      <c r="K2266" s="162" t="s">
        <v>749</v>
      </c>
      <c r="L2266" s="166"/>
      <c r="M2266" s="166"/>
      <c r="N2266" s="164"/>
      <c r="O2266" s="166"/>
      <c r="P2266" s="165"/>
    </row>
    <row r="2267" spans="1:16" ht="15" hidden="1" customHeight="1" x14ac:dyDescent="0.25">
      <c r="A2267" s="168"/>
      <c r="B2267" s="167"/>
      <c r="C2267" s="168"/>
      <c r="D2267" s="167"/>
      <c r="E2267" s="167"/>
      <c r="F2267" s="167"/>
      <c r="G2267" s="167"/>
      <c r="H2267" s="167"/>
      <c r="I2267" s="164">
        <f t="shared" ca="1" si="36"/>
        <v>44939</v>
      </c>
      <c r="J2267" s="163">
        <v>0.33333333333333331</v>
      </c>
      <c r="K2267" s="162" t="s">
        <v>749</v>
      </c>
      <c r="L2267" s="166"/>
      <c r="M2267" s="166"/>
      <c r="N2267" s="164"/>
      <c r="O2267" s="166"/>
      <c r="P2267" s="165"/>
    </row>
    <row r="2268" spans="1:16" ht="15" hidden="1" customHeight="1" x14ac:dyDescent="0.25">
      <c r="A2268" s="168"/>
      <c r="B2268" s="167"/>
      <c r="C2268" s="168"/>
      <c r="D2268" s="167"/>
      <c r="E2268" s="167"/>
      <c r="F2268" s="167"/>
      <c r="G2268" s="167"/>
      <c r="H2268" s="167"/>
      <c r="I2268" s="164">
        <f t="shared" ca="1" si="36"/>
        <v>44939</v>
      </c>
      <c r="J2268" s="163">
        <v>0.33333333333333331</v>
      </c>
      <c r="K2268" s="162" t="s">
        <v>749</v>
      </c>
      <c r="L2268" s="166"/>
      <c r="M2268" s="166"/>
      <c r="N2268" s="164"/>
      <c r="O2268" s="166"/>
      <c r="P2268" s="165"/>
    </row>
    <row r="2269" spans="1:16" ht="15" hidden="1" customHeight="1" x14ac:dyDescent="0.25">
      <c r="A2269" s="168"/>
      <c r="B2269" s="167"/>
      <c r="C2269" s="168"/>
      <c r="D2269" s="167"/>
      <c r="E2269" s="167"/>
      <c r="F2269" s="167"/>
      <c r="G2269" s="167"/>
      <c r="H2269" s="167"/>
      <c r="I2269" s="164">
        <f t="shared" ca="1" si="36"/>
        <v>44939</v>
      </c>
      <c r="J2269" s="163">
        <v>0.33333333333333331</v>
      </c>
      <c r="K2269" s="162" t="s">
        <v>749</v>
      </c>
      <c r="L2269" s="166"/>
      <c r="M2269" s="166"/>
      <c r="N2269" s="164"/>
      <c r="O2269" s="166"/>
      <c r="P2269" s="165"/>
    </row>
    <row r="2270" spans="1:16" ht="15" hidden="1" customHeight="1" x14ac:dyDescent="0.25">
      <c r="A2270" s="168"/>
      <c r="B2270" s="167"/>
      <c r="C2270" s="168"/>
      <c r="D2270" s="167"/>
      <c r="E2270" s="167"/>
      <c r="F2270" s="167"/>
      <c r="G2270" s="167"/>
      <c r="H2270" s="167"/>
      <c r="I2270" s="164">
        <f t="shared" ca="1" si="36"/>
        <v>44939</v>
      </c>
      <c r="J2270" s="163">
        <v>0.33333333333333331</v>
      </c>
      <c r="K2270" s="162" t="s">
        <v>749</v>
      </c>
      <c r="L2270" s="166"/>
      <c r="M2270" s="166"/>
      <c r="N2270" s="164"/>
      <c r="O2270" s="166"/>
      <c r="P2270" s="165"/>
    </row>
    <row r="2271" spans="1:16" ht="15" hidden="1" customHeight="1" x14ac:dyDescent="0.25">
      <c r="A2271" s="168"/>
      <c r="B2271" s="167"/>
      <c r="C2271" s="168"/>
      <c r="D2271" s="167"/>
      <c r="E2271" s="167"/>
      <c r="F2271" s="167"/>
      <c r="G2271" s="167"/>
      <c r="H2271" s="167"/>
      <c r="I2271" s="164">
        <f t="shared" ca="1" si="36"/>
        <v>44939</v>
      </c>
      <c r="J2271" s="163">
        <v>0.33333333333333331</v>
      </c>
      <c r="K2271" s="162" t="s">
        <v>749</v>
      </c>
      <c r="L2271" s="166"/>
      <c r="M2271" s="166"/>
      <c r="N2271" s="164"/>
      <c r="O2271" s="166"/>
      <c r="P2271" s="165"/>
    </row>
    <row r="2272" spans="1:16" ht="15" hidden="1" customHeight="1" x14ac:dyDescent="0.25">
      <c r="A2272" s="168"/>
      <c r="B2272" s="167"/>
      <c r="C2272" s="168"/>
      <c r="D2272" s="167"/>
      <c r="E2272" s="167"/>
      <c r="F2272" s="167"/>
      <c r="G2272" s="167"/>
      <c r="H2272" s="167"/>
      <c r="I2272" s="164">
        <f t="shared" ca="1" si="36"/>
        <v>44939</v>
      </c>
      <c r="J2272" s="163">
        <v>0.33333333333333331</v>
      </c>
      <c r="K2272" s="162" t="s">
        <v>749</v>
      </c>
      <c r="L2272" s="166"/>
      <c r="M2272" s="166"/>
      <c r="N2272" s="164"/>
      <c r="O2272" s="166"/>
      <c r="P2272" s="165"/>
    </row>
    <row r="2273" spans="1:16" ht="15" hidden="1" customHeight="1" x14ac:dyDescent="0.25">
      <c r="A2273" s="168"/>
      <c r="B2273" s="167"/>
      <c r="C2273" s="168"/>
      <c r="D2273" s="167"/>
      <c r="E2273" s="167"/>
      <c r="F2273" s="167"/>
      <c r="G2273" s="167"/>
      <c r="H2273" s="167"/>
      <c r="I2273" s="164">
        <f t="shared" ca="1" si="36"/>
        <v>44939</v>
      </c>
      <c r="J2273" s="163">
        <v>0.33333333333333331</v>
      </c>
      <c r="K2273" s="162" t="s">
        <v>749</v>
      </c>
      <c r="L2273" s="166"/>
      <c r="M2273" s="166"/>
      <c r="N2273" s="164"/>
      <c r="O2273" s="166"/>
      <c r="P2273" s="165"/>
    </row>
    <row r="2274" spans="1:16" ht="15" hidden="1" customHeight="1" x14ac:dyDescent="0.25">
      <c r="A2274" s="168"/>
      <c r="B2274" s="167"/>
      <c r="C2274" s="168"/>
      <c r="D2274" s="167"/>
      <c r="E2274" s="167"/>
      <c r="F2274" s="167"/>
      <c r="G2274" s="167"/>
      <c r="H2274" s="167"/>
      <c r="I2274" s="164">
        <f t="shared" ca="1" si="36"/>
        <v>44939</v>
      </c>
      <c r="J2274" s="163">
        <v>0.33333333333333331</v>
      </c>
      <c r="K2274" s="162" t="s">
        <v>749</v>
      </c>
      <c r="L2274" s="166"/>
      <c r="M2274" s="166"/>
      <c r="N2274" s="164"/>
      <c r="O2274" s="166"/>
      <c r="P2274" s="165"/>
    </row>
    <row r="2275" spans="1:16" ht="15" hidden="1" customHeight="1" x14ac:dyDescent="0.25">
      <c r="A2275" s="168"/>
      <c r="B2275" s="167"/>
      <c r="C2275" s="168"/>
      <c r="D2275" s="167"/>
      <c r="E2275" s="167"/>
      <c r="F2275" s="167"/>
      <c r="G2275" s="167"/>
      <c r="H2275" s="167"/>
      <c r="I2275" s="164">
        <f t="shared" ca="1" si="36"/>
        <v>44939</v>
      </c>
      <c r="J2275" s="163">
        <v>0.33333333333333331</v>
      </c>
      <c r="K2275" s="162" t="s">
        <v>749</v>
      </c>
      <c r="L2275" s="166"/>
      <c r="M2275" s="166"/>
      <c r="N2275" s="164"/>
      <c r="O2275" s="166"/>
      <c r="P2275" s="165"/>
    </row>
    <row r="2276" spans="1:16" ht="15" hidden="1" customHeight="1" x14ac:dyDescent="0.25">
      <c r="A2276" s="168"/>
      <c r="B2276" s="167"/>
      <c r="C2276" s="168"/>
      <c r="D2276" s="167"/>
      <c r="E2276" s="167"/>
      <c r="F2276" s="167"/>
      <c r="G2276" s="167"/>
      <c r="H2276" s="167"/>
      <c r="I2276" s="164">
        <f t="shared" ca="1" si="36"/>
        <v>44939</v>
      </c>
      <c r="J2276" s="163">
        <v>0.33333333333333331</v>
      </c>
      <c r="K2276" s="162" t="s">
        <v>749</v>
      </c>
      <c r="L2276" s="166"/>
      <c r="M2276" s="166"/>
      <c r="N2276" s="164"/>
      <c r="O2276" s="166"/>
      <c r="P2276" s="165"/>
    </row>
    <row r="2277" spans="1:16" ht="15" hidden="1" customHeight="1" x14ac:dyDescent="0.25">
      <c r="A2277" s="168"/>
      <c r="B2277" s="167"/>
      <c r="C2277" s="168"/>
      <c r="D2277" s="167"/>
      <c r="E2277" s="167"/>
      <c r="F2277" s="167"/>
      <c r="G2277" s="167"/>
      <c r="H2277" s="167"/>
      <c r="I2277" s="164">
        <f t="shared" ca="1" si="36"/>
        <v>44939</v>
      </c>
      <c r="J2277" s="163">
        <v>0.33333333333333331</v>
      </c>
      <c r="K2277" s="162" t="s">
        <v>749</v>
      </c>
      <c r="L2277" s="166"/>
      <c r="M2277" s="166"/>
      <c r="N2277" s="164"/>
      <c r="O2277" s="166"/>
      <c r="P2277" s="165"/>
    </row>
    <row r="2278" spans="1:16" ht="15" hidden="1" customHeight="1" x14ac:dyDescent="0.25">
      <c r="A2278" s="168"/>
      <c r="B2278" s="167"/>
      <c r="C2278" s="168"/>
      <c r="D2278" s="167"/>
      <c r="E2278" s="167"/>
      <c r="F2278" s="167"/>
      <c r="G2278" s="167"/>
      <c r="H2278" s="167"/>
      <c r="I2278" s="164">
        <f t="shared" ca="1" si="36"/>
        <v>44939</v>
      </c>
      <c r="J2278" s="163">
        <v>0.33333333333333331</v>
      </c>
      <c r="K2278" s="162" t="s">
        <v>749</v>
      </c>
      <c r="L2278" s="166"/>
      <c r="M2278" s="166"/>
      <c r="N2278" s="164"/>
      <c r="O2278" s="166"/>
      <c r="P2278" s="165"/>
    </row>
    <row r="2279" spans="1:16" ht="15" hidden="1" customHeight="1" x14ac:dyDescent="0.25">
      <c r="A2279" s="168"/>
      <c r="B2279" s="167"/>
      <c r="C2279" s="168"/>
      <c r="D2279" s="167"/>
      <c r="E2279" s="167"/>
      <c r="F2279" s="167"/>
      <c r="G2279" s="167"/>
      <c r="H2279" s="167"/>
      <c r="I2279" s="164">
        <f t="shared" ca="1" si="36"/>
        <v>44939</v>
      </c>
      <c r="J2279" s="163">
        <v>0.33333333333333331</v>
      </c>
      <c r="K2279" s="162" t="s">
        <v>749</v>
      </c>
      <c r="L2279" s="166"/>
      <c r="M2279" s="166"/>
      <c r="N2279" s="164"/>
      <c r="O2279" s="166"/>
      <c r="P2279" s="165"/>
    </row>
    <row r="2280" spans="1:16" ht="15" hidden="1" customHeight="1" x14ac:dyDescent="0.25">
      <c r="A2280" s="168"/>
      <c r="B2280" s="167"/>
      <c r="C2280" s="168"/>
      <c r="D2280" s="167"/>
      <c r="E2280" s="167"/>
      <c r="F2280" s="167"/>
      <c r="G2280" s="167"/>
      <c r="H2280" s="167"/>
      <c r="I2280" s="164">
        <f t="shared" ca="1" si="36"/>
        <v>44939</v>
      </c>
      <c r="J2280" s="163">
        <v>0.33333333333333331</v>
      </c>
      <c r="K2280" s="162" t="s">
        <v>749</v>
      </c>
      <c r="L2280" s="166"/>
      <c r="M2280" s="166"/>
      <c r="N2280" s="164"/>
      <c r="O2280" s="166"/>
      <c r="P2280" s="165"/>
    </row>
    <row r="2281" spans="1:16" ht="15" hidden="1" customHeight="1" x14ac:dyDescent="0.25">
      <c r="A2281" s="168"/>
      <c r="B2281" s="167"/>
      <c r="C2281" s="168"/>
      <c r="D2281" s="167"/>
      <c r="E2281" s="167"/>
      <c r="F2281" s="167"/>
      <c r="G2281" s="167"/>
      <c r="H2281" s="167"/>
      <c r="I2281" s="164">
        <f t="shared" ca="1" si="36"/>
        <v>44939</v>
      </c>
      <c r="J2281" s="163">
        <v>0.33333333333333331</v>
      </c>
      <c r="K2281" s="162" t="s">
        <v>749</v>
      </c>
      <c r="L2281" s="166"/>
      <c r="M2281" s="166"/>
      <c r="N2281" s="164"/>
      <c r="O2281" s="166"/>
      <c r="P2281" s="165"/>
    </row>
    <row r="2282" spans="1:16" ht="15" hidden="1" customHeight="1" x14ac:dyDescent="0.25">
      <c r="A2282" s="168"/>
      <c r="B2282" s="167"/>
      <c r="C2282" s="168"/>
      <c r="D2282" s="167"/>
      <c r="E2282" s="167"/>
      <c r="F2282" s="167"/>
      <c r="G2282" s="167"/>
      <c r="H2282" s="167"/>
      <c r="I2282" s="164">
        <f t="shared" ca="1" si="36"/>
        <v>44939</v>
      </c>
      <c r="J2282" s="163">
        <v>0.33333333333333331</v>
      </c>
      <c r="K2282" s="162" t="s">
        <v>749</v>
      </c>
      <c r="L2282" s="166"/>
      <c r="M2282" s="166"/>
      <c r="N2282" s="164"/>
      <c r="O2282" s="166"/>
      <c r="P2282" s="165"/>
    </row>
    <row r="2283" spans="1:16" ht="15" hidden="1" customHeight="1" x14ac:dyDescent="0.25">
      <c r="A2283" s="168"/>
      <c r="B2283" s="167"/>
      <c r="C2283" s="168"/>
      <c r="D2283" s="167"/>
      <c r="E2283" s="167"/>
      <c r="F2283" s="167"/>
      <c r="G2283" s="167"/>
      <c r="H2283" s="167"/>
      <c r="I2283" s="164">
        <f t="shared" ca="1" si="36"/>
        <v>44939</v>
      </c>
      <c r="J2283" s="163">
        <v>0.33333333333333331</v>
      </c>
      <c r="K2283" s="162" t="s">
        <v>749</v>
      </c>
      <c r="L2283" s="166"/>
      <c r="M2283" s="166"/>
      <c r="N2283" s="164"/>
      <c r="O2283" s="166"/>
      <c r="P2283" s="165"/>
    </row>
    <row r="2284" spans="1:16" ht="15" hidden="1" customHeight="1" x14ac:dyDescent="0.25">
      <c r="A2284" s="168"/>
      <c r="B2284" s="167"/>
      <c r="C2284" s="168"/>
      <c r="D2284" s="167"/>
      <c r="E2284" s="167"/>
      <c r="F2284" s="167"/>
      <c r="G2284" s="167"/>
      <c r="H2284" s="167"/>
      <c r="I2284" s="164">
        <f t="shared" ca="1" si="36"/>
        <v>44939</v>
      </c>
      <c r="J2284" s="163">
        <v>0.33333333333333331</v>
      </c>
      <c r="K2284" s="162" t="s">
        <v>749</v>
      </c>
      <c r="L2284" s="166"/>
      <c r="M2284" s="166"/>
      <c r="N2284" s="164"/>
      <c r="O2284" s="166"/>
      <c r="P2284" s="165"/>
    </row>
    <row r="2285" spans="1:16" ht="15" hidden="1" customHeight="1" x14ac:dyDescent="0.25">
      <c r="A2285" s="168"/>
      <c r="B2285" s="167"/>
      <c r="C2285" s="168"/>
      <c r="D2285" s="167"/>
      <c r="E2285" s="167"/>
      <c r="F2285" s="167"/>
      <c r="G2285" s="167"/>
      <c r="H2285" s="167"/>
      <c r="I2285" s="164">
        <f t="shared" ca="1" si="36"/>
        <v>44939</v>
      </c>
      <c r="J2285" s="163">
        <v>0.33333333333333331</v>
      </c>
      <c r="K2285" s="162" t="s">
        <v>749</v>
      </c>
      <c r="L2285" s="166"/>
      <c r="M2285" s="166"/>
      <c r="N2285" s="164"/>
      <c r="O2285" s="166"/>
      <c r="P2285" s="165"/>
    </row>
    <row r="2286" spans="1:16" ht="15" hidden="1" customHeight="1" x14ac:dyDescent="0.25">
      <c r="A2286" s="168"/>
      <c r="B2286" s="167"/>
      <c r="C2286" s="168"/>
      <c r="D2286" s="167"/>
      <c r="E2286" s="167"/>
      <c r="F2286" s="167"/>
      <c r="G2286" s="167"/>
      <c r="H2286" s="167"/>
      <c r="I2286" s="164">
        <f t="shared" ca="1" si="36"/>
        <v>44939</v>
      </c>
      <c r="J2286" s="163">
        <v>0.33333333333333331</v>
      </c>
      <c r="K2286" s="162" t="s">
        <v>749</v>
      </c>
      <c r="L2286" s="166"/>
      <c r="M2286" s="166"/>
      <c r="N2286" s="164"/>
      <c r="O2286" s="166"/>
      <c r="P2286" s="165"/>
    </row>
    <row r="2287" spans="1:16" ht="15" hidden="1" customHeight="1" x14ac:dyDescent="0.25">
      <c r="A2287" s="168"/>
      <c r="B2287" s="167"/>
      <c r="C2287" s="168"/>
      <c r="D2287" s="167"/>
      <c r="E2287" s="167"/>
      <c r="F2287" s="167"/>
      <c r="G2287" s="167"/>
      <c r="H2287" s="167"/>
      <c r="I2287" s="164">
        <f t="shared" ca="1" si="36"/>
        <v>44939</v>
      </c>
      <c r="J2287" s="163">
        <v>0.33333333333333331</v>
      </c>
      <c r="K2287" s="162" t="s">
        <v>749</v>
      </c>
      <c r="L2287" s="166"/>
      <c r="M2287" s="166"/>
      <c r="N2287" s="164"/>
      <c r="O2287" s="166"/>
      <c r="P2287" s="165"/>
    </row>
    <row r="2288" spans="1:16" ht="15" hidden="1" customHeight="1" x14ac:dyDescent="0.25">
      <c r="A2288" s="168"/>
      <c r="B2288" s="167"/>
      <c r="C2288" s="168"/>
      <c r="D2288" s="167"/>
      <c r="E2288" s="167"/>
      <c r="F2288" s="167"/>
      <c r="G2288" s="167"/>
      <c r="H2288" s="167"/>
      <c r="I2288" s="164">
        <f t="shared" ca="1" si="36"/>
        <v>44939</v>
      </c>
      <c r="J2288" s="163">
        <v>0.33333333333333331</v>
      </c>
      <c r="K2288" s="162" t="s">
        <v>749</v>
      </c>
      <c r="L2288" s="166"/>
      <c r="M2288" s="166"/>
      <c r="N2288" s="164"/>
      <c r="O2288" s="166"/>
      <c r="P2288" s="165"/>
    </row>
    <row r="2289" spans="1:16" ht="15" hidden="1" customHeight="1" x14ac:dyDescent="0.25">
      <c r="A2289" s="168"/>
      <c r="B2289" s="167"/>
      <c r="C2289" s="168"/>
      <c r="D2289" s="167"/>
      <c r="E2289" s="167"/>
      <c r="F2289" s="167"/>
      <c r="G2289" s="167"/>
      <c r="H2289" s="167"/>
      <c r="I2289" s="164">
        <f t="shared" ca="1" si="36"/>
        <v>44939</v>
      </c>
      <c r="J2289" s="163">
        <v>0.33333333333333331</v>
      </c>
      <c r="K2289" s="162" t="s">
        <v>749</v>
      </c>
      <c r="L2289" s="166"/>
      <c r="M2289" s="166"/>
      <c r="N2289" s="164"/>
      <c r="O2289" s="166"/>
      <c r="P2289" s="165"/>
    </row>
    <row r="2290" spans="1:16" ht="15" hidden="1" customHeight="1" x14ac:dyDescent="0.25">
      <c r="A2290" s="168"/>
      <c r="B2290" s="167"/>
      <c r="C2290" s="168"/>
      <c r="D2290" s="167"/>
      <c r="E2290" s="167"/>
      <c r="F2290" s="167"/>
      <c r="G2290" s="167"/>
      <c r="H2290" s="167"/>
      <c r="I2290" s="164">
        <f t="shared" ca="1" si="36"/>
        <v>44939</v>
      </c>
      <c r="J2290" s="163">
        <v>0.33333333333333331</v>
      </c>
      <c r="K2290" s="162" t="s">
        <v>749</v>
      </c>
      <c r="L2290" s="166"/>
      <c r="M2290" s="166"/>
      <c r="N2290" s="164"/>
      <c r="O2290" s="166"/>
      <c r="P2290" s="165"/>
    </row>
    <row r="2291" spans="1:16" ht="15" hidden="1" customHeight="1" x14ac:dyDescent="0.25">
      <c r="A2291" s="168"/>
      <c r="B2291" s="167"/>
      <c r="C2291" s="168"/>
      <c r="D2291" s="167"/>
      <c r="E2291" s="167"/>
      <c r="F2291" s="167"/>
      <c r="G2291" s="167"/>
      <c r="H2291" s="167"/>
      <c r="I2291" s="164">
        <f t="shared" ca="1" si="36"/>
        <v>44939</v>
      </c>
      <c r="J2291" s="163">
        <v>0.33333333333333331</v>
      </c>
      <c r="K2291" s="162" t="s">
        <v>749</v>
      </c>
      <c r="L2291" s="166"/>
      <c r="M2291" s="166"/>
      <c r="N2291" s="164"/>
      <c r="O2291" s="166"/>
      <c r="P2291" s="165"/>
    </row>
    <row r="2292" spans="1:16" ht="15" hidden="1" customHeight="1" x14ac:dyDescent="0.25">
      <c r="A2292" s="168"/>
      <c r="B2292" s="167"/>
      <c r="C2292" s="168"/>
      <c r="D2292" s="167"/>
      <c r="E2292" s="167"/>
      <c r="F2292" s="167"/>
      <c r="G2292" s="167"/>
      <c r="H2292" s="167"/>
      <c r="I2292" s="164">
        <f t="shared" ca="1" si="36"/>
        <v>44939</v>
      </c>
      <c r="J2292" s="163">
        <v>0.33333333333333331</v>
      </c>
      <c r="K2292" s="162" t="s">
        <v>749</v>
      </c>
      <c r="L2292" s="166"/>
      <c r="M2292" s="166"/>
      <c r="N2292" s="164"/>
      <c r="O2292" s="166"/>
      <c r="P2292" s="165"/>
    </row>
    <row r="2293" spans="1:16" ht="15" hidden="1" customHeight="1" x14ac:dyDescent="0.25">
      <c r="A2293" s="168"/>
      <c r="B2293" s="167"/>
      <c r="C2293" s="168"/>
      <c r="D2293" s="167"/>
      <c r="E2293" s="167"/>
      <c r="F2293" s="167"/>
      <c r="G2293" s="167"/>
      <c r="H2293" s="167"/>
      <c r="I2293" s="164">
        <f t="shared" ca="1" si="36"/>
        <v>44939</v>
      </c>
      <c r="J2293" s="163">
        <v>0.33333333333333331</v>
      </c>
      <c r="K2293" s="162" t="s">
        <v>749</v>
      </c>
      <c r="L2293" s="166"/>
      <c r="M2293" s="166"/>
      <c r="N2293" s="164"/>
      <c r="O2293" s="166"/>
      <c r="P2293" s="165"/>
    </row>
    <row r="2294" spans="1:16" ht="15" hidden="1" customHeight="1" x14ac:dyDescent="0.25">
      <c r="A2294" s="168"/>
      <c r="B2294" s="167"/>
      <c r="C2294" s="168"/>
      <c r="D2294" s="167"/>
      <c r="E2294" s="167"/>
      <c r="F2294" s="167"/>
      <c r="G2294" s="167"/>
      <c r="H2294" s="167"/>
      <c r="I2294" s="164">
        <f t="shared" ca="1" si="36"/>
        <v>44939</v>
      </c>
      <c r="J2294" s="163">
        <v>0.33333333333333331</v>
      </c>
      <c r="K2294" s="162" t="s">
        <v>749</v>
      </c>
      <c r="L2294" s="166"/>
      <c r="M2294" s="166"/>
      <c r="N2294" s="164"/>
      <c r="O2294" s="166"/>
      <c r="P2294" s="165"/>
    </row>
    <row r="2295" spans="1:16" ht="15" hidden="1" customHeight="1" x14ac:dyDescent="0.25">
      <c r="A2295" s="168"/>
      <c r="B2295" s="167"/>
      <c r="C2295" s="168"/>
      <c r="D2295" s="167"/>
      <c r="E2295" s="167"/>
      <c r="F2295" s="167"/>
      <c r="G2295" s="167"/>
      <c r="H2295" s="167"/>
      <c r="I2295" s="164">
        <f t="shared" ca="1" si="36"/>
        <v>44939</v>
      </c>
      <c r="J2295" s="163">
        <v>0.33333333333333331</v>
      </c>
      <c r="K2295" s="162" t="s">
        <v>749</v>
      </c>
      <c r="L2295" s="166"/>
      <c r="M2295" s="166"/>
      <c r="N2295" s="164"/>
      <c r="O2295" s="166"/>
      <c r="P2295" s="165"/>
    </row>
    <row r="2296" spans="1:16" ht="15" hidden="1" customHeight="1" x14ac:dyDescent="0.25">
      <c r="A2296" s="168"/>
      <c r="B2296" s="167"/>
      <c r="C2296" s="168"/>
      <c r="D2296" s="167"/>
      <c r="E2296" s="167"/>
      <c r="F2296" s="167"/>
      <c r="G2296" s="167"/>
      <c r="H2296" s="167"/>
      <c r="I2296" s="164">
        <f t="shared" ca="1" si="36"/>
        <v>44939</v>
      </c>
      <c r="J2296" s="163">
        <v>0.33333333333333331</v>
      </c>
      <c r="K2296" s="162" t="s">
        <v>749</v>
      </c>
      <c r="L2296" s="166"/>
      <c r="M2296" s="166"/>
      <c r="N2296" s="164"/>
      <c r="O2296" s="166"/>
      <c r="P2296" s="165"/>
    </row>
    <row r="2297" spans="1:16" ht="15" hidden="1" customHeight="1" x14ac:dyDescent="0.25">
      <c r="A2297" s="168"/>
      <c r="B2297" s="167"/>
      <c r="C2297" s="168"/>
      <c r="D2297" s="167"/>
      <c r="E2297" s="167"/>
      <c r="F2297" s="167"/>
      <c r="G2297" s="167"/>
      <c r="H2297" s="167"/>
      <c r="I2297" s="164">
        <f t="shared" ca="1" si="36"/>
        <v>44939</v>
      </c>
      <c r="J2297" s="163">
        <v>0.33333333333333331</v>
      </c>
      <c r="K2297" s="162" t="s">
        <v>749</v>
      </c>
      <c r="L2297" s="166"/>
      <c r="M2297" s="166"/>
      <c r="N2297" s="164"/>
      <c r="O2297" s="166"/>
      <c r="P2297" s="165"/>
    </row>
    <row r="2298" spans="1:16" ht="15" hidden="1" customHeight="1" x14ac:dyDescent="0.25">
      <c r="A2298" s="168"/>
      <c r="B2298" s="167"/>
      <c r="C2298" s="168"/>
      <c r="D2298" s="167"/>
      <c r="E2298" s="167"/>
      <c r="F2298" s="167"/>
      <c r="G2298" s="167"/>
      <c r="H2298" s="167"/>
      <c r="I2298" s="164">
        <f t="shared" ca="1" si="36"/>
        <v>44939</v>
      </c>
      <c r="J2298" s="163">
        <v>0.33333333333333331</v>
      </c>
      <c r="K2298" s="162" t="s">
        <v>749</v>
      </c>
      <c r="L2298" s="166"/>
      <c r="M2298" s="166"/>
      <c r="N2298" s="164"/>
      <c r="O2298" s="166"/>
      <c r="P2298" s="165"/>
    </row>
    <row r="2299" spans="1:16" ht="15" hidden="1" customHeight="1" x14ac:dyDescent="0.25">
      <c r="A2299" s="168"/>
      <c r="B2299" s="167"/>
      <c r="C2299" s="168"/>
      <c r="D2299" s="167"/>
      <c r="E2299" s="167"/>
      <c r="F2299" s="167"/>
      <c r="G2299" s="167"/>
      <c r="H2299" s="167"/>
      <c r="I2299" s="164">
        <f t="shared" ca="1" si="36"/>
        <v>44939</v>
      </c>
      <c r="J2299" s="163">
        <v>0.33333333333333331</v>
      </c>
      <c r="K2299" s="162" t="s">
        <v>749</v>
      </c>
      <c r="L2299" s="166"/>
      <c r="M2299" s="166"/>
      <c r="N2299" s="164"/>
      <c r="O2299" s="166"/>
      <c r="P2299" s="165"/>
    </row>
    <row r="2300" spans="1:16" ht="15" hidden="1" customHeight="1" x14ac:dyDescent="0.25">
      <c r="A2300" s="168"/>
      <c r="B2300" s="167"/>
      <c r="C2300" s="168"/>
      <c r="D2300" s="167"/>
      <c r="E2300" s="167"/>
      <c r="F2300" s="167"/>
      <c r="G2300" s="167"/>
      <c r="H2300" s="167"/>
      <c r="I2300" s="164">
        <f t="shared" ca="1" si="36"/>
        <v>44939</v>
      </c>
      <c r="J2300" s="163">
        <v>0.33333333333333331</v>
      </c>
      <c r="K2300" s="162" t="s">
        <v>749</v>
      </c>
      <c r="L2300" s="166"/>
      <c r="M2300" s="166"/>
      <c r="N2300" s="164"/>
      <c r="O2300" s="166"/>
      <c r="P2300" s="165"/>
    </row>
    <row r="2301" spans="1:16" ht="15" hidden="1" customHeight="1" x14ac:dyDescent="0.25">
      <c r="A2301" s="168"/>
      <c r="B2301" s="167"/>
      <c r="C2301" s="168"/>
      <c r="D2301" s="167"/>
      <c r="E2301" s="167"/>
      <c r="F2301" s="167"/>
      <c r="G2301" s="167"/>
      <c r="H2301" s="167"/>
      <c r="I2301" s="164">
        <f t="shared" ca="1" si="36"/>
        <v>44939</v>
      </c>
      <c r="J2301" s="163">
        <v>0.33333333333333331</v>
      </c>
      <c r="K2301" s="162" t="s">
        <v>749</v>
      </c>
      <c r="L2301" s="166"/>
      <c r="M2301" s="166"/>
      <c r="N2301" s="164"/>
      <c r="O2301" s="166"/>
      <c r="P2301" s="165"/>
    </row>
    <row r="2302" spans="1:16" ht="15" hidden="1" customHeight="1" x14ac:dyDescent="0.25">
      <c r="A2302" s="168"/>
      <c r="B2302" s="167"/>
      <c r="C2302" s="168"/>
      <c r="D2302" s="167"/>
      <c r="E2302" s="167"/>
      <c r="F2302" s="167"/>
      <c r="G2302" s="167"/>
      <c r="H2302" s="167"/>
      <c r="I2302" s="164">
        <f t="shared" ca="1" si="36"/>
        <v>44939</v>
      </c>
      <c r="J2302" s="163">
        <v>0.33333333333333331</v>
      </c>
      <c r="K2302" s="162" t="s">
        <v>749</v>
      </c>
      <c r="L2302" s="166"/>
      <c r="M2302" s="166"/>
      <c r="N2302" s="164"/>
      <c r="O2302" s="166"/>
      <c r="P2302" s="165"/>
    </row>
    <row r="2303" spans="1:16" ht="15" hidden="1" customHeight="1" x14ac:dyDescent="0.25">
      <c r="A2303" s="168"/>
      <c r="B2303" s="167"/>
      <c r="C2303" s="168"/>
      <c r="D2303" s="167"/>
      <c r="E2303" s="167"/>
      <c r="F2303" s="167"/>
      <c r="G2303" s="167"/>
      <c r="H2303" s="167"/>
      <c r="I2303" s="164">
        <f t="shared" ca="1" si="36"/>
        <v>44939</v>
      </c>
      <c r="J2303" s="163">
        <v>0.33333333333333331</v>
      </c>
      <c r="K2303" s="162" t="s">
        <v>749</v>
      </c>
      <c r="L2303" s="166"/>
      <c r="M2303" s="166"/>
      <c r="N2303" s="164"/>
      <c r="O2303" s="166"/>
      <c r="P2303" s="165"/>
    </row>
    <row r="2304" spans="1:16" ht="15" hidden="1" customHeight="1" x14ac:dyDescent="0.25">
      <c r="A2304" s="168"/>
      <c r="B2304" s="167"/>
      <c r="C2304" s="168"/>
      <c r="D2304" s="167"/>
      <c r="E2304" s="167"/>
      <c r="F2304" s="167"/>
      <c r="G2304" s="167"/>
      <c r="H2304" s="167"/>
      <c r="I2304" s="164">
        <f t="shared" ca="1" si="36"/>
        <v>44939</v>
      </c>
      <c r="J2304" s="163">
        <v>0.33333333333333331</v>
      </c>
      <c r="K2304" s="162" t="s">
        <v>749</v>
      </c>
      <c r="L2304" s="166"/>
      <c r="M2304" s="166"/>
      <c r="N2304" s="164"/>
      <c r="O2304" s="166"/>
      <c r="P2304" s="165"/>
    </row>
    <row r="2305" spans="1:16" ht="15" hidden="1" customHeight="1" x14ac:dyDescent="0.25">
      <c r="A2305" s="168"/>
      <c r="B2305" s="167"/>
      <c r="C2305" s="168"/>
      <c r="D2305" s="167"/>
      <c r="E2305" s="167"/>
      <c r="F2305" s="167"/>
      <c r="G2305" s="167"/>
      <c r="H2305" s="167"/>
      <c r="I2305" s="164">
        <f t="shared" ca="1" si="36"/>
        <v>44939</v>
      </c>
      <c r="J2305" s="163">
        <v>0.33333333333333331</v>
      </c>
      <c r="K2305" s="162" t="s">
        <v>749</v>
      </c>
      <c r="L2305" s="166"/>
      <c r="M2305" s="166"/>
      <c r="N2305" s="164"/>
      <c r="O2305" s="166"/>
      <c r="P2305" s="165"/>
    </row>
    <row r="2306" spans="1:16" ht="15" hidden="1" customHeight="1" x14ac:dyDescent="0.25">
      <c r="A2306" s="168"/>
      <c r="B2306" s="167"/>
      <c r="C2306" s="168"/>
      <c r="D2306" s="167"/>
      <c r="E2306" s="167"/>
      <c r="F2306" s="167"/>
      <c r="G2306" s="167"/>
      <c r="H2306" s="167"/>
      <c r="I2306" s="164">
        <f t="shared" ca="1" si="36"/>
        <v>44939</v>
      </c>
      <c r="J2306" s="163">
        <v>0.33333333333333331</v>
      </c>
      <c r="K2306" s="162" t="s">
        <v>749</v>
      </c>
      <c r="L2306" s="166"/>
      <c r="M2306" s="166"/>
      <c r="N2306" s="164"/>
      <c r="O2306" s="166"/>
      <c r="P2306" s="165"/>
    </row>
    <row r="2307" spans="1:16" ht="15" hidden="1" customHeight="1" x14ac:dyDescent="0.25">
      <c r="A2307" s="168"/>
      <c r="B2307" s="167"/>
      <c r="C2307" s="168"/>
      <c r="D2307" s="167"/>
      <c r="E2307" s="167"/>
      <c r="F2307" s="167"/>
      <c r="G2307" s="167"/>
      <c r="H2307" s="167"/>
      <c r="I2307" s="164">
        <f t="shared" ca="1" si="36"/>
        <v>44939</v>
      </c>
      <c r="J2307" s="163">
        <v>0.33333333333333331</v>
      </c>
      <c r="K2307" s="162" t="s">
        <v>749</v>
      </c>
      <c r="L2307" s="166"/>
      <c r="M2307" s="166"/>
      <c r="N2307" s="164"/>
      <c r="O2307" s="166"/>
      <c r="P2307" s="165"/>
    </row>
    <row r="2308" spans="1:16" ht="15" hidden="1" customHeight="1" x14ac:dyDescent="0.25">
      <c r="A2308" s="168"/>
      <c r="B2308" s="167"/>
      <c r="C2308" s="168"/>
      <c r="D2308" s="167"/>
      <c r="E2308" s="167"/>
      <c r="F2308" s="167"/>
      <c r="G2308" s="167"/>
      <c r="H2308" s="167"/>
      <c r="I2308" s="164">
        <f t="shared" ca="1" si="36"/>
        <v>44939</v>
      </c>
      <c r="J2308" s="163">
        <v>0.33333333333333331</v>
      </c>
      <c r="K2308" s="162" t="s">
        <v>749</v>
      </c>
      <c r="L2308" s="166"/>
      <c r="M2308" s="166"/>
      <c r="N2308" s="164"/>
      <c r="O2308" s="166"/>
      <c r="P2308" s="165"/>
    </row>
    <row r="2309" spans="1:16" ht="15" hidden="1" customHeight="1" x14ac:dyDescent="0.25">
      <c r="A2309" s="168"/>
      <c r="B2309" s="167"/>
      <c r="C2309" s="168"/>
      <c r="D2309" s="167"/>
      <c r="E2309" s="167"/>
      <c r="F2309" s="167"/>
      <c r="G2309" s="167"/>
      <c r="H2309" s="167"/>
      <c r="I2309" s="164">
        <f t="shared" ca="1" si="36"/>
        <v>44939</v>
      </c>
      <c r="J2309" s="163">
        <v>0.33333333333333331</v>
      </c>
      <c r="K2309" s="162" t="s">
        <v>749</v>
      </c>
      <c r="L2309" s="166"/>
      <c r="M2309" s="166"/>
      <c r="N2309" s="164"/>
      <c r="O2309" s="166"/>
      <c r="P2309" s="165"/>
    </row>
    <row r="2310" spans="1:16" ht="15" hidden="1" customHeight="1" x14ac:dyDescent="0.25">
      <c r="A2310" s="168"/>
      <c r="B2310" s="167"/>
      <c r="C2310" s="168"/>
      <c r="D2310" s="167"/>
      <c r="E2310" s="167"/>
      <c r="F2310" s="167"/>
      <c r="G2310" s="167"/>
      <c r="H2310" s="167"/>
      <c r="I2310" s="164">
        <f t="shared" ca="1" si="36"/>
        <v>44939</v>
      </c>
      <c r="J2310" s="163">
        <v>0.33333333333333331</v>
      </c>
      <c r="K2310" s="162" t="s">
        <v>749</v>
      </c>
      <c r="L2310" s="166"/>
      <c r="M2310" s="166"/>
      <c r="N2310" s="164"/>
      <c r="O2310" s="166"/>
      <c r="P2310" s="165"/>
    </row>
    <row r="2311" spans="1:16" ht="15" hidden="1" customHeight="1" x14ac:dyDescent="0.25">
      <c r="A2311" s="168"/>
      <c r="B2311" s="167"/>
      <c r="C2311" s="168"/>
      <c r="D2311" s="167"/>
      <c r="E2311" s="167"/>
      <c r="F2311" s="167"/>
      <c r="G2311" s="167"/>
      <c r="H2311" s="167"/>
      <c r="I2311" s="164">
        <f t="shared" ca="1" si="36"/>
        <v>44939</v>
      </c>
      <c r="J2311" s="163">
        <v>0.33333333333333331</v>
      </c>
      <c r="K2311" s="162" t="s">
        <v>749</v>
      </c>
      <c r="L2311" s="166"/>
      <c r="M2311" s="166"/>
      <c r="N2311" s="164"/>
      <c r="O2311" s="166"/>
      <c r="P2311" s="165"/>
    </row>
    <row r="2312" spans="1:16" ht="15" hidden="1" customHeight="1" x14ac:dyDescent="0.25">
      <c r="A2312" s="168"/>
      <c r="B2312" s="167"/>
      <c r="C2312" s="168"/>
      <c r="D2312" s="167"/>
      <c r="E2312" s="167"/>
      <c r="F2312" s="167"/>
      <c r="G2312" s="167"/>
      <c r="H2312" s="167"/>
      <c r="I2312" s="164">
        <f t="shared" ca="1" si="36"/>
        <v>44939</v>
      </c>
      <c r="J2312" s="163">
        <v>0.33333333333333331</v>
      </c>
      <c r="K2312" s="162" t="s">
        <v>749</v>
      </c>
      <c r="L2312" s="166"/>
      <c r="M2312" s="166"/>
      <c r="N2312" s="164"/>
      <c r="O2312" s="166"/>
      <c r="P2312" s="165"/>
    </row>
    <row r="2313" spans="1:16" ht="15" hidden="1" customHeight="1" x14ac:dyDescent="0.25">
      <c r="A2313" s="168"/>
      <c r="B2313" s="167"/>
      <c r="C2313" s="168"/>
      <c r="D2313" s="167"/>
      <c r="E2313" s="167"/>
      <c r="F2313" s="167"/>
      <c r="G2313" s="167"/>
      <c r="H2313" s="167"/>
      <c r="I2313" s="164">
        <f t="shared" ca="1" si="36"/>
        <v>44939</v>
      </c>
      <c r="J2313" s="163">
        <v>0.33333333333333331</v>
      </c>
      <c r="K2313" s="162" t="s">
        <v>749</v>
      </c>
      <c r="L2313" s="166"/>
      <c r="M2313" s="166"/>
      <c r="N2313" s="164"/>
      <c r="O2313" s="166"/>
      <c r="P2313" s="165"/>
    </row>
    <row r="2314" spans="1:16" ht="15" hidden="1" customHeight="1" x14ac:dyDescent="0.25">
      <c r="A2314" s="168"/>
      <c r="B2314" s="167"/>
      <c r="C2314" s="168"/>
      <c r="D2314" s="167"/>
      <c r="E2314" s="167"/>
      <c r="F2314" s="167"/>
      <c r="G2314" s="167"/>
      <c r="H2314" s="167"/>
      <c r="I2314" s="164">
        <f t="shared" ca="1" si="36"/>
        <v>44939</v>
      </c>
      <c r="J2314" s="163">
        <v>0.33333333333333331</v>
      </c>
      <c r="K2314" s="162" t="s">
        <v>749</v>
      </c>
      <c r="L2314" s="166"/>
      <c r="M2314" s="166"/>
      <c r="N2314" s="164"/>
      <c r="O2314" s="166"/>
      <c r="P2314" s="165"/>
    </row>
    <row r="2315" spans="1:16" ht="15" hidden="1" customHeight="1" x14ac:dyDescent="0.25">
      <c r="A2315" s="168"/>
      <c r="B2315" s="167"/>
      <c r="C2315" s="168"/>
      <c r="D2315" s="167"/>
      <c r="E2315" s="167"/>
      <c r="F2315" s="167"/>
      <c r="G2315" s="167"/>
      <c r="H2315" s="167"/>
      <c r="I2315" s="164">
        <f t="shared" ca="1" si="36"/>
        <v>44939</v>
      </c>
      <c r="J2315" s="163">
        <v>0.33333333333333331</v>
      </c>
      <c r="K2315" s="162" t="s">
        <v>749</v>
      </c>
      <c r="L2315" s="166"/>
      <c r="M2315" s="166"/>
      <c r="N2315" s="164"/>
      <c r="O2315" s="166"/>
      <c r="P2315" s="165"/>
    </row>
    <row r="2316" spans="1:16" ht="15" hidden="1" customHeight="1" x14ac:dyDescent="0.25">
      <c r="A2316" s="168"/>
      <c r="B2316" s="167"/>
      <c r="C2316" s="168"/>
      <c r="D2316" s="167"/>
      <c r="E2316" s="167"/>
      <c r="F2316" s="167"/>
      <c r="G2316" s="167"/>
      <c r="H2316" s="167"/>
      <c r="I2316" s="164">
        <f t="shared" ca="1" si="36"/>
        <v>44939</v>
      </c>
      <c r="J2316" s="163">
        <v>0.33333333333333331</v>
      </c>
      <c r="K2316" s="162" t="s">
        <v>749</v>
      </c>
      <c r="L2316" s="166"/>
      <c r="M2316" s="166"/>
      <c r="N2316" s="164"/>
      <c r="O2316" s="166"/>
      <c r="P2316" s="165"/>
    </row>
    <row r="2317" spans="1:16" ht="15" hidden="1" customHeight="1" x14ac:dyDescent="0.25">
      <c r="A2317" s="168"/>
      <c r="B2317" s="167"/>
      <c r="C2317" s="168"/>
      <c r="D2317" s="167"/>
      <c r="E2317" s="167"/>
      <c r="F2317" s="167"/>
      <c r="G2317" s="167"/>
      <c r="H2317" s="167"/>
      <c r="I2317" s="164">
        <f t="shared" ca="1" si="36"/>
        <v>44939</v>
      </c>
      <c r="J2317" s="163">
        <v>0.33333333333333331</v>
      </c>
      <c r="K2317" s="162" t="s">
        <v>749</v>
      </c>
      <c r="L2317" s="166"/>
      <c r="M2317" s="166"/>
      <c r="N2317" s="164"/>
      <c r="O2317" s="166"/>
      <c r="P2317" s="165"/>
    </row>
    <row r="2318" spans="1:16" ht="15" hidden="1" customHeight="1" x14ac:dyDescent="0.25">
      <c r="A2318" s="168"/>
      <c r="B2318" s="167"/>
      <c r="C2318" s="168"/>
      <c r="D2318" s="167"/>
      <c r="E2318" s="167"/>
      <c r="F2318" s="167"/>
      <c r="G2318" s="167"/>
      <c r="H2318" s="167"/>
      <c r="I2318" s="164">
        <f t="shared" ca="1" si="36"/>
        <v>44939</v>
      </c>
      <c r="J2318" s="163">
        <v>0.33333333333333331</v>
      </c>
      <c r="K2318" s="162" t="s">
        <v>749</v>
      </c>
      <c r="L2318" s="166"/>
      <c r="M2318" s="166"/>
      <c r="N2318" s="164"/>
      <c r="O2318" s="166"/>
      <c r="P2318" s="165"/>
    </row>
    <row r="2319" spans="1:16" ht="15" hidden="1" customHeight="1" x14ac:dyDescent="0.25">
      <c r="A2319" s="168"/>
      <c r="B2319" s="167"/>
      <c r="C2319" s="168"/>
      <c r="D2319" s="167"/>
      <c r="E2319" s="167"/>
      <c r="F2319" s="167"/>
      <c r="G2319" s="167"/>
      <c r="H2319" s="167"/>
      <c r="I2319" s="164">
        <f t="shared" ca="1" si="36"/>
        <v>44939</v>
      </c>
      <c r="J2319" s="163">
        <v>0.33333333333333331</v>
      </c>
      <c r="K2319" s="162" t="s">
        <v>749</v>
      </c>
      <c r="L2319" s="166"/>
      <c r="M2319" s="166"/>
      <c r="N2319" s="164"/>
      <c r="O2319" s="166"/>
      <c r="P2319" s="165"/>
    </row>
    <row r="2320" spans="1:16" ht="15" hidden="1" customHeight="1" x14ac:dyDescent="0.25">
      <c r="A2320" s="168"/>
      <c r="B2320" s="167"/>
      <c r="C2320" s="168"/>
      <c r="D2320" s="167"/>
      <c r="E2320" s="167"/>
      <c r="F2320" s="167"/>
      <c r="G2320" s="167"/>
      <c r="H2320" s="167"/>
      <c r="I2320" s="164">
        <f t="shared" ca="1" si="36"/>
        <v>44939</v>
      </c>
      <c r="J2320" s="163">
        <v>0.33333333333333331</v>
      </c>
      <c r="K2320" s="162" t="s">
        <v>749</v>
      </c>
      <c r="L2320" s="166"/>
      <c r="M2320" s="166"/>
      <c r="N2320" s="164"/>
      <c r="O2320" s="166"/>
      <c r="P2320" s="165"/>
    </row>
    <row r="2321" spans="1:16" ht="15" hidden="1" customHeight="1" x14ac:dyDescent="0.25">
      <c r="A2321" s="168"/>
      <c r="B2321" s="167"/>
      <c r="C2321" s="168"/>
      <c r="D2321" s="167"/>
      <c r="E2321" s="167"/>
      <c r="F2321" s="167"/>
      <c r="G2321" s="167"/>
      <c r="H2321" s="167"/>
      <c r="I2321" s="164">
        <f t="shared" ca="1" si="36"/>
        <v>44939</v>
      </c>
      <c r="J2321" s="163">
        <v>0.33333333333333331</v>
      </c>
      <c r="K2321" s="162" t="s">
        <v>749</v>
      </c>
      <c r="L2321" s="166"/>
      <c r="M2321" s="166"/>
      <c r="N2321" s="164"/>
      <c r="O2321" s="166"/>
      <c r="P2321" s="165"/>
    </row>
    <row r="2322" spans="1:16" ht="15" hidden="1" customHeight="1" x14ac:dyDescent="0.25">
      <c r="A2322" s="168"/>
      <c r="B2322" s="167"/>
      <c r="C2322" s="168"/>
      <c r="D2322" s="167"/>
      <c r="E2322" s="167"/>
      <c r="F2322" s="167"/>
      <c r="G2322" s="167"/>
      <c r="H2322" s="167"/>
      <c r="I2322" s="164">
        <f t="shared" ca="1" si="36"/>
        <v>44939</v>
      </c>
      <c r="J2322" s="163">
        <v>0.33333333333333331</v>
      </c>
      <c r="K2322" s="162" t="s">
        <v>749</v>
      </c>
      <c r="L2322" s="166"/>
      <c r="M2322" s="166"/>
      <c r="N2322" s="164"/>
      <c r="O2322" s="166"/>
      <c r="P2322" s="165"/>
    </row>
    <row r="2323" spans="1:16" ht="15" hidden="1" customHeight="1" x14ac:dyDescent="0.25">
      <c r="A2323" s="168"/>
      <c r="B2323" s="167"/>
      <c r="C2323" s="168"/>
      <c r="D2323" s="167"/>
      <c r="E2323" s="167"/>
      <c r="F2323" s="167"/>
      <c r="G2323" s="167"/>
      <c r="H2323" s="167"/>
      <c r="I2323" s="164">
        <f t="shared" ca="1" si="36"/>
        <v>44939</v>
      </c>
      <c r="J2323" s="163">
        <v>0.33333333333333331</v>
      </c>
      <c r="K2323" s="162" t="s">
        <v>749</v>
      </c>
      <c r="L2323" s="166"/>
      <c r="M2323" s="166"/>
      <c r="N2323" s="164"/>
      <c r="O2323" s="166"/>
      <c r="P2323" s="165"/>
    </row>
    <row r="2324" spans="1:16" ht="15" hidden="1" customHeight="1" x14ac:dyDescent="0.25">
      <c r="A2324" s="168"/>
      <c r="B2324" s="167"/>
      <c r="C2324" s="168"/>
      <c r="D2324" s="167"/>
      <c r="E2324" s="167"/>
      <c r="F2324" s="167"/>
      <c r="G2324" s="167"/>
      <c r="H2324" s="167"/>
      <c r="I2324" s="164">
        <f t="shared" ca="1" si="36"/>
        <v>44939</v>
      </c>
      <c r="J2324" s="163">
        <v>0.33333333333333331</v>
      </c>
      <c r="K2324" s="162" t="s">
        <v>749</v>
      </c>
      <c r="L2324" s="166"/>
      <c r="M2324" s="166"/>
      <c r="N2324" s="164"/>
      <c r="O2324" s="166"/>
      <c r="P2324" s="165"/>
    </row>
    <row r="2325" spans="1:16" ht="15" hidden="1" customHeight="1" x14ac:dyDescent="0.25">
      <c r="A2325" s="168"/>
      <c r="B2325" s="167"/>
      <c r="C2325" s="168"/>
      <c r="D2325" s="167"/>
      <c r="E2325" s="167"/>
      <c r="F2325" s="167"/>
      <c r="G2325" s="167"/>
      <c r="H2325" s="167"/>
      <c r="I2325" s="164">
        <f t="shared" ca="1" si="36"/>
        <v>44939</v>
      </c>
      <c r="J2325" s="163">
        <v>0.33333333333333331</v>
      </c>
      <c r="K2325" s="162" t="s">
        <v>749</v>
      </c>
      <c r="L2325" s="166"/>
      <c r="M2325" s="166"/>
      <c r="N2325" s="164"/>
      <c r="O2325" s="166"/>
      <c r="P2325" s="165"/>
    </row>
    <row r="2326" spans="1:16" ht="15" hidden="1" customHeight="1" x14ac:dyDescent="0.25">
      <c r="A2326" s="168"/>
      <c r="B2326" s="167"/>
      <c r="C2326" s="168"/>
      <c r="D2326" s="167"/>
      <c r="E2326" s="167"/>
      <c r="F2326" s="167"/>
      <c r="G2326" s="167"/>
      <c r="H2326" s="167"/>
      <c r="I2326" s="164">
        <f t="shared" ca="1" si="36"/>
        <v>44939</v>
      </c>
      <c r="J2326" s="163">
        <v>0.33333333333333331</v>
      </c>
      <c r="K2326" s="162" t="s">
        <v>749</v>
      </c>
      <c r="L2326" s="166"/>
      <c r="M2326" s="166"/>
      <c r="N2326" s="164"/>
      <c r="O2326" s="166"/>
      <c r="P2326" s="165"/>
    </row>
    <row r="2327" spans="1:16" ht="15" hidden="1" customHeight="1" x14ac:dyDescent="0.25">
      <c r="A2327" s="168"/>
      <c r="B2327" s="167"/>
      <c r="C2327" s="168"/>
      <c r="D2327" s="167"/>
      <c r="E2327" s="167"/>
      <c r="F2327" s="167"/>
      <c r="G2327" s="167"/>
      <c r="H2327" s="167"/>
      <c r="I2327" s="164">
        <f t="shared" ca="1" si="36"/>
        <v>44939</v>
      </c>
      <c r="J2327" s="163">
        <v>0.33333333333333331</v>
      </c>
      <c r="K2327" s="162" t="s">
        <v>749</v>
      </c>
      <c r="L2327" s="166"/>
      <c r="M2327" s="166"/>
      <c r="N2327" s="164"/>
      <c r="O2327" s="166"/>
      <c r="P2327" s="165"/>
    </row>
    <row r="2328" spans="1:16" ht="15" hidden="1" customHeight="1" x14ac:dyDescent="0.25">
      <c r="A2328" s="168"/>
      <c r="B2328" s="167"/>
      <c r="C2328" s="168"/>
      <c r="D2328" s="167"/>
      <c r="E2328" s="167"/>
      <c r="F2328" s="167"/>
      <c r="G2328" s="167"/>
      <c r="H2328" s="167"/>
      <c r="I2328" s="164">
        <f t="shared" ref="I2328:I2391" ca="1" si="37">TODAY()</f>
        <v>44939</v>
      </c>
      <c r="J2328" s="163">
        <v>0.33333333333333331</v>
      </c>
      <c r="K2328" s="162" t="s">
        <v>749</v>
      </c>
      <c r="L2328" s="166"/>
      <c r="M2328" s="166"/>
      <c r="N2328" s="164"/>
      <c r="O2328" s="166"/>
      <c r="P2328" s="165"/>
    </row>
    <row r="2329" spans="1:16" ht="15" hidden="1" customHeight="1" x14ac:dyDescent="0.25">
      <c r="A2329" s="168"/>
      <c r="B2329" s="167"/>
      <c r="C2329" s="168"/>
      <c r="D2329" s="167"/>
      <c r="E2329" s="167"/>
      <c r="F2329" s="167"/>
      <c r="G2329" s="167"/>
      <c r="H2329" s="167"/>
      <c r="I2329" s="164">
        <f t="shared" ca="1" si="37"/>
        <v>44939</v>
      </c>
      <c r="J2329" s="163">
        <v>0.33333333333333331</v>
      </c>
      <c r="K2329" s="162" t="s">
        <v>749</v>
      </c>
      <c r="L2329" s="166"/>
      <c r="M2329" s="166"/>
      <c r="N2329" s="164"/>
      <c r="O2329" s="166"/>
      <c r="P2329" s="165"/>
    </row>
    <row r="2330" spans="1:16" ht="15" hidden="1" customHeight="1" x14ac:dyDescent="0.25">
      <c r="A2330" s="168"/>
      <c r="B2330" s="167"/>
      <c r="C2330" s="168"/>
      <c r="D2330" s="167"/>
      <c r="E2330" s="167"/>
      <c r="F2330" s="167"/>
      <c r="G2330" s="167"/>
      <c r="H2330" s="167"/>
      <c r="I2330" s="164">
        <f t="shared" ca="1" si="37"/>
        <v>44939</v>
      </c>
      <c r="J2330" s="163">
        <v>0.33333333333333331</v>
      </c>
      <c r="K2330" s="162" t="s">
        <v>749</v>
      </c>
      <c r="L2330" s="166"/>
      <c r="M2330" s="166"/>
      <c r="N2330" s="164"/>
      <c r="O2330" s="166"/>
      <c r="P2330" s="165"/>
    </row>
    <row r="2331" spans="1:16" ht="15" hidden="1" customHeight="1" x14ac:dyDescent="0.25">
      <c r="A2331" s="168"/>
      <c r="B2331" s="167"/>
      <c r="C2331" s="168"/>
      <c r="D2331" s="167"/>
      <c r="E2331" s="167"/>
      <c r="F2331" s="167"/>
      <c r="G2331" s="167"/>
      <c r="H2331" s="167"/>
      <c r="I2331" s="164">
        <f t="shared" ca="1" si="37"/>
        <v>44939</v>
      </c>
      <c r="J2331" s="163">
        <v>0.33333333333333331</v>
      </c>
      <c r="K2331" s="162" t="s">
        <v>749</v>
      </c>
      <c r="L2331" s="166"/>
      <c r="M2331" s="166"/>
      <c r="N2331" s="164"/>
      <c r="O2331" s="166"/>
      <c r="P2331" s="165"/>
    </row>
    <row r="2332" spans="1:16" ht="15" hidden="1" customHeight="1" x14ac:dyDescent="0.25">
      <c r="A2332" s="168"/>
      <c r="B2332" s="167"/>
      <c r="C2332" s="168"/>
      <c r="D2332" s="167"/>
      <c r="E2332" s="167"/>
      <c r="F2332" s="167"/>
      <c r="G2332" s="167"/>
      <c r="H2332" s="167"/>
      <c r="I2332" s="164">
        <f t="shared" ca="1" si="37"/>
        <v>44939</v>
      </c>
      <c r="J2332" s="163">
        <v>0.33333333333333331</v>
      </c>
      <c r="K2332" s="162" t="s">
        <v>749</v>
      </c>
      <c r="L2332" s="166"/>
      <c r="M2332" s="166"/>
      <c r="N2332" s="164"/>
      <c r="O2332" s="166"/>
      <c r="P2332" s="165"/>
    </row>
    <row r="2333" spans="1:16" ht="15" hidden="1" customHeight="1" x14ac:dyDescent="0.25">
      <c r="A2333" s="168"/>
      <c r="B2333" s="167"/>
      <c r="C2333" s="168"/>
      <c r="D2333" s="167"/>
      <c r="E2333" s="167"/>
      <c r="F2333" s="167"/>
      <c r="G2333" s="167"/>
      <c r="H2333" s="167"/>
      <c r="I2333" s="164">
        <f t="shared" ca="1" si="37"/>
        <v>44939</v>
      </c>
      <c r="J2333" s="163">
        <v>0.33333333333333331</v>
      </c>
      <c r="K2333" s="162" t="s">
        <v>749</v>
      </c>
      <c r="L2333" s="166"/>
      <c r="M2333" s="166"/>
      <c r="N2333" s="164"/>
      <c r="O2333" s="166"/>
      <c r="P2333" s="165"/>
    </row>
    <row r="2334" spans="1:16" ht="15" hidden="1" customHeight="1" x14ac:dyDescent="0.25">
      <c r="A2334" s="168"/>
      <c r="B2334" s="167"/>
      <c r="C2334" s="168"/>
      <c r="D2334" s="167"/>
      <c r="E2334" s="167"/>
      <c r="F2334" s="167"/>
      <c r="G2334" s="167"/>
      <c r="H2334" s="167"/>
      <c r="I2334" s="164">
        <f t="shared" ca="1" si="37"/>
        <v>44939</v>
      </c>
      <c r="J2334" s="163">
        <v>0.33333333333333331</v>
      </c>
      <c r="K2334" s="162" t="s">
        <v>749</v>
      </c>
      <c r="L2334" s="166"/>
      <c r="M2334" s="166"/>
      <c r="N2334" s="164"/>
      <c r="O2334" s="166"/>
      <c r="P2334" s="165"/>
    </row>
    <row r="2335" spans="1:16" ht="15" hidden="1" customHeight="1" x14ac:dyDescent="0.25">
      <c r="A2335" s="168"/>
      <c r="B2335" s="167"/>
      <c r="C2335" s="168"/>
      <c r="D2335" s="167"/>
      <c r="E2335" s="167"/>
      <c r="F2335" s="167"/>
      <c r="G2335" s="167"/>
      <c r="H2335" s="167"/>
      <c r="I2335" s="164">
        <f t="shared" ca="1" si="37"/>
        <v>44939</v>
      </c>
      <c r="J2335" s="163">
        <v>0.33333333333333331</v>
      </c>
      <c r="K2335" s="162" t="s">
        <v>749</v>
      </c>
      <c r="L2335" s="166"/>
      <c r="M2335" s="166"/>
      <c r="N2335" s="164"/>
      <c r="O2335" s="166"/>
      <c r="P2335" s="165"/>
    </row>
    <row r="2336" spans="1:16" ht="15" hidden="1" customHeight="1" x14ac:dyDescent="0.25">
      <c r="A2336" s="168"/>
      <c r="B2336" s="167"/>
      <c r="C2336" s="168"/>
      <c r="D2336" s="167"/>
      <c r="E2336" s="167"/>
      <c r="F2336" s="167"/>
      <c r="G2336" s="167"/>
      <c r="H2336" s="167"/>
      <c r="I2336" s="164">
        <f t="shared" ca="1" si="37"/>
        <v>44939</v>
      </c>
      <c r="J2336" s="163">
        <v>0.33333333333333331</v>
      </c>
      <c r="K2336" s="162" t="s">
        <v>749</v>
      </c>
      <c r="L2336" s="166"/>
      <c r="M2336" s="166"/>
      <c r="N2336" s="164"/>
      <c r="O2336" s="166"/>
      <c r="P2336" s="165"/>
    </row>
    <row r="2337" spans="1:16" ht="15" hidden="1" customHeight="1" x14ac:dyDescent="0.25">
      <c r="A2337" s="168"/>
      <c r="B2337" s="167"/>
      <c r="C2337" s="168"/>
      <c r="D2337" s="167"/>
      <c r="E2337" s="167"/>
      <c r="F2337" s="167"/>
      <c r="G2337" s="167"/>
      <c r="H2337" s="167"/>
      <c r="I2337" s="164">
        <f t="shared" ca="1" si="37"/>
        <v>44939</v>
      </c>
      <c r="J2337" s="163">
        <v>0.33333333333333331</v>
      </c>
      <c r="K2337" s="162" t="s">
        <v>749</v>
      </c>
      <c r="L2337" s="166"/>
      <c r="M2337" s="166"/>
      <c r="N2337" s="164"/>
      <c r="O2337" s="166"/>
      <c r="P2337" s="165"/>
    </row>
    <row r="2338" spans="1:16" ht="15" hidden="1" customHeight="1" x14ac:dyDescent="0.25">
      <c r="A2338" s="168"/>
      <c r="B2338" s="167"/>
      <c r="C2338" s="168"/>
      <c r="D2338" s="167"/>
      <c r="E2338" s="167"/>
      <c r="F2338" s="167"/>
      <c r="G2338" s="167"/>
      <c r="H2338" s="167"/>
      <c r="I2338" s="164">
        <f t="shared" ca="1" si="37"/>
        <v>44939</v>
      </c>
      <c r="J2338" s="163">
        <v>0.33333333333333331</v>
      </c>
      <c r="K2338" s="162" t="s">
        <v>749</v>
      </c>
      <c r="L2338" s="166"/>
      <c r="M2338" s="166"/>
      <c r="N2338" s="164"/>
      <c r="O2338" s="166"/>
      <c r="P2338" s="165"/>
    </row>
    <row r="2339" spans="1:16" ht="15" hidden="1" customHeight="1" x14ac:dyDescent="0.25">
      <c r="A2339" s="168"/>
      <c r="B2339" s="167"/>
      <c r="C2339" s="168"/>
      <c r="D2339" s="167"/>
      <c r="E2339" s="167"/>
      <c r="F2339" s="167"/>
      <c r="G2339" s="167"/>
      <c r="H2339" s="167"/>
      <c r="I2339" s="164">
        <f t="shared" ca="1" si="37"/>
        <v>44939</v>
      </c>
      <c r="J2339" s="163">
        <v>0.33333333333333331</v>
      </c>
      <c r="K2339" s="162" t="s">
        <v>749</v>
      </c>
      <c r="L2339" s="166"/>
      <c r="M2339" s="166"/>
      <c r="N2339" s="164"/>
      <c r="O2339" s="166"/>
      <c r="P2339" s="165"/>
    </row>
    <row r="2340" spans="1:16" ht="15" hidden="1" customHeight="1" x14ac:dyDescent="0.25">
      <c r="A2340" s="168"/>
      <c r="B2340" s="167"/>
      <c r="C2340" s="168"/>
      <c r="D2340" s="167"/>
      <c r="E2340" s="167"/>
      <c r="F2340" s="167"/>
      <c r="G2340" s="167"/>
      <c r="H2340" s="167"/>
      <c r="I2340" s="164">
        <f t="shared" ca="1" si="37"/>
        <v>44939</v>
      </c>
      <c r="J2340" s="163">
        <v>0.33333333333333331</v>
      </c>
      <c r="K2340" s="162" t="s">
        <v>749</v>
      </c>
      <c r="L2340" s="166"/>
      <c r="M2340" s="166"/>
      <c r="N2340" s="164"/>
      <c r="O2340" s="166"/>
      <c r="P2340" s="165"/>
    </row>
    <row r="2341" spans="1:16" ht="15" hidden="1" customHeight="1" x14ac:dyDescent="0.25">
      <c r="A2341" s="168"/>
      <c r="B2341" s="167"/>
      <c r="C2341" s="168"/>
      <c r="D2341" s="167"/>
      <c r="E2341" s="167"/>
      <c r="F2341" s="167"/>
      <c r="G2341" s="167"/>
      <c r="H2341" s="167"/>
      <c r="I2341" s="164">
        <f t="shared" ca="1" si="37"/>
        <v>44939</v>
      </c>
      <c r="J2341" s="163">
        <v>0.33333333333333331</v>
      </c>
      <c r="K2341" s="162" t="s">
        <v>749</v>
      </c>
      <c r="L2341" s="166"/>
      <c r="M2341" s="166"/>
      <c r="N2341" s="164"/>
      <c r="O2341" s="166"/>
      <c r="P2341" s="165"/>
    </row>
    <row r="2342" spans="1:16" ht="15" hidden="1" customHeight="1" x14ac:dyDescent="0.25">
      <c r="A2342" s="168"/>
      <c r="B2342" s="167"/>
      <c r="C2342" s="168"/>
      <c r="D2342" s="167"/>
      <c r="E2342" s="167"/>
      <c r="F2342" s="167"/>
      <c r="G2342" s="167"/>
      <c r="H2342" s="167"/>
      <c r="I2342" s="164">
        <f t="shared" ca="1" si="37"/>
        <v>44939</v>
      </c>
      <c r="J2342" s="163">
        <v>0.33333333333333331</v>
      </c>
      <c r="K2342" s="162" t="s">
        <v>749</v>
      </c>
      <c r="L2342" s="166"/>
      <c r="M2342" s="166"/>
      <c r="N2342" s="164"/>
      <c r="O2342" s="166"/>
      <c r="P2342" s="165"/>
    </row>
    <row r="2343" spans="1:16" ht="15" hidden="1" customHeight="1" x14ac:dyDescent="0.25">
      <c r="A2343" s="168"/>
      <c r="B2343" s="167"/>
      <c r="C2343" s="168"/>
      <c r="D2343" s="167"/>
      <c r="E2343" s="167"/>
      <c r="F2343" s="167"/>
      <c r="G2343" s="167"/>
      <c r="H2343" s="167"/>
      <c r="I2343" s="164">
        <f t="shared" ca="1" si="37"/>
        <v>44939</v>
      </c>
      <c r="J2343" s="163">
        <v>0.33333333333333331</v>
      </c>
      <c r="K2343" s="162" t="s">
        <v>749</v>
      </c>
      <c r="L2343" s="166"/>
      <c r="M2343" s="166"/>
      <c r="N2343" s="164"/>
      <c r="O2343" s="166"/>
      <c r="P2343" s="165"/>
    </row>
    <row r="2344" spans="1:16" ht="15" hidden="1" customHeight="1" x14ac:dyDescent="0.25">
      <c r="A2344" s="168"/>
      <c r="B2344" s="167"/>
      <c r="C2344" s="168"/>
      <c r="D2344" s="167"/>
      <c r="E2344" s="167"/>
      <c r="F2344" s="167"/>
      <c r="G2344" s="167"/>
      <c r="H2344" s="167"/>
      <c r="I2344" s="164">
        <f t="shared" ca="1" si="37"/>
        <v>44939</v>
      </c>
      <c r="J2344" s="163">
        <v>0.33333333333333331</v>
      </c>
      <c r="K2344" s="162" t="s">
        <v>749</v>
      </c>
      <c r="L2344" s="166"/>
      <c r="M2344" s="166"/>
      <c r="N2344" s="164"/>
      <c r="O2344" s="166"/>
      <c r="P2344" s="165"/>
    </row>
    <row r="2345" spans="1:16" ht="15" hidden="1" customHeight="1" x14ac:dyDescent="0.25">
      <c r="A2345" s="168"/>
      <c r="B2345" s="167"/>
      <c r="C2345" s="168"/>
      <c r="D2345" s="167"/>
      <c r="E2345" s="167"/>
      <c r="F2345" s="167"/>
      <c r="G2345" s="167"/>
      <c r="H2345" s="167"/>
      <c r="I2345" s="164">
        <f t="shared" ca="1" si="37"/>
        <v>44939</v>
      </c>
      <c r="J2345" s="163">
        <v>0.33333333333333331</v>
      </c>
      <c r="K2345" s="162" t="s">
        <v>749</v>
      </c>
      <c r="L2345" s="166"/>
      <c r="M2345" s="166"/>
      <c r="N2345" s="164"/>
      <c r="O2345" s="166"/>
      <c r="P2345" s="165"/>
    </row>
    <row r="2346" spans="1:16" ht="15" hidden="1" customHeight="1" x14ac:dyDescent="0.25">
      <c r="A2346" s="168"/>
      <c r="B2346" s="167"/>
      <c r="C2346" s="168"/>
      <c r="D2346" s="167"/>
      <c r="E2346" s="167"/>
      <c r="F2346" s="167"/>
      <c r="G2346" s="167"/>
      <c r="H2346" s="167"/>
      <c r="I2346" s="164">
        <f t="shared" ca="1" si="37"/>
        <v>44939</v>
      </c>
      <c r="J2346" s="163">
        <v>0.33333333333333331</v>
      </c>
      <c r="K2346" s="162" t="s">
        <v>749</v>
      </c>
      <c r="L2346" s="166"/>
      <c r="M2346" s="166"/>
      <c r="N2346" s="164"/>
      <c r="O2346" s="166"/>
      <c r="P2346" s="165"/>
    </row>
    <row r="2347" spans="1:16" ht="15" hidden="1" customHeight="1" x14ac:dyDescent="0.25">
      <c r="A2347" s="168"/>
      <c r="B2347" s="167"/>
      <c r="C2347" s="168"/>
      <c r="D2347" s="167"/>
      <c r="E2347" s="167"/>
      <c r="F2347" s="167"/>
      <c r="G2347" s="167"/>
      <c r="H2347" s="167"/>
      <c r="I2347" s="164">
        <f t="shared" ca="1" si="37"/>
        <v>44939</v>
      </c>
      <c r="J2347" s="163">
        <v>0.33333333333333331</v>
      </c>
      <c r="K2347" s="162" t="s">
        <v>749</v>
      </c>
      <c r="L2347" s="166"/>
      <c r="M2347" s="166"/>
      <c r="N2347" s="164"/>
      <c r="O2347" s="166"/>
      <c r="P2347" s="165"/>
    </row>
    <row r="2348" spans="1:16" ht="15" hidden="1" customHeight="1" x14ac:dyDescent="0.25">
      <c r="A2348" s="168"/>
      <c r="B2348" s="167"/>
      <c r="C2348" s="168"/>
      <c r="D2348" s="167"/>
      <c r="E2348" s="167"/>
      <c r="F2348" s="167"/>
      <c r="G2348" s="167"/>
      <c r="H2348" s="167"/>
      <c r="I2348" s="164">
        <f t="shared" ca="1" si="37"/>
        <v>44939</v>
      </c>
      <c r="J2348" s="163">
        <v>0.33333333333333331</v>
      </c>
      <c r="K2348" s="162" t="s">
        <v>749</v>
      </c>
      <c r="L2348" s="166"/>
      <c r="M2348" s="166"/>
      <c r="N2348" s="164"/>
      <c r="O2348" s="166"/>
      <c r="P2348" s="165"/>
    </row>
    <row r="2349" spans="1:16" ht="15" hidden="1" customHeight="1" x14ac:dyDescent="0.25">
      <c r="A2349" s="168"/>
      <c r="B2349" s="167"/>
      <c r="C2349" s="168"/>
      <c r="D2349" s="167"/>
      <c r="E2349" s="167"/>
      <c r="F2349" s="167"/>
      <c r="G2349" s="167"/>
      <c r="H2349" s="167"/>
      <c r="I2349" s="164">
        <f t="shared" ca="1" si="37"/>
        <v>44939</v>
      </c>
      <c r="J2349" s="163">
        <v>0.33333333333333331</v>
      </c>
      <c r="K2349" s="162" t="s">
        <v>749</v>
      </c>
      <c r="L2349" s="166"/>
      <c r="M2349" s="166"/>
      <c r="N2349" s="164"/>
      <c r="O2349" s="166"/>
      <c r="P2349" s="165"/>
    </row>
    <row r="2350" spans="1:16" ht="15" hidden="1" customHeight="1" x14ac:dyDescent="0.25">
      <c r="A2350" s="168"/>
      <c r="B2350" s="167"/>
      <c r="C2350" s="168"/>
      <c r="D2350" s="167"/>
      <c r="E2350" s="167"/>
      <c r="F2350" s="167"/>
      <c r="G2350" s="167"/>
      <c r="H2350" s="167"/>
      <c r="I2350" s="164">
        <f t="shared" ca="1" si="37"/>
        <v>44939</v>
      </c>
      <c r="J2350" s="163">
        <v>0.33333333333333331</v>
      </c>
      <c r="K2350" s="162" t="s">
        <v>749</v>
      </c>
      <c r="L2350" s="166"/>
      <c r="M2350" s="166"/>
      <c r="N2350" s="164"/>
      <c r="O2350" s="166"/>
      <c r="P2350" s="165"/>
    </row>
    <row r="2351" spans="1:16" ht="15" hidden="1" customHeight="1" x14ac:dyDescent="0.25">
      <c r="A2351" s="168"/>
      <c r="B2351" s="167"/>
      <c r="C2351" s="168"/>
      <c r="D2351" s="167"/>
      <c r="E2351" s="167"/>
      <c r="F2351" s="167"/>
      <c r="G2351" s="167"/>
      <c r="H2351" s="167"/>
      <c r="I2351" s="164">
        <f t="shared" ca="1" si="37"/>
        <v>44939</v>
      </c>
      <c r="J2351" s="163">
        <v>0.33333333333333331</v>
      </c>
      <c r="K2351" s="162" t="s">
        <v>749</v>
      </c>
      <c r="L2351" s="166"/>
      <c r="M2351" s="166"/>
      <c r="N2351" s="164"/>
      <c r="O2351" s="166"/>
      <c r="P2351" s="165"/>
    </row>
    <row r="2352" spans="1:16" ht="15" hidden="1" customHeight="1" x14ac:dyDescent="0.25">
      <c r="A2352" s="168"/>
      <c r="B2352" s="167"/>
      <c r="C2352" s="168"/>
      <c r="D2352" s="167"/>
      <c r="E2352" s="167"/>
      <c r="F2352" s="167"/>
      <c r="G2352" s="167"/>
      <c r="H2352" s="167"/>
      <c r="I2352" s="164">
        <f t="shared" ca="1" si="37"/>
        <v>44939</v>
      </c>
      <c r="J2352" s="163">
        <v>0.33333333333333331</v>
      </c>
      <c r="K2352" s="162" t="s">
        <v>749</v>
      </c>
      <c r="L2352" s="166"/>
      <c r="M2352" s="166"/>
      <c r="N2352" s="164"/>
      <c r="O2352" s="166"/>
      <c r="P2352" s="165"/>
    </row>
    <row r="2353" spans="1:16" ht="15" hidden="1" customHeight="1" x14ac:dyDescent="0.25">
      <c r="A2353" s="168"/>
      <c r="B2353" s="167"/>
      <c r="C2353" s="168"/>
      <c r="D2353" s="167"/>
      <c r="E2353" s="167"/>
      <c r="F2353" s="167"/>
      <c r="G2353" s="167"/>
      <c r="H2353" s="167"/>
      <c r="I2353" s="164">
        <f t="shared" ca="1" si="37"/>
        <v>44939</v>
      </c>
      <c r="J2353" s="163">
        <v>0.33333333333333331</v>
      </c>
      <c r="K2353" s="162" t="s">
        <v>749</v>
      </c>
      <c r="L2353" s="166"/>
      <c r="M2353" s="166"/>
      <c r="N2353" s="164"/>
      <c r="O2353" s="166"/>
      <c r="P2353" s="165"/>
    </row>
    <row r="2354" spans="1:16" ht="15" hidden="1" customHeight="1" x14ac:dyDescent="0.25">
      <c r="A2354" s="168"/>
      <c r="B2354" s="167"/>
      <c r="C2354" s="168"/>
      <c r="D2354" s="167"/>
      <c r="E2354" s="167"/>
      <c r="F2354" s="167"/>
      <c r="G2354" s="167"/>
      <c r="H2354" s="167"/>
      <c r="I2354" s="164">
        <f t="shared" ca="1" si="37"/>
        <v>44939</v>
      </c>
      <c r="J2354" s="163">
        <v>0.33333333333333331</v>
      </c>
      <c r="K2354" s="162" t="s">
        <v>749</v>
      </c>
      <c r="L2354" s="166"/>
      <c r="M2354" s="166"/>
      <c r="N2354" s="164"/>
      <c r="O2354" s="166"/>
      <c r="P2354" s="165"/>
    </row>
    <row r="2355" spans="1:16" ht="15" hidden="1" customHeight="1" x14ac:dyDescent="0.25">
      <c r="A2355" s="168"/>
      <c r="B2355" s="167"/>
      <c r="C2355" s="168"/>
      <c r="D2355" s="167"/>
      <c r="E2355" s="167"/>
      <c r="F2355" s="167"/>
      <c r="G2355" s="167"/>
      <c r="H2355" s="167"/>
      <c r="I2355" s="164">
        <f t="shared" ca="1" si="37"/>
        <v>44939</v>
      </c>
      <c r="J2355" s="163">
        <v>0.33333333333333331</v>
      </c>
      <c r="K2355" s="162" t="s">
        <v>749</v>
      </c>
      <c r="L2355" s="166"/>
      <c r="M2355" s="166"/>
      <c r="N2355" s="164"/>
      <c r="O2355" s="166"/>
      <c r="P2355" s="165"/>
    </row>
    <row r="2356" spans="1:16" ht="15" hidden="1" customHeight="1" x14ac:dyDescent="0.25">
      <c r="A2356" s="168"/>
      <c r="B2356" s="167"/>
      <c r="C2356" s="168"/>
      <c r="D2356" s="167"/>
      <c r="E2356" s="167"/>
      <c r="F2356" s="167"/>
      <c r="G2356" s="167"/>
      <c r="H2356" s="167"/>
      <c r="I2356" s="164">
        <f t="shared" ca="1" si="37"/>
        <v>44939</v>
      </c>
      <c r="J2356" s="163">
        <v>0.33333333333333331</v>
      </c>
      <c r="K2356" s="162" t="s">
        <v>749</v>
      </c>
      <c r="L2356" s="166"/>
      <c r="M2356" s="166"/>
      <c r="N2356" s="164"/>
      <c r="O2356" s="166"/>
      <c r="P2356" s="165"/>
    </row>
    <row r="2357" spans="1:16" ht="15" hidden="1" customHeight="1" x14ac:dyDescent="0.25">
      <c r="A2357" s="168"/>
      <c r="B2357" s="167"/>
      <c r="C2357" s="168"/>
      <c r="D2357" s="167"/>
      <c r="E2357" s="167"/>
      <c r="F2357" s="167"/>
      <c r="G2357" s="167"/>
      <c r="H2357" s="167"/>
      <c r="I2357" s="164">
        <f t="shared" ca="1" si="37"/>
        <v>44939</v>
      </c>
      <c r="J2357" s="163">
        <v>0.33333333333333331</v>
      </c>
      <c r="K2357" s="162" t="s">
        <v>749</v>
      </c>
      <c r="L2357" s="166"/>
      <c r="M2357" s="166"/>
      <c r="N2357" s="164"/>
      <c r="O2357" s="166"/>
      <c r="P2357" s="165"/>
    </row>
    <row r="2358" spans="1:16" ht="15" hidden="1" customHeight="1" x14ac:dyDescent="0.25">
      <c r="A2358" s="168"/>
      <c r="B2358" s="167"/>
      <c r="C2358" s="168"/>
      <c r="D2358" s="167"/>
      <c r="E2358" s="167"/>
      <c r="F2358" s="167"/>
      <c r="G2358" s="167"/>
      <c r="H2358" s="167"/>
      <c r="I2358" s="164">
        <f t="shared" ca="1" si="37"/>
        <v>44939</v>
      </c>
      <c r="J2358" s="163">
        <v>0.33333333333333331</v>
      </c>
      <c r="K2358" s="162" t="s">
        <v>749</v>
      </c>
      <c r="L2358" s="166"/>
      <c r="M2358" s="166"/>
      <c r="N2358" s="164"/>
      <c r="O2358" s="166"/>
      <c r="P2358" s="165"/>
    </row>
    <row r="2359" spans="1:16" ht="15" hidden="1" customHeight="1" x14ac:dyDescent="0.25">
      <c r="A2359" s="168"/>
      <c r="B2359" s="167"/>
      <c r="C2359" s="168"/>
      <c r="D2359" s="167"/>
      <c r="E2359" s="167"/>
      <c r="F2359" s="167"/>
      <c r="G2359" s="167"/>
      <c r="H2359" s="167"/>
      <c r="I2359" s="164">
        <f t="shared" ca="1" si="37"/>
        <v>44939</v>
      </c>
      <c r="J2359" s="163">
        <v>0.33333333333333331</v>
      </c>
      <c r="K2359" s="162" t="s">
        <v>749</v>
      </c>
      <c r="L2359" s="166"/>
      <c r="M2359" s="166"/>
      <c r="N2359" s="164"/>
      <c r="O2359" s="166"/>
      <c r="P2359" s="165"/>
    </row>
    <row r="2360" spans="1:16" ht="15" hidden="1" customHeight="1" x14ac:dyDescent="0.25">
      <c r="A2360" s="168"/>
      <c r="B2360" s="167"/>
      <c r="C2360" s="168"/>
      <c r="D2360" s="167"/>
      <c r="E2360" s="167"/>
      <c r="F2360" s="167"/>
      <c r="G2360" s="167"/>
      <c r="H2360" s="167"/>
      <c r="I2360" s="164">
        <f t="shared" ca="1" si="37"/>
        <v>44939</v>
      </c>
      <c r="J2360" s="163">
        <v>0.33333333333333331</v>
      </c>
      <c r="K2360" s="162" t="s">
        <v>749</v>
      </c>
      <c r="L2360" s="166"/>
      <c r="M2360" s="166"/>
      <c r="N2360" s="164"/>
      <c r="O2360" s="166"/>
      <c r="P2360" s="165"/>
    </row>
    <row r="2361" spans="1:16" ht="15" hidden="1" customHeight="1" x14ac:dyDescent="0.25">
      <c r="A2361" s="168"/>
      <c r="B2361" s="167"/>
      <c r="C2361" s="168"/>
      <c r="D2361" s="167"/>
      <c r="E2361" s="167"/>
      <c r="F2361" s="167"/>
      <c r="G2361" s="167"/>
      <c r="H2361" s="167"/>
      <c r="I2361" s="164">
        <f t="shared" ca="1" si="37"/>
        <v>44939</v>
      </c>
      <c r="J2361" s="163">
        <v>0.33333333333333331</v>
      </c>
      <c r="K2361" s="162" t="s">
        <v>749</v>
      </c>
      <c r="L2361" s="166"/>
      <c r="M2361" s="166"/>
      <c r="N2361" s="164"/>
      <c r="O2361" s="166"/>
      <c r="P2361" s="165"/>
    </row>
    <row r="2362" spans="1:16" ht="15" hidden="1" customHeight="1" x14ac:dyDescent="0.25">
      <c r="A2362" s="168"/>
      <c r="B2362" s="167"/>
      <c r="C2362" s="168"/>
      <c r="D2362" s="167"/>
      <c r="E2362" s="167"/>
      <c r="F2362" s="167"/>
      <c r="G2362" s="167"/>
      <c r="H2362" s="167"/>
      <c r="I2362" s="164">
        <f t="shared" ca="1" si="37"/>
        <v>44939</v>
      </c>
      <c r="J2362" s="163">
        <v>0.33333333333333331</v>
      </c>
      <c r="K2362" s="162" t="s">
        <v>749</v>
      </c>
      <c r="L2362" s="166"/>
      <c r="M2362" s="166"/>
      <c r="N2362" s="164"/>
      <c r="O2362" s="166"/>
      <c r="P2362" s="165"/>
    </row>
    <row r="2363" spans="1:16" ht="15" hidden="1" customHeight="1" x14ac:dyDescent="0.25">
      <c r="A2363" s="168"/>
      <c r="B2363" s="167"/>
      <c r="C2363" s="168"/>
      <c r="D2363" s="167"/>
      <c r="E2363" s="167"/>
      <c r="F2363" s="167"/>
      <c r="G2363" s="167"/>
      <c r="H2363" s="167"/>
      <c r="I2363" s="164">
        <f t="shared" ca="1" si="37"/>
        <v>44939</v>
      </c>
      <c r="J2363" s="163">
        <v>0.33333333333333331</v>
      </c>
      <c r="K2363" s="162" t="s">
        <v>749</v>
      </c>
      <c r="L2363" s="166"/>
      <c r="M2363" s="166"/>
      <c r="N2363" s="164"/>
      <c r="O2363" s="166"/>
      <c r="P2363" s="165"/>
    </row>
    <row r="2364" spans="1:16" ht="15" hidden="1" customHeight="1" x14ac:dyDescent="0.25">
      <c r="A2364" s="168"/>
      <c r="B2364" s="167"/>
      <c r="C2364" s="168"/>
      <c r="D2364" s="167"/>
      <c r="E2364" s="167"/>
      <c r="F2364" s="167"/>
      <c r="G2364" s="167"/>
      <c r="H2364" s="167"/>
      <c r="I2364" s="164">
        <f t="shared" ca="1" si="37"/>
        <v>44939</v>
      </c>
      <c r="J2364" s="163">
        <v>0.33333333333333331</v>
      </c>
      <c r="K2364" s="162" t="s">
        <v>749</v>
      </c>
      <c r="L2364" s="166"/>
      <c r="M2364" s="166"/>
      <c r="N2364" s="164"/>
      <c r="O2364" s="166"/>
      <c r="P2364" s="165"/>
    </row>
    <row r="2365" spans="1:16" ht="15" hidden="1" customHeight="1" x14ac:dyDescent="0.25">
      <c r="A2365" s="168"/>
      <c r="B2365" s="167"/>
      <c r="C2365" s="168"/>
      <c r="D2365" s="167"/>
      <c r="E2365" s="167"/>
      <c r="F2365" s="167"/>
      <c r="G2365" s="167"/>
      <c r="H2365" s="167"/>
      <c r="I2365" s="164">
        <f t="shared" ca="1" si="37"/>
        <v>44939</v>
      </c>
      <c r="J2365" s="163">
        <v>0.33333333333333331</v>
      </c>
      <c r="K2365" s="162" t="s">
        <v>749</v>
      </c>
      <c r="L2365" s="166"/>
      <c r="M2365" s="166"/>
      <c r="N2365" s="164"/>
      <c r="O2365" s="166"/>
      <c r="P2365" s="165"/>
    </row>
    <row r="2366" spans="1:16" ht="15" hidden="1" customHeight="1" x14ac:dyDescent="0.25">
      <c r="A2366" s="168"/>
      <c r="B2366" s="167"/>
      <c r="C2366" s="168"/>
      <c r="D2366" s="167"/>
      <c r="E2366" s="167"/>
      <c r="F2366" s="167"/>
      <c r="G2366" s="167"/>
      <c r="H2366" s="167"/>
      <c r="I2366" s="164">
        <f t="shared" ca="1" si="37"/>
        <v>44939</v>
      </c>
      <c r="J2366" s="163">
        <v>0.33333333333333331</v>
      </c>
      <c r="K2366" s="162" t="s">
        <v>749</v>
      </c>
      <c r="L2366" s="166"/>
      <c r="M2366" s="166"/>
      <c r="N2366" s="164"/>
      <c r="O2366" s="166"/>
      <c r="P2366" s="165"/>
    </row>
    <row r="2367" spans="1:16" ht="15" hidden="1" customHeight="1" x14ac:dyDescent="0.25">
      <c r="A2367" s="168"/>
      <c r="B2367" s="167"/>
      <c r="C2367" s="168"/>
      <c r="D2367" s="167"/>
      <c r="E2367" s="167"/>
      <c r="F2367" s="167"/>
      <c r="G2367" s="167"/>
      <c r="H2367" s="167"/>
      <c r="I2367" s="164">
        <f t="shared" ca="1" si="37"/>
        <v>44939</v>
      </c>
      <c r="J2367" s="163">
        <v>0.33333333333333331</v>
      </c>
      <c r="K2367" s="162" t="s">
        <v>749</v>
      </c>
      <c r="L2367" s="166"/>
      <c r="M2367" s="166"/>
      <c r="N2367" s="164"/>
      <c r="O2367" s="166"/>
      <c r="P2367" s="165"/>
    </row>
    <row r="2368" spans="1:16" ht="15" hidden="1" customHeight="1" x14ac:dyDescent="0.25">
      <c r="A2368" s="168"/>
      <c r="B2368" s="167"/>
      <c r="C2368" s="168"/>
      <c r="D2368" s="167"/>
      <c r="E2368" s="167"/>
      <c r="F2368" s="167"/>
      <c r="G2368" s="167"/>
      <c r="H2368" s="167"/>
      <c r="I2368" s="164">
        <f t="shared" ca="1" si="37"/>
        <v>44939</v>
      </c>
      <c r="J2368" s="163">
        <v>0.33333333333333331</v>
      </c>
      <c r="K2368" s="162" t="s">
        <v>749</v>
      </c>
      <c r="L2368" s="166"/>
      <c r="M2368" s="166"/>
      <c r="N2368" s="164"/>
      <c r="O2368" s="166"/>
      <c r="P2368" s="165"/>
    </row>
    <row r="2369" spans="1:16" ht="15" hidden="1" customHeight="1" x14ac:dyDescent="0.25">
      <c r="A2369" s="168"/>
      <c r="B2369" s="167"/>
      <c r="C2369" s="168"/>
      <c r="D2369" s="167"/>
      <c r="E2369" s="167"/>
      <c r="F2369" s="167"/>
      <c r="G2369" s="167"/>
      <c r="H2369" s="167"/>
      <c r="I2369" s="164">
        <f t="shared" ca="1" si="37"/>
        <v>44939</v>
      </c>
      <c r="J2369" s="163">
        <v>0.33333333333333331</v>
      </c>
      <c r="K2369" s="162" t="s">
        <v>749</v>
      </c>
      <c r="L2369" s="166"/>
      <c r="M2369" s="166"/>
      <c r="N2369" s="164"/>
      <c r="O2369" s="166"/>
      <c r="P2369" s="165"/>
    </row>
    <row r="2370" spans="1:16" ht="15" hidden="1" customHeight="1" x14ac:dyDescent="0.25">
      <c r="A2370" s="168"/>
      <c r="B2370" s="167"/>
      <c r="C2370" s="168"/>
      <c r="D2370" s="167"/>
      <c r="E2370" s="167"/>
      <c r="F2370" s="167"/>
      <c r="G2370" s="167"/>
      <c r="H2370" s="167"/>
      <c r="I2370" s="164">
        <f t="shared" ca="1" si="37"/>
        <v>44939</v>
      </c>
      <c r="J2370" s="163">
        <v>0.33333333333333331</v>
      </c>
      <c r="K2370" s="162" t="s">
        <v>749</v>
      </c>
      <c r="L2370" s="166"/>
      <c r="M2370" s="166"/>
      <c r="N2370" s="164"/>
      <c r="O2370" s="166"/>
      <c r="P2370" s="165"/>
    </row>
    <row r="2371" spans="1:16" ht="15" hidden="1" customHeight="1" x14ac:dyDescent="0.25">
      <c r="A2371" s="168"/>
      <c r="B2371" s="167"/>
      <c r="C2371" s="168"/>
      <c r="D2371" s="167"/>
      <c r="E2371" s="167"/>
      <c r="F2371" s="167"/>
      <c r="G2371" s="167"/>
      <c r="H2371" s="167"/>
      <c r="I2371" s="164">
        <f t="shared" ca="1" si="37"/>
        <v>44939</v>
      </c>
      <c r="J2371" s="163">
        <v>0.33333333333333331</v>
      </c>
      <c r="K2371" s="162" t="s">
        <v>749</v>
      </c>
      <c r="L2371" s="166"/>
      <c r="M2371" s="166"/>
      <c r="N2371" s="164"/>
      <c r="O2371" s="166"/>
      <c r="P2371" s="165"/>
    </row>
    <row r="2372" spans="1:16" ht="15" hidden="1" customHeight="1" x14ac:dyDescent="0.25">
      <c r="A2372" s="168"/>
      <c r="B2372" s="167"/>
      <c r="C2372" s="168"/>
      <c r="D2372" s="167"/>
      <c r="E2372" s="167"/>
      <c r="F2372" s="167"/>
      <c r="G2372" s="167"/>
      <c r="H2372" s="167"/>
      <c r="I2372" s="164">
        <f t="shared" ca="1" si="37"/>
        <v>44939</v>
      </c>
      <c r="J2372" s="163">
        <v>0.33333333333333331</v>
      </c>
      <c r="K2372" s="162" t="s">
        <v>749</v>
      </c>
      <c r="L2372" s="166"/>
      <c r="M2372" s="166"/>
      <c r="N2372" s="164"/>
      <c r="O2372" s="166"/>
      <c r="P2372" s="165"/>
    </row>
    <row r="2373" spans="1:16" ht="15" hidden="1" customHeight="1" x14ac:dyDescent="0.25">
      <c r="A2373" s="168"/>
      <c r="B2373" s="167"/>
      <c r="C2373" s="168"/>
      <c r="D2373" s="167"/>
      <c r="E2373" s="167"/>
      <c r="F2373" s="167"/>
      <c r="G2373" s="167"/>
      <c r="H2373" s="167"/>
      <c r="I2373" s="164">
        <f t="shared" ca="1" si="37"/>
        <v>44939</v>
      </c>
      <c r="J2373" s="163">
        <v>0.33333333333333331</v>
      </c>
      <c r="K2373" s="162" t="s">
        <v>749</v>
      </c>
      <c r="L2373" s="166"/>
      <c r="M2373" s="166"/>
      <c r="N2373" s="164"/>
      <c r="O2373" s="166"/>
      <c r="P2373" s="165"/>
    </row>
    <row r="2374" spans="1:16" ht="15" hidden="1" customHeight="1" x14ac:dyDescent="0.25">
      <c r="A2374" s="168"/>
      <c r="B2374" s="167"/>
      <c r="C2374" s="168"/>
      <c r="D2374" s="167"/>
      <c r="E2374" s="167"/>
      <c r="F2374" s="167"/>
      <c r="G2374" s="167"/>
      <c r="H2374" s="167"/>
      <c r="I2374" s="164">
        <f t="shared" ca="1" si="37"/>
        <v>44939</v>
      </c>
      <c r="J2374" s="163">
        <v>0.33333333333333331</v>
      </c>
      <c r="K2374" s="162" t="s">
        <v>749</v>
      </c>
      <c r="L2374" s="166"/>
      <c r="M2374" s="166"/>
      <c r="N2374" s="164"/>
      <c r="O2374" s="166"/>
      <c r="P2374" s="165"/>
    </row>
    <row r="2375" spans="1:16" ht="15" hidden="1" customHeight="1" x14ac:dyDescent="0.25">
      <c r="A2375" s="168"/>
      <c r="B2375" s="167"/>
      <c r="C2375" s="168"/>
      <c r="D2375" s="167"/>
      <c r="E2375" s="167"/>
      <c r="F2375" s="167"/>
      <c r="G2375" s="167"/>
      <c r="H2375" s="167"/>
      <c r="I2375" s="164">
        <f t="shared" ca="1" si="37"/>
        <v>44939</v>
      </c>
      <c r="J2375" s="163">
        <v>0.33333333333333331</v>
      </c>
      <c r="K2375" s="162" t="s">
        <v>749</v>
      </c>
      <c r="L2375" s="166"/>
      <c r="M2375" s="166"/>
      <c r="N2375" s="164"/>
      <c r="O2375" s="166"/>
      <c r="P2375" s="165"/>
    </row>
    <row r="2376" spans="1:16" ht="15" hidden="1" customHeight="1" x14ac:dyDescent="0.25">
      <c r="A2376" s="168"/>
      <c r="B2376" s="167"/>
      <c r="C2376" s="168"/>
      <c r="D2376" s="167"/>
      <c r="E2376" s="167"/>
      <c r="F2376" s="167"/>
      <c r="G2376" s="167"/>
      <c r="H2376" s="167"/>
      <c r="I2376" s="164">
        <f t="shared" ca="1" si="37"/>
        <v>44939</v>
      </c>
      <c r="J2376" s="163">
        <v>0.33333333333333331</v>
      </c>
      <c r="K2376" s="162" t="s">
        <v>749</v>
      </c>
      <c r="L2376" s="166"/>
      <c r="M2376" s="166"/>
      <c r="N2376" s="164"/>
      <c r="O2376" s="166"/>
      <c r="P2376" s="165"/>
    </row>
    <row r="2377" spans="1:16" ht="15" hidden="1" customHeight="1" x14ac:dyDescent="0.25">
      <c r="A2377" s="168"/>
      <c r="B2377" s="167"/>
      <c r="C2377" s="168"/>
      <c r="D2377" s="167"/>
      <c r="E2377" s="167"/>
      <c r="F2377" s="167"/>
      <c r="G2377" s="167"/>
      <c r="H2377" s="167"/>
      <c r="I2377" s="164">
        <f t="shared" ca="1" si="37"/>
        <v>44939</v>
      </c>
      <c r="J2377" s="163">
        <v>0.33333333333333331</v>
      </c>
      <c r="K2377" s="162" t="s">
        <v>749</v>
      </c>
      <c r="L2377" s="166"/>
      <c r="M2377" s="166"/>
      <c r="N2377" s="164"/>
      <c r="O2377" s="166"/>
      <c r="P2377" s="165"/>
    </row>
    <row r="2378" spans="1:16" ht="15" hidden="1" customHeight="1" x14ac:dyDescent="0.25">
      <c r="A2378" s="168"/>
      <c r="B2378" s="167"/>
      <c r="C2378" s="168"/>
      <c r="D2378" s="167"/>
      <c r="E2378" s="167"/>
      <c r="F2378" s="167"/>
      <c r="G2378" s="167"/>
      <c r="H2378" s="167"/>
      <c r="I2378" s="164">
        <f t="shared" ca="1" si="37"/>
        <v>44939</v>
      </c>
      <c r="J2378" s="163">
        <v>0.33333333333333331</v>
      </c>
      <c r="K2378" s="162" t="s">
        <v>749</v>
      </c>
      <c r="L2378" s="166"/>
      <c r="M2378" s="166"/>
      <c r="N2378" s="164"/>
      <c r="O2378" s="166"/>
      <c r="P2378" s="165"/>
    </row>
    <row r="2379" spans="1:16" ht="15" hidden="1" customHeight="1" x14ac:dyDescent="0.25">
      <c r="A2379" s="168"/>
      <c r="B2379" s="167"/>
      <c r="C2379" s="168"/>
      <c r="D2379" s="167"/>
      <c r="E2379" s="167"/>
      <c r="F2379" s="167"/>
      <c r="G2379" s="167"/>
      <c r="H2379" s="167"/>
      <c r="I2379" s="164">
        <f t="shared" ca="1" si="37"/>
        <v>44939</v>
      </c>
      <c r="J2379" s="163">
        <v>0.33333333333333331</v>
      </c>
      <c r="K2379" s="162" t="s">
        <v>749</v>
      </c>
      <c r="L2379" s="166"/>
      <c r="M2379" s="166"/>
      <c r="N2379" s="164"/>
      <c r="O2379" s="166"/>
      <c r="P2379" s="165"/>
    </row>
    <row r="2380" spans="1:16" ht="15" hidden="1" customHeight="1" x14ac:dyDescent="0.25">
      <c r="A2380" s="168"/>
      <c r="B2380" s="167"/>
      <c r="C2380" s="168"/>
      <c r="D2380" s="167"/>
      <c r="E2380" s="167"/>
      <c r="F2380" s="167"/>
      <c r="G2380" s="167"/>
      <c r="H2380" s="167"/>
      <c r="I2380" s="164">
        <f t="shared" ca="1" si="37"/>
        <v>44939</v>
      </c>
      <c r="J2380" s="163">
        <v>0.33333333333333331</v>
      </c>
      <c r="K2380" s="162" t="s">
        <v>749</v>
      </c>
      <c r="L2380" s="166"/>
      <c r="M2380" s="166"/>
      <c r="N2380" s="164"/>
      <c r="O2380" s="166"/>
      <c r="P2380" s="165"/>
    </row>
    <row r="2381" spans="1:16" ht="15" hidden="1" customHeight="1" x14ac:dyDescent="0.25">
      <c r="A2381" s="168"/>
      <c r="B2381" s="167"/>
      <c r="C2381" s="168"/>
      <c r="D2381" s="167"/>
      <c r="E2381" s="167"/>
      <c r="F2381" s="167"/>
      <c r="G2381" s="167"/>
      <c r="H2381" s="167"/>
      <c r="I2381" s="164">
        <f t="shared" ca="1" si="37"/>
        <v>44939</v>
      </c>
      <c r="J2381" s="163">
        <v>0.33333333333333331</v>
      </c>
      <c r="K2381" s="162" t="s">
        <v>749</v>
      </c>
      <c r="L2381" s="166"/>
      <c r="M2381" s="166"/>
      <c r="N2381" s="164"/>
      <c r="O2381" s="166"/>
      <c r="P2381" s="165"/>
    </row>
    <row r="2382" spans="1:16" ht="15" hidden="1" customHeight="1" x14ac:dyDescent="0.25">
      <c r="A2382" s="168"/>
      <c r="B2382" s="167"/>
      <c r="C2382" s="168"/>
      <c r="D2382" s="167"/>
      <c r="E2382" s="167"/>
      <c r="F2382" s="167"/>
      <c r="G2382" s="167"/>
      <c r="H2382" s="167"/>
      <c r="I2382" s="164">
        <f t="shared" ca="1" si="37"/>
        <v>44939</v>
      </c>
      <c r="J2382" s="163">
        <v>0.33333333333333331</v>
      </c>
      <c r="K2382" s="162" t="s">
        <v>749</v>
      </c>
      <c r="L2382" s="166"/>
      <c r="M2382" s="166"/>
      <c r="N2382" s="164"/>
      <c r="O2382" s="166"/>
      <c r="P2382" s="165"/>
    </row>
    <row r="2383" spans="1:16" ht="15" hidden="1" customHeight="1" x14ac:dyDescent="0.25">
      <c r="A2383" s="168"/>
      <c r="B2383" s="167"/>
      <c r="C2383" s="168"/>
      <c r="D2383" s="167"/>
      <c r="E2383" s="167"/>
      <c r="F2383" s="167"/>
      <c r="G2383" s="167"/>
      <c r="H2383" s="167"/>
      <c r="I2383" s="164">
        <f t="shared" ca="1" si="37"/>
        <v>44939</v>
      </c>
      <c r="J2383" s="163">
        <v>0.33333333333333331</v>
      </c>
      <c r="K2383" s="162" t="s">
        <v>749</v>
      </c>
      <c r="L2383" s="166"/>
      <c r="M2383" s="166"/>
      <c r="N2383" s="164"/>
      <c r="O2383" s="166"/>
      <c r="P2383" s="165"/>
    </row>
    <row r="2384" spans="1:16" ht="15" hidden="1" customHeight="1" x14ac:dyDescent="0.25">
      <c r="A2384" s="168"/>
      <c r="B2384" s="167"/>
      <c r="C2384" s="168"/>
      <c r="D2384" s="167"/>
      <c r="E2384" s="167"/>
      <c r="F2384" s="167"/>
      <c r="G2384" s="167"/>
      <c r="H2384" s="167"/>
      <c r="I2384" s="164">
        <f t="shared" ca="1" si="37"/>
        <v>44939</v>
      </c>
      <c r="J2384" s="163">
        <v>0.33333333333333331</v>
      </c>
      <c r="K2384" s="162" t="s">
        <v>749</v>
      </c>
      <c r="L2384" s="166"/>
      <c r="M2384" s="166"/>
      <c r="N2384" s="164"/>
      <c r="O2384" s="166"/>
      <c r="P2384" s="165"/>
    </row>
    <row r="2385" spans="1:16" ht="15" hidden="1" customHeight="1" x14ac:dyDescent="0.25">
      <c r="A2385" s="168"/>
      <c r="B2385" s="167"/>
      <c r="C2385" s="168"/>
      <c r="D2385" s="167"/>
      <c r="E2385" s="167"/>
      <c r="F2385" s="167"/>
      <c r="G2385" s="167"/>
      <c r="H2385" s="167"/>
      <c r="I2385" s="164">
        <f t="shared" ca="1" si="37"/>
        <v>44939</v>
      </c>
      <c r="J2385" s="163">
        <v>0.33333333333333331</v>
      </c>
      <c r="K2385" s="162" t="s">
        <v>749</v>
      </c>
      <c r="L2385" s="166"/>
      <c r="M2385" s="166"/>
      <c r="N2385" s="164"/>
      <c r="O2385" s="166"/>
      <c r="P2385" s="165"/>
    </row>
    <row r="2386" spans="1:16" ht="15" hidden="1" customHeight="1" x14ac:dyDescent="0.25">
      <c r="A2386" s="168"/>
      <c r="B2386" s="167"/>
      <c r="C2386" s="168"/>
      <c r="D2386" s="167"/>
      <c r="E2386" s="167"/>
      <c r="F2386" s="167"/>
      <c r="G2386" s="167"/>
      <c r="H2386" s="167"/>
      <c r="I2386" s="164">
        <f t="shared" ca="1" si="37"/>
        <v>44939</v>
      </c>
      <c r="J2386" s="163">
        <v>0.33333333333333331</v>
      </c>
      <c r="K2386" s="162" t="s">
        <v>749</v>
      </c>
      <c r="L2386" s="166"/>
      <c r="M2386" s="166"/>
      <c r="N2386" s="164"/>
      <c r="O2386" s="166"/>
      <c r="P2386" s="165"/>
    </row>
    <row r="2387" spans="1:16" ht="15" hidden="1" customHeight="1" x14ac:dyDescent="0.25">
      <c r="A2387" s="168"/>
      <c r="B2387" s="167"/>
      <c r="C2387" s="168"/>
      <c r="D2387" s="167"/>
      <c r="E2387" s="167"/>
      <c r="F2387" s="167"/>
      <c r="G2387" s="167"/>
      <c r="H2387" s="167"/>
      <c r="I2387" s="164">
        <f t="shared" ca="1" si="37"/>
        <v>44939</v>
      </c>
      <c r="J2387" s="163">
        <v>0.33333333333333331</v>
      </c>
      <c r="K2387" s="162" t="s">
        <v>749</v>
      </c>
      <c r="L2387" s="166"/>
      <c r="M2387" s="166"/>
      <c r="N2387" s="164"/>
      <c r="O2387" s="166"/>
      <c r="P2387" s="165"/>
    </row>
    <row r="2388" spans="1:16" ht="15" hidden="1" customHeight="1" x14ac:dyDescent="0.25">
      <c r="A2388" s="168"/>
      <c r="B2388" s="167"/>
      <c r="C2388" s="168"/>
      <c r="D2388" s="167"/>
      <c r="E2388" s="167"/>
      <c r="F2388" s="167"/>
      <c r="G2388" s="167"/>
      <c r="H2388" s="167"/>
      <c r="I2388" s="164">
        <f t="shared" ca="1" si="37"/>
        <v>44939</v>
      </c>
      <c r="J2388" s="163">
        <v>0.33333333333333331</v>
      </c>
      <c r="K2388" s="162" t="s">
        <v>749</v>
      </c>
      <c r="L2388" s="166"/>
      <c r="M2388" s="166"/>
      <c r="N2388" s="164"/>
      <c r="O2388" s="166"/>
      <c r="P2388" s="165"/>
    </row>
    <row r="2389" spans="1:16" ht="15" hidden="1" customHeight="1" x14ac:dyDescent="0.25">
      <c r="A2389" s="168"/>
      <c r="B2389" s="167"/>
      <c r="C2389" s="168"/>
      <c r="D2389" s="167"/>
      <c r="E2389" s="167"/>
      <c r="F2389" s="167"/>
      <c r="G2389" s="167"/>
      <c r="H2389" s="167"/>
      <c r="I2389" s="164">
        <f t="shared" ca="1" si="37"/>
        <v>44939</v>
      </c>
      <c r="J2389" s="163">
        <v>0.33333333333333331</v>
      </c>
      <c r="K2389" s="162" t="s">
        <v>749</v>
      </c>
      <c r="L2389" s="166"/>
      <c r="M2389" s="166"/>
      <c r="N2389" s="164"/>
      <c r="O2389" s="166"/>
      <c r="P2389" s="165"/>
    </row>
    <row r="2390" spans="1:16" ht="15" hidden="1" customHeight="1" x14ac:dyDescent="0.25">
      <c r="A2390" s="168"/>
      <c r="B2390" s="167"/>
      <c r="C2390" s="168"/>
      <c r="D2390" s="167"/>
      <c r="E2390" s="167"/>
      <c r="F2390" s="167"/>
      <c r="G2390" s="167"/>
      <c r="H2390" s="167"/>
      <c r="I2390" s="164">
        <f t="shared" ca="1" si="37"/>
        <v>44939</v>
      </c>
      <c r="J2390" s="163">
        <v>0.33333333333333331</v>
      </c>
      <c r="K2390" s="162" t="s">
        <v>749</v>
      </c>
      <c r="L2390" s="166"/>
      <c r="M2390" s="166"/>
      <c r="N2390" s="164"/>
      <c r="O2390" s="166"/>
      <c r="P2390" s="165"/>
    </row>
    <row r="2391" spans="1:16" ht="15" hidden="1" customHeight="1" x14ac:dyDescent="0.25">
      <c r="A2391" s="168"/>
      <c r="B2391" s="167"/>
      <c r="C2391" s="168"/>
      <c r="D2391" s="167"/>
      <c r="E2391" s="167"/>
      <c r="F2391" s="167"/>
      <c r="G2391" s="167"/>
      <c r="H2391" s="167"/>
      <c r="I2391" s="164">
        <f t="shared" ca="1" si="37"/>
        <v>44939</v>
      </c>
      <c r="J2391" s="163">
        <v>0.33333333333333331</v>
      </c>
      <c r="K2391" s="162" t="s">
        <v>749</v>
      </c>
      <c r="L2391" s="166"/>
      <c r="M2391" s="166"/>
      <c r="N2391" s="164"/>
      <c r="O2391" s="166"/>
      <c r="P2391" s="165"/>
    </row>
    <row r="2392" spans="1:16" ht="15" hidden="1" customHeight="1" x14ac:dyDescent="0.25">
      <c r="A2392" s="168"/>
      <c r="B2392" s="167"/>
      <c r="C2392" s="168"/>
      <c r="D2392" s="167"/>
      <c r="E2392" s="167"/>
      <c r="F2392" s="167"/>
      <c r="G2392" s="167"/>
      <c r="H2392" s="167"/>
      <c r="I2392" s="164">
        <f t="shared" ref="I2392:I2455" ca="1" si="38">TODAY()</f>
        <v>44939</v>
      </c>
      <c r="J2392" s="163">
        <v>0.33333333333333331</v>
      </c>
      <c r="K2392" s="162" t="s">
        <v>749</v>
      </c>
      <c r="L2392" s="166"/>
      <c r="M2392" s="166"/>
      <c r="N2392" s="164"/>
      <c r="O2392" s="166"/>
      <c r="P2392" s="165"/>
    </row>
    <row r="2393" spans="1:16" ht="15" hidden="1" customHeight="1" x14ac:dyDescent="0.25">
      <c r="A2393" s="168"/>
      <c r="B2393" s="167"/>
      <c r="C2393" s="168"/>
      <c r="D2393" s="167"/>
      <c r="E2393" s="167"/>
      <c r="F2393" s="167"/>
      <c r="G2393" s="167"/>
      <c r="H2393" s="167"/>
      <c r="I2393" s="164">
        <f t="shared" ca="1" si="38"/>
        <v>44939</v>
      </c>
      <c r="J2393" s="163">
        <v>0.33333333333333331</v>
      </c>
      <c r="K2393" s="162" t="s">
        <v>749</v>
      </c>
      <c r="L2393" s="166"/>
      <c r="M2393" s="166"/>
      <c r="N2393" s="164"/>
      <c r="O2393" s="166"/>
      <c r="P2393" s="165"/>
    </row>
    <row r="2394" spans="1:16" ht="15" hidden="1" customHeight="1" x14ac:dyDescent="0.25">
      <c r="A2394" s="168"/>
      <c r="B2394" s="167"/>
      <c r="C2394" s="168"/>
      <c r="D2394" s="167"/>
      <c r="E2394" s="167"/>
      <c r="F2394" s="167"/>
      <c r="G2394" s="167"/>
      <c r="H2394" s="167"/>
      <c r="I2394" s="164">
        <f t="shared" ca="1" si="38"/>
        <v>44939</v>
      </c>
      <c r="J2394" s="163">
        <v>0.33333333333333331</v>
      </c>
      <c r="K2394" s="162" t="s">
        <v>749</v>
      </c>
      <c r="L2394" s="166"/>
      <c r="M2394" s="166"/>
      <c r="N2394" s="164"/>
      <c r="O2394" s="166"/>
      <c r="P2394" s="165"/>
    </row>
    <row r="2395" spans="1:16" ht="15" hidden="1" customHeight="1" x14ac:dyDescent="0.25">
      <c r="A2395" s="168"/>
      <c r="B2395" s="167"/>
      <c r="C2395" s="168"/>
      <c r="D2395" s="167"/>
      <c r="E2395" s="167"/>
      <c r="F2395" s="167"/>
      <c r="G2395" s="167"/>
      <c r="H2395" s="167"/>
      <c r="I2395" s="164">
        <f t="shared" ca="1" si="38"/>
        <v>44939</v>
      </c>
      <c r="J2395" s="163">
        <v>0.33333333333333331</v>
      </c>
      <c r="K2395" s="162" t="s">
        <v>749</v>
      </c>
      <c r="L2395" s="166"/>
      <c r="M2395" s="166"/>
      <c r="N2395" s="164"/>
      <c r="O2395" s="166"/>
      <c r="P2395" s="165"/>
    </row>
    <row r="2396" spans="1:16" ht="15" hidden="1" customHeight="1" x14ac:dyDescent="0.25">
      <c r="A2396" s="168"/>
      <c r="B2396" s="167"/>
      <c r="C2396" s="168"/>
      <c r="D2396" s="167"/>
      <c r="E2396" s="167"/>
      <c r="F2396" s="167"/>
      <c r="G2396" s="167"/>
      <c r="H2396" s="167"/>
      <c r="I2396" s="164">
        <f t="shared" ca="1" si="38"/>
        <v>44939</v>
      </c>
      <c r="J2396" s="163">
        <v>0.33333333333333331</v>
      </c>
      <c r="K2396" s="162" t="s">
        <v>749</v>
      </c>
      <c r="L2396" s="166"/>
      <c r="M2396" s="166"/>
      <c r="N2396" s="164"/>
      <c r="O2396" s="166"/>
      <c r="P2396" s="165"/>
    </row>
    <row r="2397" spans="1:16" ht="15" hidden="1" customHeight="1" x14ac:dyDescent="0.25">
      <c r="A2397" s="168"/>
      <c r="B2397" s="167"/>
      <c r="C2397" s="168"/>
      <c r="D2397" s="167"/>
      <c r="E2397" s="167"/>
      <c r="F2397" s="167"/>
      <c r="G2397" s="167"/>
      <c r="H2397" s="167"/>
      <c r="I2397" s="164">
        <f t="shared" ca="1" si="38"/>
        <v>44939</v>
      </c>
      <c r="J2397" s="163">
        <v>0.33333333333333331</v>
      </c>
      <c r="K2397" s="162" t="s">
        <v>749</v>
      </c>
      <c r="L2397" s="166"/>
      <c r="M2397" s="166"/>
      <c r="N2397" s="164"/>
      <c r="O2397" s="166"/>
      <c r="P2397" s="165"/>
    </row>
    <row r="2398" spans="1:16" ht="15" hidden="1" customHeight="1" x14ac:dyDescent="0.25">
      <c r="A2398" s="168"/>
      <c r="B2398" s="167"/>
      <c r="C2398" s="168"/>
      <c r="D2398" s="167"/>
      <c r="E2398" s="167"/>
      <c r="F2398" s="167"/>
      <c r="G2398" s="167"/>
      <c r="H2398" s="167"/>
      <c r="I2398" s="164">
        <f t="shared" ca="1" si="38"/>
        <v>44939</v>
      </c>
      <c r="J2398" s="163">
        <v>0.33333333333333331</v>
      </c>
      <c r="K2398" s="162" t="s">
        <v>749</v>
      </c>
      <c r="L2398" s="166"/>
      <c r="M2398" s="166"/>
      <c r="N2398" s="164"/>
      <c r="O2398" s="166"/>
      <c r="P2398" s="165"/>
    </row>
    <row r="2399" spans="1:16" ht="15" hidden="1" customHeight="1" x14ac:dyDescent="0.25">
      <c r="A2399" s="168"/>
      <c r="B2399" s="167"/>
      <c r="C2399" s="168"/>
      <c r="D2399" s="167"/>
      <c r="E2399" s="167"/>
      <c r="F2399" s="167"/>
      <c r="G2399" s="167"/>
      <c r="H2399" s="167"/>
      <c r="I2399" s="164">
        <f t="shared" ca="1" si="38"/>
        <v>44939</v>
      </c>
      <c r="J2399" s="163">
        <v>0.33333333333333331</v>
      </c>
      <c r="K2399" s="162" t="s">
        <v>749</v>
      </c>
      <c r="L2399" s="166"/>
      <c r="M2399" s="166"/>
      <c r="N2399" s="164"/>
      <c r="O2399" s="166"/>
      <c r="P2399" s="165"/>
    </row>
    <row r="2400" spans="1:16" ht="15" hidden="1" customHeight="1" x14ac:dyDescent="0.25">
      <c r="A2400" s="168"/>
      <c r="B2400" s="167"/>
      <c r="C2400" s="168"/>
      <c r="D2400" s="167"/>
      <c r="E2400" s="167"/>
      <c r="F2400" s="167"/>
      <c r="G2400" s="167"/>
      <c r="H2400" s="167"/>
      <c r="I2400" s="164">
        <f t="shared" ca="1" si="38"/>
        <v>44939</v>
      </c>
      <c r="J2400" s="163">
        <v>0.33333333333333331</v>
      </c>
      <c r="K2400" s="162" t="s">
        <v>749</v>
      </c>
      <c r="L2400" s="166"/>
      <c r="M2400" s="166"/>
      <c r="N2400" s="164"/>
      <c r="O2400" s="166"/>
      <c r="P2400" s="165"/>
    </row>
    <row r="2401" spans="1:16" ht="15" hidden="1" customHeight="1" x14ac:dyDescent="0.25">
      <c r="A2401" s="168"/>
      <c r="B2401" s="167"/>
      <c r="C2401" s="168"/>
      <c r="D2401" s="167"/>
      <c r="E2401" s="167"/>
      <c r="F2401" s="167"/>
      <c r="G2401" s="167"/>
      <c r="H2401" s="167"/>
      <c r="I2401" s="164">
        <f t="shared" ca="1" si="38"/>
        <v>44939</v>
      </c>
      <c r="J2401" s="163">
        <v>0.33333333333333331</v>
      </c>
      <c r="K2401" s="162" t="s">
        <v>749</v>
      </c>
      <c r="L2401" s="166"/>
      <c r="M2401" s="166"/>
      <c r="N2401" s="164"/>
      <c r="O2401" s="166"/>
      <c r="P2401" s="165"/>
    </row>
    <row r="2402" spans="1:16" ht="15" hidden="1" customHeight="1" x14ac:dyDescent="0.25">
      <c r="A2402" s="168"/>
      <c r="B2402" s="167"/>
      <c r="C2402" s="168"/>
      <c r="D2402" s="167"/>
      <c r="E2402" s="167"/>
      <c r="F2402" s="167"/>
      <c r="G2402" s="167"/>
      <c r="H2402" s="167"/>
      <c r="I2402" s="164">
        <f t="shared" ca="1" si="38"/>
        <v>44939</v>
      </c>
      <c r="J2402" s="163">
        <v>0.33333333333333331</v>
      </c>
      <c r="K2402" s="162" t="s">
        <v>749</v>
      </c>
      <c r="L2402" s="166"/>
      <c r="M2402" s="166"/>
      <c r="N2402" s="164"/>
      <c r="O2402" s="166"/>
      <c r="P2402" s="165"/>
    </row>
    <row r="2403" spans="1:16" ht="15" hidden="1" customHeight="1" x14ac:dyDescent="0.25">
      <c r="A2403" s="168"/>
      <c r="B2403" s="167"/>
      <c r="C2403" s="168"/>
      <c r="D2403" s="167"/>
      <c r="E2403" s="167"/>
      <c r="F2403" s="167"/>
      <c r="G2403" s="167"/>
      <c r="H2403" s="167"/>
      <c r="I2403" s="164">
        <f t="shared" ca="1" si="38"/>
        <v>44939</v>
      </c>
      <c r="J2403" s="163">
        <v>0.33333333333333331</v>
      </c>
      <c r="K2403" s="162" t="s">
        <v>749</v>
      </c>
      <c r="L2403" s="166"/>
      <c r="M2403" s="166"/>
      <c r="N2403" s="164"/>
      <c r="O2403" s="166"/>
      <c r="P2403" s="165"/>
    </row>
    <row r="2404" spans="1:16" ht="15" hidden="1" customHeight="1" x14ac:dyDescent="0.25">
      <c r="A2404" s="168"/>
      <c r="B2404" s="167"/>
      <c r="C2404" s="168"/>
      <c r="D2404" s="167"/>
      <c r="E2404" s="167"/>
      <c r="F2404" s="167"/>
      <c r="G2404" s="167"/>
      <c r="H2404" s="167"/>
      <c r="I2404" s="164">
        <f t="shared" ca="1" si="38"/>
        <v>44939</v>
      </c>
      <c r="J2404" s="163">
        <v>0.33333333333333331</v>
      </c>
      <c r="K2404" s="162" t="s">
        <v>749</v>
      </c>
      <c r="L2404" s="166"/>
      <c r="M2404" s="166"/>
      <c r="N2404" s="164"/>
      <c r="O2404" s="166"/>
      <c r="P2404" s="165"/>
    </row>
    <row r="2405" spans="1:16" ht="15" hidden="1" customHeight="1" x14ac:dyDescent="0.25">
      <c r="A2405" s="168"/>
      <c r="B2405" s="167"/>
      <c r="C2405" s="168"/>
      <c r="D2405" s="167"/>
      <c r="E2405" s="167"/>
      <c r="F2405" s="167"/>
      <c r="G2405" s="167"/>
      <c r="H2405" s="167"/>
      <c r="I2405" s="164">
        <f t="shared" ca="1" si="38"/>
        <v>44939</v>
      </c>
      <c r="J2405" s="163">
        <v>0.33333333333333331</v>
      </c>
      <c r="K2405" s="162" t="s">
        <v>749</v>
      </c>
      <c r="L2405" s="166"/>
      <c r="M2405" s="166"/>
      <c r="N2405" s="164"/>
      <c r="O2405" s="166"/>
      <c r="P2405" s="165"/>
    </row>
    <row r="2406" spans="1:16" ht="15" hidden="1" customHeight="1" x14ac:dyDescent="0.25">
      <c r="A2406" s="168"/>
      <c r="B2406" s="167"/>
      <c r="C2406" s="168"/>
      <c r="D2406" s="167"/>
      <c r="E2406" s="167"/>
      <c r="F2406" s="167"/>
      <c r="G2406" s="167"/>
      <c r="H2406" s="167"/>
      <c r="I2406" s="164">
        <f t="shared" ca="1" si="38"/>
        <v>44939</v>
      </c>
      <c r="J2406" s="163">
        <v>0.33333333333333331</v>
      </c>
      <c r="K2406" s="162" t="s">
        <v>749</v>
      </c>
      <c r="L2406" s="166"/>
      <c r="M2406" s="166"/>
      <c r="N2406" s="164"/>
      <c r="O2406" s="166"/>
      <c r="P2406" s="165"/>
    </row>
    <row r="2407" spans="1:16" ht="15" hidden="1" customHeight="1" x14ac:dyDescent="0.25">
      <c r="A2407" s="168"/>
      <c r="B2407" s="167"/>
      <c r="C2407" s="168"/>
      <c r="D2407" s="167"/>
      <c r="E2407" s="167"/>
      <c r="F2407" s="167"/>
      <c r="G2407" s="167"/>
      <c r="H2407" s="167"/>
      <c r="I2407" s="164">
        <f t="shared" ca="1" si="38"/>
        <v>44939</v>
      </c>
      <c r="J2407" s="163">
        <v>0.33333333333333331</v>
      </c>
      <c r="K2407" s="162" t="s">
        <v>749</v>
      </c>
      <c r="L2407" s="166"/>
      <c r="M2407" s="166"/>
      <c r="N2407" s="164"/>
      <c r="O2407" s="166"/>
      <c r="P2407" s="165"/>
    </row>
    <row r="2408" spans="1:16" ht="15" hidden="1" customHeight="1" x14ac:dyDescent="0.25">
      <c r="A2408" s="168"/>
      <c r="B2408" s="167"/>
      <c r="C2408" s="168"/>
      <c r="D2408" s="167"/>
      <c r="E2408" s="167"/>
      <c r="F2408" s="167"/>
      <c r="G2408" s="167"/>
      <c r="H2408" s="167"/>
      <c r="I2408" s="164">
        <f t="shared" ca="1" si="38"/>
        <v>44939</v>
      </c>
      <c r="J2408" s="163">
        <v>0.33333333333333331</v>
      </c>
      <c r="K2408" s="162" t="s">
        <v>749</v>
      </c>
      <c r="L2408" s="166"/>
      <c r="M2408" s="166"/>
      <c r="N2408" s="164"/>
      <c r="O2408" s="166"/>
      <c r="P2408" s="165"/>
    </row>
    <row r="2409" spans="1:16" ht="15" hidden="1" customHeight="1" x14ac:dyDescent="0.25">
      <c r="A2409" s="168"/>
      <c r="B2409" s="167"/>
      <c r="C2409" s="168"/>
      <c r="D2409" s="167"/>
      <c r="E2409" s="167"/>
      <c r="F2409" s="167"/>
      <c r="G2409" s="167"/>
      <c r="H2409" s="167"/>
      <c r="I2409" s="164">
        <f t="shared" ca="1" si="38"/>
        <v>44939</v>
      </c>
      <c r="J2409" s="163">
        <v>0.33333333333333331</v>
      </c>
      <c r="K2409" s="162" t="s">
        <v>749</v>
      </c>
      <c r="L2409" s="166"/>
      <c r="M2409" s="166"/>
      <c r="N2409" s="164"/>
      <c r="O2409" s="166"/>
      <c r="P2409" s="165"/>
    </row>
    <row r="2410" spans="1:16" ht="15" hidden="1" customHeight="1" x14ac:dyDescent="0.25">
      <c r="A2410" s="168"/>
      <c r="B2410" s="167"/>
      <c r="C2410" s="168"/>
      <c r="D2410" s="167"/>
      <c r="E2410" s="167"/>
      <c r="F2410" s="167"/>
      <c r="G2410" s="167"/>
      <c r="H2410" s="167"/>
      <c r="I2410" s="164">
        <f t="shared" ca="1" si="38"/>
        <v>44939</v>
      </c>
      <c r="J2410" s="163">
        <v>0.33333333333333331</v>
      </c>
      <c r="K2410" s="162" t="s">
        <v>749</v>
      </c>
      <c r="L2410" s="166"/>
      <c r="M2410" s="166"/>
      <c r="N2410" s="164"/>
      <c r="O2410" s="166"/>
      <c r="P2410" s="165"/>
    </row>
    <row r="2411" spans="1:16" ht="15" hidden="1" customHeight="1" x14ac:dyDescent="0.25">
      <c r="A2411" s="168"/>
      <c r="B2411" s="167"/>
      <c r="C2411" s="168"/>
      <c r="D2411" s="167"/>
      <c r="E2411" s="167"/>
      <c r="F2411" s="167"/>
      <c r="G2411" s="167"/>
      <c r="H2411" s="167"/>
      <c r="I2411" s="164">
        <f t="shared" ca="1" si="38"/>
        <v>44939</v>
      </c>
      <c r="J2411" s="163">
        <v>0.33333333333333331</v>
      </c>
      <c r="K2411" s="162" t="s">
        <v>749</v>
      </c>
      <c r="L2411" s="166"/>
      <c r="M2411" s="166"/>
      <c r="N2411" s="164"/>
      <c r="O2411" s="166"/>
      <c r="P2411" s="165"/>
    </row>
    <row r="2412" spans="1:16" ht="15" hidden="1" customHeight="1" x14ac:dyDescent="0.25">
      <c r="A2412" s="168"/>
      <c r="B2412" s="167"/>
      <c r="C2412" s="168"/>
      <c r="D2412" s="167"/>
      <c r="E2412" s="167"/>
      <c r="F2412" s="167"/>
      <c r="G2412" s="167"/>
      <c r="H2412" s="167"/>
      <c r="I2412" s="164">
        <f t="shared" ca="1" si="38"/>
        <v>44939</v>
      </c>
      <c r="J2412" s="163">
        <v>0.33333333333333331</v>
      </c>
      <c r="K2412" s="162" t="s">
        <v>749</v>
      </c>
      <c r="L2412" s="166"/>
      <c r="M2412" s="166"/>
      <c r="N2412" s="164"/>
      <c r="O2412" s="166"/>
      <c r="P2412" s="165"/>
    </row>
    <row r="2413" spans="1:16" ht="15" hidden="1" customHeight="1" x14ac:dyDescent="0.25">
      <c r="A2413" s="168"/>
      <c r="B2413" s="167"/>
      <c r="C2413" s="168"/>
      <c r="D2413" s="167"/>
      <c r="E2413" s="167"/>
      <c r="F2413" s="167"/>
      <c r="G2413" s="167"/>
      <c r="H2413" s="167"/>
      <c r="I2413" s="164">
        <f t="shared" ca="1" si="38"/>
        <v>44939</v>
      </c>
      <c r="J2413" s="163">
        <v>0.33333333333333331</v>
      </c>
      <c r="K2413" s="162" t="s">
        <v>749</v>
      </c>
      <c r="L2413" s="166"/>
      <c r="M2413" s="166"/>
      <c r="N2413" s="164"/>
      <c r="O2413" s="166"/>
      <c r="P2413" s="165"/>
    </row>
    <row r="2414" spans="1:16" ht="15" hidden="1" customHeight="1" x14ac:dyDescent="0.25">
      <c r="A2414" s="168"/>
      <c r="B2414" s="167"/>
      <c r="C2414" s="168"/>
      <c r="D2414" s="167"/>
      <c r="E2414" s="167"/>
      <c r="F2414" s="167"/>
      <c r="G2414" s="167"/>
      <c r="H2414" s="167"/>
      <c r="I2414" s="164">
        <f t="shared" ca="1" si="38"/>
        <v>44939</v>
      </c>
      <c r="J2414" s="163">
        <v>0.33333333333333331</v>
      </c>
      <c r="K2414" s="162" t="s">
        <v>749</v>
      </c>
      <c r="L2414" s="166"/>
      <c r="M2414" s="166"/>
      <c r="N2414" s="164"/>
      <c r="O2414" s="166"/>
      <c r="P2414" s="165"/>
    </row>
    <row r="2415" spans="1:16" ht="15" hidden="1" customHeight="1" x14ac:dyDescent="0.25">
      <c r="A2415" s="168"/>
      <c r="B2415" s="167"/>
      <c r="C2415" s="168"/>
      <c r="D2415" s="167"/>
      <c r="E2415" s="167"/>
      <c r="F2415" s="167"/>
      <c r="G2415" s="167"/>
      <c r="H2415" s="167"/>
      <c r="I2415" s="164">
        <f t="shared" ca="1" si="38"/>
        <v>44939</v>
      </c>
      <c r="J2415" s="163">
        <v>0.33333333333333331</v>
      </c>
      <c r="K2415" s="162" t="s">
        <v>749</v>
      </c>
      <c r="L2415" s="166"/>
      <c r="M2415" s="166"/>
      <c r="N2415" s="164"/>
      <c r="O2415" s="166"/>
      <c r="P2415" s="165"/>
    </row>
    <row r="2416" spans="1:16" ht="15" hidden="1" customHeight="1" x14ac:dyDescent="0.25">
      <c r="A2416" s="168"/>
      <c r="B2416" s="167"/>
      <c r="C2416" s="168"/>
      <c r="D2416" s="167"/>
      <c r="E2416" s="167"/>
      <c r="F2416" s="167"/>
      <c r="G2416" s="167"/>
      <c r="H2416" s="167"/>
      <c r="I2416" s="164">
        <f t="shared" ca="1" si="38"/>
        <v>44939</v>
      </c>
      <c r="J2416" s="163">
        <v>0.33333333333333331</v>
      </c>
      <c r="K2416" s="162" t="s">
        <v>749</v>
      </c>
      <c r="L2416" s="166"/>
      <c r="M2416" s="166"/>
      <c r="N2416" s="164"/>
      <c r="O2416" s="166"/>
      <c r="P2416" s="165"/>
    </row>
    <row r="2417" spans="1:16" ht="15" hidden="1" customHeight="1" x14ac:dyDescent="0.25">
      <c r="A2417" s="168"/>
      <c r="B2417" s="167"/>
      <c r="C2417" s="168"/>
      <c r="D2417" s="167"/>
      <c r="E2417" s="167"/>
      <c r="F2417" s="167"/>
      <c r="G2417" s="167"/>
      <c r="H2417" s="167"/>
      <c r="I2417" s="164">
        <f t="shared" ca="1" si="38"/>
        <v>44939</v>
      </c>
      <c r="J2417" s="163">
        <v>0.33333333333333331</v>
      </c>
      <c r="K2417" s="162" t="s">
        <v>749</v>
      </c>
      <c r="L2417" s="166"/>
      <c r="M2417" s="166"/>
      <c r="N2417" s="164"/>
      <c r="O2417" s="166"/>
      <c r="P2417" s="165"/>
    </row>
    <row r="2418" spans="1:16" ht="15" hidden="1" customHeight="1" x14ac:dyDescent="0.25">
      <c r="A2418" s="168"/>
      <c r="B2418" s="167"/>
      <c r="C2418" s="168"/>
      <c r="D2418" s="167"/>
      <c r="E2418" s="167"/>
      <c r="F2418" s="167"/>
      <c r="G2418" s="167"/>
      <c r="H2418" s="167"/>
      <c r="I2418" s="164">
        <f t="shared" ca="1" si="38"/>
        <v>44939</v>
      </c>
      <c r="J2418" s="163">
        <v>0.33333333333333331</v>
      </c>
      <c r="K2418" s="162" t="s">
        <v>749</v>
      </c>
      <c r="L2418" s="166"/>
      <c r="M2418" s="166"/>
      <c r="N2418" s="164"/>
      <c r="O2418" s="166"/>
      <c r="P2418" s="165"/>
    </row>
    <row r="2419" spans="1:16" ht="15" hidden="1" customHeight="1" x14ac:dyDescent="0.25">
      <c r="A2419" s="168"/>
      <c r="B2419" s="167"/>
      <c r="C2419" s="168"/>
      <c r="D2419" s="167"/>
      <c r="E2419" s="167"/>
      <c r="F2419" s="167"/>
      <c r="G2419" s="167"/>
      <c r="H2419" s="167"/>
      <c r="I2419" s="164">
        <f t="shared" ca="1" si="38"/>
        <v>44939</v>
      </c>
      <c r="J2419" s="163">
        <v>0.33333333333333331</v>
      </c>
      <c r="K2419" s="162" t="s">
        <v>749</v>
      </c>
      <c r="L2419" s="166"/>
      <c r="M2419" s="166"/>
      <c r="N2419" s="164"/>
      <c r="O2419" s="166"/>
      <c r="P2419" s="165"/>
    </row>
    <row r="2420" spans="1:16" ht="15" hidden="1" customHeight="1" x14ac:dyDescent="0.25">
      <c r="A2420" s="168"/>
      <c r="B2420" s="167"/>
      <c r="C2420" s="168"/>
      <c r="D2420" s="167"/>
      <c r="E2420" s="167"/>
      <c r="F2420" s="167"/>
      <c r="G2420" s="167"/>
      <c r="H2420" s="167"/>
      <c r="I2420" s="164">
        <f t="shared" ca="1" si="38"/>
        <v>44939</v>
      </c>
      <c r="J2420" s="163">
        <v>0.33333333333333331</v>
      </c>
      <c r="K2420" s="162" t="s">
        <v>749</v>
      </c>
      <c r="L2420" s="166"/>
      <c r="M2420" s="166"/>
      <c r="N2420" s="164"/>
      <c r="O2420" s="166"/>
      <c r="P2420" s="165"/>
    </row>
    <row r="2421" spans="1:16" ht="15" hidden="1" customHeight="1" x14ac:dyDescent="0.25">
      <c r="A2421" s="168"/>
      <c r="B2421" s="167"/>
      <c r="C2421" s="168"/>
      <c r="D2421" s="167"/>
      <c r="E2421" s="167"/>
      <c r="F2421" s="167"/>
      <c r="G2421" s="167"/>
      <c r="H2421" s="167"/>
      <c r="I2421" s="164">
        <f t="shared" ca="1" si="38"/>
        <v>44939</v>
      </c>
      <c r="J2421" s="163">
        <v>0.33333333333333331</v>
      </c>
      <c r="K2421" s="162" t="s">
        <v>749</v>
      </c>
      <c r="L2421" s="166"/>
      <c r="M2421" s="166"/>
      <c r="N2421" s="164"/>
      <c r="O2421" s="166"/>
      <c r="P2421" s="165"/>
    </row>
    <row r="2422" spans="1:16" ht="15" hidden="1" customHeight="1" x14ac:dyDescent="0.25">
      <c r="A2422" s="168"/>
      <c r="B2422" s="167"/>
      <c r="C2422" s="168"/>
      <c r="D2422" s="167"/>
      <c r="E2422" s="167"/>
      <c r="F2422" s="167"/>
      <c r="G2422" s="167"/>
      <c r="H2422" s="167"/>
      <c r="I2422" s="164">
        <f t="shared" ca="1" si="38"/>
        <v>44939</v>
      </c>
      <c r="J2422" s="163">
        <v>0.33333333333333331</v>
      </c>
      <c r="K2422" s="162" t="s">
        <v>749</v>
      </c>
      <c r="L2422" s="166"/>
      <c r="M2422" s="166"/>
      <c r="N2422" s="164"/>
      <c r="O2422" s="166"/>
      <c r="P2422" s="165"/>
    </row>
    <row r="2423" spans="1:16" ht="15" hidden="1" customHeight="1" x14ac:dyDescent="0.25">
      <c r="A2423" s="168"/>
      <c r="B2423" s="167"/>
      <c r="C2423" s="168"/>
      <c r="D2423" s="167"/>
      <c r="E2423" s="167"/>
      <c r="F2423" s="167"/>
      <c r="G2423" s="167"/>
      <c r="H2423" s="167"/>
      <c r="I2423" s="164">
        <f t="shared" ca="1" si="38"/>
        <v>44939</v>
      </c>
      <c r="J2423" s="163">
        <v>0.33333333333333331</v>
      </c>
      <c r="K2423" s="162" t="s">
        <v>749</v>
      </c>
      <c r="L2423" s="166"/>
      <c r="M2423" s="166"/>
      <c r="N2423" s="164"/>
      <c r="O2423" s="166"/>
      <c r="P2423" s="165"/>
    </row>
    <row r="2424" spans="1:16" ht="15" hidden="1" customHeight="1" x14ac:dyDescent="0.25">
      <c r="A2424" s="168"/>
      <c r="B2424" s="167"/>
      <c r="C2424" s="168"/>
      <c r="D2424" s="167"/>
      <c r="E2424" s="167"/>
      <c r="F2424" s="167"/>
      <c r="G2424" s="167"/>
      <c r="H2424" s="167"/>
      <c r="I2424" s="164">
        <f t="shared" ca="1" si="38"/>
        <v>44939</v>
      </c>
      <c r="J2424" s="163">
        <v>0.33333333333333331</v>
      </c>
      <c r="K2424" s="162" t="s">
        <v>749</v>
      </c>
      <c r="L2424" s="166"/>
      <c r="M2424" s="166"/>
      <c r="N2424" s="164"/>
      <c r="O2424" s="166"/>
      <c r="P2424" s="165"/>
    </row>
    <row r="2425" spans="1:16" ht="15" hidden="1" customHeight="1" x14ac:dyDescent="0.25">
      <c r="A2425" s="168"/>
      <c r="B2425" s="167"/>
      <c r="C2425" s="168"/>
      <c r="D2425" s="167"/>
      <c r="E2425" s="167"/>
      <c r="F2425" s="167"/>
      <c r="G2425" s="167"/>
      <c r="H2425" s="167"/>
      <c r="I2425" s="164">
        <f t="shared" ca="1" si="38"/>
        <v>44939</v>
      </c>
      <c r="J2425" s="163">
        <v>0.33333333333333331</v>
      </c>
      <c r="K2425" s="162" t="s">
        <v>749</v>
      </c>
      <c r="L2425" s="166"/>
      <c r="M2425" s="166"/>
      <c r="N2425" s="164"/>
      <c r="O2425" s="166"/>
      <c r="P2425" s="165"/>
    </row>
    <row r="2426" spans="1:16" ht="15" hidden="1" customHeight="1" x14ac:dyDescent="0.25">
      <c r="A2426" s="168"/>
      <c r="B2426" s="167"/>
      <c r="C2426" s="168"/>
      <c r="D2426" s="167"/>
      <c r="E2426" s="167"/>
      <c r="F2426" s="167"/>
      <c r="G2426" s="167"/>
      <c r="H2426" s="167"/>
      <c r="I2426" s="164">
        <f t="shared" ca="1" si="38"/>
        <v>44939</v>
      </c>
      <c r="J2426" s="163">
        <v>0.33333333333333331</v>
      </c>
      <c r="K2426" s="162" t="s">
        <v>749</v>
      </c>
      <c r="L2426" s="166"/>
      <c r="M2426" s="166"/>
      <c r="N2426" s="164"/>
      <c r="O2426" s="166"/>
      <c r="P2426" s="165"/>
    </row>
    <row r="2427" spans="1:16" ht="15" hidden="1" customHeight="1" x14ac:dyDescent="0.25">
      <c r="A2427" s="168"/>
      <c r="B2427" s="167"/>
      <c r="C2427" s="168"/>
      <c r="D2427" s="167"/>
      <c r="E2427" s="167"/>
      <c r="F2427" s="167"/>
      <c r="G2427" s="167"/>
      <c r="H2427" s="167"/>
      <c r="I2427" s="164">
        <f t="shared" ca="1" si="38"/>
        <v>44939</v>
      </c>
      <c r="J2427" s="163">
        <v>0.33333333333333331</v>
      </c>
      <c r="K2427" s="162" t="s">
        <v>749</v>
      </c>
      <c r="L2427" s="166"/>
      <c r="M2427" s="166"/>
      <c r="N2427" s="164"/>
      <c r="O2427" s="166"/>
      <c r="P2427" s="165"/>
    </row>
    <row r="2428" spans="1:16" ht="15" hidden="1" customHeight="1" x14ac:dyDescent="0.25">
      <c r="A2428" s="168"/>
      <c r="B2428" s="167"/>
      <c r="C2428" s="168"/>
      <c r="D2428" s="167"/>
      <c r="E2428" s="167"/>
      <c r="F2428" s="167"/>
      <c r="G2428" s="167"/>
      <c r="H2428" s="167"/>
      <c r="I2428" s="164">
        <f t="shared" ca="1" si="38"/>
        <v>44939</v>
      </c>
      <c r="J2428" s="163">
        <v>0.33333333333333331</v>
      </c>
      <c r="K2428" s="162" t="s">
        <v>749</v>
      </c>
      <c r="L2428" s="166"/>
      <c r="M2428" s="166"/>
      <c r="N2428" s="164"/>
      <c r="O2428" s="166"/>
      <c r="P2428" s="165"/>
    </row>
    <row r="2429" spans="1:16" ht="15" hidden="1" customHeight="1" x14ac:dyDescent="0.25">
      <c r="A2429" s="168"/>
      <c r="B2429" s="167"/>
      <c r="C2429" s="168"/>
      <c r="D2429" s="167"/>
      <c r="E2429" s="167"/>
      <c r="F2429" s="167"/>
      <c r="G2429" s="167"/>
      <c r="H2429" s="167"/>
      <c r="I2429" s="164">
        <f t="shared" ca="1" si="38"/>
        <v>44939</v>
      </c>
      <c r="J2429" s="163">
        <v>0.33333333333333331</v>
      </c>
      <c r="K2429" s="162" t="s">
        <v>749</v>
      </c>
      <c r="L2429" s="166"/>
      <c r="M2429" s="166"/>
      <c r="N2429" s="164"/>
      <c r="O2429" s="166"/>
      <c r="P2429" s="165"/>
    </row>
    <row r="2430" spans="1:16" ht="15" hidden="1" customHeight="1" x14ac:dyDescent="0.25">
      <c r="A2430" s="168"/>
      <c r="B2430" s="167"/>
      <c r="C2430" s="168"/>
      <c r="D2430" s="167"/>
      <c r="E2430" s="167"/>
      <c r="F2430" s="167"/>
      <c r="G2430" s="167"/>
      <c r="H2430" s="167"/>
      <c r="I2430" s="164">
        <f t="shared" ca="1" si="38"/>
        <v>44939</v>
      </c>
      <c r="J2430" s="163">
        <v>0.33333333333333331</v>
      </c>
      <c r="K2430" s="162" t="s">
        <v>749</v>
      </c>
      <c r="L2430" s="166"/>
      <c r="M2430" s="166"/>
      <c r="N2430" s="164"/>
      <c r="O2430" s="166"/>
      <c r="P2430" s="165"/>
    </row>
    <row r="2431" spans="1:16" ht="15" hidden="1" customHeight="1" x14ac:dyDescent="0.25">
      <c r="A2431" s="168"/>
      <c r="B2431" s="167"/>
      <c r="C2431" s="168"/>
      <c r="D2431" s="167"/>
      <c r="E2431" s="167"/>
      <c r="F2431" s="167"/>
      <c r="G2431" s="167"/>
      <c r="H2431" s="167"/>
      <c r="I2431" s="164">
        <f t="shared" ca="1" si="38"/>
        <v>44939</v>
      </c>
      <c r="J2431" s="163">
        <v>0.33333333333333331</v>
      </c>
      <c r="K2431" s="162" t="s">
        <v>749</v>
      </c>
      <c r="L2431" s="166"/>
      <c r="M2431" s="166"/>
      <c r="N2431" s="164"/>
      <c r="O2431" s="166"/>
      <c r="P2431" s="165"/>
    </row>
    <row r="2432" spans="1:16" ht="15" hidden="1" customHeight="1" x14ac:dyDescent="0.25">
      <c r="A2432" s="168"/>
      <c r="B2432" s="167"/>
      <c r="C2432" s="168"/>
      <c r="D2432" s="167"/>
      <c r="E2432" s="167"/>
      <c r="F2432" s="167"/>
      <c r="G2432" s="167"/>
      <c r="H2432" s="167"/>
      <c r="I2432" s="164">
        <f t="shared" ca="1" si="38"/>
        <v>44939</v>
      </c>
      <c r="J2432" s="163">
        <v>0.33333333333333331</v>
      </c>
      <c r="K2432" s="162" t="s">
        <v>749</v>
      </c>
      <c r="L2432" s="166"/>
      <c r="M2432" s="166"/>
      <c r="N2432" s="164"/>
      <c r="O2432" s="166"/>
      <c r="P2432" s="165"/>
    </row>
    <row r="2433" spans="1:16" ht="15" hidden="1" customHeight="1" x14ac:dyDescent="0.25">
      <c r="A2433" s="168"/>
      <c r="B2433" s="167"/>
      <c r="C2433" s="168"/>
      <c r="D2433" s="167"/>
      <c r="E2433" s="167"/>
      <c r="F2433" s="167"/>
      <c r="G2433" s="167"/>
      <c r="H2433" s="167"/>
      <c r="I2433" s="164">
        <f t="shared" ca="1" si="38"/>
        <v>44939</v>
      </c>
      <c r="J2433" s="163">
        <v>0.33333333333333331</v>
      </c>
      <c r="K2433" s="162" t="s">
        <v>749</v>
      </c>
      <c r="L2433" s="166"/>
      <c r="M2433" s="166"/>
      <c r="N2433" s="164"/>
      <c r="O2433" s="166"/>
      <c r="P2433" s="165"/>
    </row>
    <row r="2434" spans="1:16" ht="15" hidden="1" customHeight="1" x14ac:dyDescent="0.25">
      <c r="A2434" s="168"/>
      <c r="B2434" s="167"/>
      <c r="C2434" s="168"/>
      <c r="D2434" s="167"/>
      <c r="E2434" s="167"/>
      <c r="F2434" s="167"/>
      <c r="G2434" s="167"/>
      <c r="H2434" s="167"/>
      <c r="I2434" s="164">
        <f t="shared" ca="1" si="38"/>
        <v>44939</v>
      </c>
      <c r="J2434" s="163">
        <v>0.33333333333333331</v>
      </c>
      <c r="K2434" s="162" t="s">
        <v>749</v>
      </c>
      <c r="L2434" s="166"/>
      <c r="M2434" s="166"/>
      <c r="N2434" s="164"/>
      <c r="O2434" s="166"/>
      <c r="P2434" s="165"/>
    </row>
    <row r="2435" spans="1:16" ht="15" hidden="1" customHeight="1" x14ac:dyDescent="0.25">
      <c r="A2435" s="168"/>
      <c r="B2435" s="167"/>
      <c r="C2435" s="168"/>
      <c r="D2435" s="167"/>
      <c r="E2435" s="167"/>
      <c r="F2435" s="167"/>
      <c r="G2435" s="167"/>
      <c r="H2435" s="167"/>
      <c r="I2435" s="164">
        <f t="shared" ca="1" si="38"/>
        <v>44939</v>
      </c>
      <c r="J2435" s="163">
        <v>0.33333333333333331</v>
      </c>
      <c r="K2435" s="162" t="s">
        <v>749</v>
      </c>
      <c r="L2435" s="166"/>
      <c r="M2435" s="166"/>
      <c r="N2435" s="164"/>
      <c r="O2435" s="166"/>
      <c r="P2435" s="165"/>
    </row>
    <row r="2436" spans="1:16" ht="15" hidden="1" customHeight="1" x14ac:dyDescent="0.25">
      <c r="A2436" s="168"/>
      <c r="B2436" s="167"/>
      <c r="C2436" s="168"/>
      <c r="D2436" s="167"/>
      <c r="E2436" s="167"/>
      <c r="F2436" s="167"/>
      <c r="G2436" s="167"/>
      <c r="H2436" s="167"/>
      <c r="I2436" s="164">
        <f t="shared" ca="1" si="38"/>
        <v>44939</v>
      </c>
      <c r="J2436" s="163">
        <v>0.33333333333333331</v>
      </c>
      <c r="K2436" s="162" t="s">
        <v>749</v>
      </c>
      <c r="L2436" s="166"/>
      <c r="M2436" s="166"/>
      <c r="N2436" s="164"/>
      <c r="O2436" s="166"/>
      <c r="P2436" s="165"/>
    </row>
    <row r="2437" spans="1:16" ht="15" hidden="1" customHeight="1" x14ac:dyDescent="0.25">
      <c r="A2437" s="168"/>
      <c r="B2437" s="167"/>
      <c r="C2437" s="168"/>
      <c r="D2437" s="167"/>
      <c r="E2437" s="167"/>
      <c r="F2437" s="167"/>
      <c r="G2437" s="167"/>
      <c r="H2437" s="167"/>
      <c r="I2437" s="164">
        <f t="shared" ca="1" si="38"/>
        <v>44939</v>
      </c>
      <c r="J2437" s="163">
        <v>0.33333333333333331</v>
      </c>
      <c r="K2437" s="162" t="s">
        <v>749</v>
      </c>
      <c r="L2437" s="166"/>
      <c r="M2437" s="166"/>
      <c r="N2437" s="164"/>
      <c r="O2437" s="166"/>
      <c r="P2437" s="165"/>
    </row>
    <row r="2438" spans="1:16" ht="15" hidden="1" customHeight="1" x14ac:dyDescent="0.25">
      <c r="A2438" s="168"/>
      <c r="B2438" s="167"/>
      <c r="C2438" s="168"/>
      <c r="D2438" s="167"/>
      <c r="E2438" s="167"/>
      <c r="F2438" s="167"/>
      <c r="G2438" s="167"/>
      <c r="H2438" s="167"/>
      <c r="I2438" s="164">
        <f t="shared" ca="1" si="38"/>
        <v>44939</v>
      </c>
      <c r="J2438" s="163">
        <v>0.33333333333333331</v>
      </c>
      <c r="K2438" s="162" t="s">
        <v>749</v>
      </c>
      <c r="L2438" s="166"/>
      <c r="M2438" s="166"/>
      <c r="N2438" s="164"/>
      <c r="O2438" s="166"/>
      <c r="P2438" s="165"/>
    </row>
    <row r="2439" spans="1:16" ht="15" hidden="1" customHeight="1" x14ac:dyDescent="0.25">
      <c r="A2439" s="168"/>
      <c r="B2439" s="167"/>
      <c r="C2439" s="168"/>
      <c r="D2439" s="167"/>
      <c r="E2439" s="167"/>
      <c r="F2439" s="167"/>
      <c r="G2439" s="167"/>
      <c r="H2439" s="167"/>
      <c r="I2439" s="164">
        <f t="shared" ca="1" si="38"/>
        <v>44939</v>
      </c>
      <c r="J2439" s="163">
        <v>0.33333333333333331</v>
      </c>
      <c r="K2439" s="162" t="s">
        <v>749</v>
      </c>
      <c r="L2439" s="166"/>
      <c r="M2439" s="166"/>
      <c r="N2439" s="164"/>
      <c r="O2439" s="166"/>
      <c r="P2439" s="165"/>
    </row>
    <row r="2440" spans="1:16" ht="15" hidden="1" customHeight="1" x14ac:dyDescent="0.25">
      <c r="A2440" s="168"/>
      <c r="B2440" s="167"/>
      <c r="C2440" s="168"/>
      <c r="D2440" s="167"/>
      <c r="E2440" s="167"/>
      <c r="F2440" s="167"/>
      <c r="G2440" s="167"/>
      <c r="H2440" s="167"/>
      <c r="I2440" s="164">
        <f t="shared" ca="1" si="38"/>
        <v>44939</v>
      </c>
      <c r="J2440" s="163">
        <v>0.33333333333333331</v>
      </c>
      <c r="K2440" s="162" t="s">
        <v>749</v>
      </c>
      <c r="L2440" s="166"/>
      <c r="M2440" s="166"/>
      <c r="N2440" s="164"/>
      <c r="O2440" s="166"/>
      <c r="P2440" s="165"/>
    </row>
    <row r="2441" spans="1:16" ht="15" hidden="1" customHeight="1" x14ac:dyDescent="0.25">
      <c r="A2441" s="168"/>
      <c r="B2441" s="167"/>
      <c r="C2441" s="168"/>
      <c r="D2441" s="167"/>
      <c r="E2441" s="167"/>
      <c r="F2441" s="167"/>
      <c r="G2441" s="167"/>
      <c r="H2441" s="167"/>
      <c r="I2441" s="164">
        <f t="shared" ca="1" si="38"/>
        <v>44939</v>
      </c>
      <c r="J2441" s="163">
        <v>0.33333333333333331</v>
      </c>
      <c r="K2441" s="162" t="s">
        <v>749</v>
      </c>
      <c r="L2441" s="166"/>
      <c r="M2441" s="166"/>
      <c r="N2441" s="164"/>
      <c r="O2441" s="166"/>
      <c r="P2441" s="165"/>
    </row>
    <row r="2442" spans="1:16" ht="15" hidden="1" customHeight="1" x14ac:dyDescent="0.25">
      <c r="A2442" s="168"/>
      <c r="B2442" s="167"/>
      <c r="C2442" s="168"/>
      <c r="D2442" s="167"/>
      <c r="E2442" s="167"/>
      <c r="F2442" s="167"/>
      <c r="G2442" s="167"/>
      <c r="H2442" s="167"/>
      <c r="I2442" s="164">
        <f t="shared" ca="1" si="38"/>
        <v>44939</v>
      </c>
      <c r="J2442" s="163">
        <v>0.33333333333333331</v>
      </c>
      <c r="K2442" s="162" t="s">
        <v>749</v>
      </c>
      <c r="L2442" s="166"/>
      <c r="M2442" s="166"/>
      <c r="N2442" s="164"/>
      <c r="O2442" s="166"/>
      <c r="P2442" s="165"/>
    </row>
    <row r="2443" spans="1:16" ht="15" hidden="1" customHeight="1" x14ac:dyDescent="0.25">
      <c r="A2443" s="168"/>
      <c r="B2443" s="167"/>
      <c r="C2443" s="168"/>
      <c r="D2443" s="167"/>
      <c r="E2443" s="167"/>
      <c r="F2443" s="167"/>
      <c r="G2443" s="167"/>
      <c r="H2443" s="167"/>
      <c r="I2443" s="164">
        <f t="shared" ca="1" si="38"/>
        <v>44939</v>
      </c>
      <c r="J2443" s="163">
        <v>0.33333333333333331</v>
      </c>
      <c r="K2443" s="162" t="s">
        <v>749</v>
      </c>
      <c r="L2443" s="166"/>
      <c r="M2443" s="166"/>
      <c r="N2443" s="164"/>
      <c r="O2443" s="166"/>
      <c r="P2443" s="165"/>
    </row>
    <row r="2444" spans="1:16" ht="15" hidden="1" customHeight="1" x14ac:dyDescent="0.25">
      <c r="A2444" s="168"/>
      <c r="B2444" s="167"/>
      <c r="C2444" s="168"/>
      <c r="D2444" s="167"/>
      <c r="E2444" s="167"/>
      <c r="F2444" s="167"/>
      <c r="G2444" s="167"/>
      <c r="H2444" s="167"/>
      <c r="I2444" s="164">
        <f t="shared" ca="1" si="38"/>
        <v>44939</v>
      </c>
      <c r="J2444" s="163">
        <v>0.33333333333333331</v>
      </c>
      <c r="K2444" s="162" t="s">
        <v>749</v>
      </c>
      <c r="L2444" s="166"/>
      <c r="M2444" s="166"/>
      <c r="N2444" s="164"/>
      <c r="O2444" s="166"/>
      <c r="P2444" s="165"/>
    </row>
    <row r="2445" spans="1:16" ht="15" hidden="1" customHeight="1" x14ac:dyDescent="0.25">
      <c r="A2445" s="168"/>
      <c r="B2445" s="167"/>
      <c r="C2445" s="168"/>
      <c r="D2445" s="167"/>
      <c r="E2445" s="167"/>
      <c r="F2445" s="167"/>
      <c r="G2445" s="167"/>
      <c r="H2445" s="167"/>
      <c r="I2445" s="164">
        <f t="shared" ca="1" si="38"/>
        <v>44939</v>
      </c>
      <c r="J2445" s="163">
        <v>0.33333333333333331</v>
      </c>
      <c r="K2445" s="162" t="s">
        <v>749</v>
      </c>
      <c r="L2445" s="166"/>
      <c r="M2445" s="166"/>
      <c r="N2445" s="164"/>
      <c r="O2445" s="166"/>
      <c r="P2445" s="165"/>
    </row>
    <row r="2446" spans="1:16" ht="15" hidden="1" customHeight="1" x14ac:dyDescent="0.25">
      <c r="A2446" s="168"/>
      <c r="B2446" s="167"/>
      <c r="C2446" s="168"/>
      <c r="D2446" s="167"/>
      <c r="E2446" s="167"/>
      <c r="F2446" s="167"/>
      <c r="G2446" s="167"/>
      <c r="H2446" s="167"/>
      <c r="I2446" s="164">
        <f t="shared" ca="1" si="38"/>
        <v>44939</v>
      </c>
      <c r="J2446" s="163">
        <v>0.33333333333333331</v>
      </c>
      <c r="K2446" s="162" t="s">
        <v>749</v>
      </c>
      <c r="L2446" s="166"/>
      <c r="M2446" s="166"/>
      <c r="N2446" s="164"/>
      <c r="O2446" s="166"/>
      <c r="P2446" s="165"/>
    </row>
    <row r="2447" spans="1:16" ht="15" hidden="1" customHeight="1" x14ac:dyDescent="0.25">
      <c r="A2447" s="168"/>
      <c r="B2447" s="167"/>
      <c r="C2447" s="168"/>
      <c r="D2447" s="167"/>
      <c r="E2447" s="167"/>
      <c r="F2447" s="167"/>
      <c r="G2447" s="167"/>
      <c r="H2447" s="167"/>
      <c r="I2447" s="164">
        <f t="shared" ca="1" si="38"/>
        <v>44939</v>
      </c>
      <c r="J2447" s="163">
        <v>0.33333333333333331</v>
      </c>
      <c r="K2447" s="162" t="s">
        <v>749</v>
      </c>
      <c r="L2447" s="166"/>
      <c r="M2447" s="166"/>
      <c r="N2447" s="164"/>
      <c r="O2447" s="166"/>
      <c r="P2447" s="165"/>
    </row>
    <row r="2448" spans="1:16" ht="15" hidden="1" customHeight="1" x14ac:dyDescent="0.25">
      <c r="A2448" s="168"/>
      <c r="B2448" s="167"/>
      <c r="C2448" s="168"/>
      <c r="D2448" s="167"/>
      <c r="E2448" s="167"/>
      <c r="F2448" s="167"/>
      <c r="G2448" s="167"/>
      <c r="H2448" s="167"/>
      <c r="I2448" s="164">
        <f t="shared" ca="1" si="38"/>
        <v>44939</v>
      </c>
      <c r="J2448" s="163">
        <v>0.33333333333333331</v>
      </c>
      <c r="K2448" s="162" t="s">
        <v>749</v>
      </c>
      <c r="L2448" s="166"/>
      <c r="M2448" s="166"/>
      <c r="N2448" s="164"/>
      <c r="O2448" s="166"/>
      <c r="P2448" s="165"/>
    </row>
    <row r="2449" spans="1:16" ht="15" hidden="1" customHeight="1" x14ac:dyDescent="0.25">
      <c r="A2449" s="168"/>
      <c r="B2449" s="167"/>
      <c r="C2449" s="168"/>
      <c r="D2449" s="167"/>
      <c r="E2449" s="167"/>
      <c r="F2449" s="167"/>
      <c r="G2449" s="167"/>
      <c r="H2449" s="167"/>
      <c r="I2449" s="164">
        <f t="shared" ca="1" si="38"/>
        <v>44939</v>
      </c>
      <c r="J2449" s="163">
        <v>0.33333333333333331</v>
      </c>
      <c r="K2449" s="162" t="s">
        <v>749</v>
      </c>
      <c r="L2449" s="166"/>
      <c r="M2449" s="166"/>
      <c r="N2449" s="164"/>
      <c r="O2449" s="166"/>
      <c r="P2449" s="165"/>
    </row>
    <row r="2450" spans="1:16" ht="15" hidden="1" customHeight="1" x14ac:dyDescent="0.25">
      <c r="A2450" s="168"/>
      <c r="B2450" s="167"/>
      <c r="C2450" s="168"/>
      <c r="D2450" s="167"/>
      <c r="E2450" s="167"/>
      <c r="F2450" s="167"/>
      <c r="G2450" s="167"/>
      <c r="H2450" s="167"/>
      <c r="I2450" s="164">
        <f t="shared" ca="1" si="38"/>
        <v>44939</v>
      </c>
      <c r="J2450" s="163">
        <v>0.33333333333333331</v>
      </c>
      <c r="K2450" s="162" t="s">
        <v>749</v>
      </c>
      <c r="L2450" s="166"/>
      <c r="M2450" s="166"/>
      <c r="N2450" s="164"/>
      <c r="O2450" s="166"/>
      <c r="P2450" s="165"/>
    </row>
    <row r="2451" spans="1:16" ht="15" hidden="1" customHeight="1" x14ac:dyDescent="0.25">
      <c r="A2451" s="168"/>
      <c r="B2451" s="167"/>
      <c r="C2451" s="168"/>
      <c r="D2451" s="167"/>
      <c r="E2451" s="167"/>
      <c r="F2451" s="167"/>
      <c r="G2451" s="167"/>
      <c r="H2451" s="167"/>
      <c r="I2451" s="164">
        <f t="shared" ca="1" si="38"/>
        <v>44939</v>
      </c>
      <c r="J2451" s="163">
        <v>0.33333333333333331</v>
      </c>
      <c r="K2451" s="162" t="s">
        <v>749</v>
      </c>
      <c r="L2451" s="166"/>
      <c r="M2451" s="166"/>
      <c r="N2451" s="164"/>
      <c r="O2451" s="166"/>
      <c r="P2451" s="165"/>
    </row>
    <row r="2452" spans="1:16" ht="15" hidden="1" customHeight="1" x14ac:dyDescent="0.25">
      <c r="A2452" s="168"/>
      <c r="B2452" s="167"/>
      <c r="C2452" s="168"/>
      <c r="D2452" s="167"/>
      <c r="E2452" s="167"/>
      <c r="F2452" s="167"/>
      <c r="G2452" s="167"/>
      <c r="H2452" s="167"/>
      <c r="I2452" s="164">
        <f t="shared" ca="1" si="38"/>
        <v>44939</v>
      </c>
      <c r="J2452" s="163">
        <v>0.33333333333333331</v>
      </c>
      <c r="K2452" s="162" t="s">
        <v>749</v>
      </c>
      <c r="L2452" s="166"/>
      <c r="M2452" s="166"/>
      <c r="N2452" s="164"/>
      <c r="O2452" s="166"/>
      <c r="P2452" s="165"/>
    </row>
    <row r="2453" spans="1:16" ht="15" hidden="1" customHeight="1" x14ac:dyDescent="0.25">
      <c r="A2453" s="168"/>
      <c r="B2453" s="167"/>
      <c r="C2453" s="168"/>
      <c r="D2453" s="167"/>
      <c r="E2453" s="167"/>
      <c r="F2453" s="167"/>
      <c r="G2453" s="167"/>
      <c r="H2453" s="167"/>
      <c r="I2453" s="164">
        <f t="shared" ca="1" si="38"/>
        <v>44939</v>
      </c>
      <c r="J2453" s="163">
        <v>0.33333333333333331</v>
      </c>
      <c r="K2453" s="162" t="s">
        <v>749</v>
      </c>
      <c r="L2453" s="166"/>
      <c r="M2453" s="166"/>
      <c r="N2453" s="164"/>
      <c r="O2453" s="166"/>
      <c r="P2453" s="165"/>
    </row>
    <row r="2454" spans="1:16" ht="15" hidden="1" customHeight="1" x14ac:dyDescent="0.25">
      <c r="A2454" s="168"/>
      <c r="B2454" s="167"/>
      <c r="C2454" s="168"/>
      <c r="D2454" s="167"/>
      <c r="E2454" s="167"/>
      <c r="F2454" s="167"/>
      <c r="G2454" s="167"/>
      <c r="H2454" s="167"/>
      <c r="I2454" s="164">
        <f t="shared" ca="1" si="38"/>
        <v>44939</v>
      </c>
      <c r="J2454" s="163">
        <v>0.33333333333333331</v>
      </c>
      <c r="K2454" s="162" t="s">
        <v>749</v>
      </c>
      <c r="L2454" s="166"/>
      <c r="M2454" s="166"/>
      <c r="N2454" s="164"/>
      <c r="O2454" s="166"/>
      <c r="P2454" s="165"/>
    </row>
    <row r="2455" spans="1:16" ht="15" hidden="1" customHeight="1" x14ac:dyDescent="0.25">
      <c r="A2455" s="168"/>
      <c r="B2455" s="167"/>
      <c r="C2455" s="168"/>
      <c r="D2455" s="167"/>
      <c r="E2455" s="167"/>
      <c r="F2455" s="167"/>
      <c r="G2455" s="167"/>
      <c r="H2455" s="167"/>
      <c r="I2455" s="164">
        <f t="shared" ca="1" si="38"/>
        <v>44939</v>
      </c>
      <c r="J2455" s="163">
        <v>0.33333333333333331</v>
      </c>
      <c r="K2455" s="162" t="s">
        <v>749</v>
      </c>
      <c r="L2455" s="166"/>
      <c r="M2455" s="166"/>
      <c r="N2455" s="164"/>
      <c r="O2455" s="166"/>
      <c r="P2455" s="165"/>
    </row>
    <row r="2456" spans="1:16" ht="15" hidden="1" customHeight="1" x14ac:dyDescent="0.25">
      <c r="A2456" s="168"/>
      <c r="B2456" s="167"/>
      <c r="C2456" s="168"/>
      <c r="D2456" s="167"/>
      <c r="E2456" s="167"/>
      <c r="F2456" s="167"/>
      <c r="G2456" s="167"/>
      <c r="H2456" s="167"/>
      <c r="I2456" s="164">
        <f t="shared" ref="I2456:I2522" ca="1" si="39">TODAY()</f>
        <v>44939</v>
      </c>
      <c r="J2456" s="163">
        <v>0.33333333333333331</v>
      </c>
      <c r="K2456" s="162" t="s">
        <v>749</v>
      </c>
      <c r="L2456" s="166"/>
      <c r="M2456" s="166"/>
      <c r="N2456" s="164"/>
      <c r="O2456" s="166"/>
      <c r="P2456" s="165"/>
    </row>
    <row r="2457" spans="1:16" ht="15" hidden="1" customHeight="1" x14ac:dyDescent="0.25">
      <c r="A2457" s="168"/>
      <c r="B2457" s="167"/>
      <c r="C2457" s="168"/>
      <c r="D2457" s="167"/>
      <c r="E2457" s="167"/>
      <c r="F2457" s="167"/>
      <c r="G2457" s="167"/>
      <c r="H2457" s="167"/>
      <c r="I2457" s="164">
        <f t="shared" ca="1" si="39"/>
        <v>44939</v>
      </c>
      <c r="J2457" s="163">
        <v>0.33333333333333331</v>
      </c>
      <c r="K2457" s="162" t="s">
        <v>749</v>
      </c>
      <c r="L2457" s="166"/>
      <c r="M2457" s="166"/>
      <c r="N2457" s="164"/>
      <c r="O2457" s="166"/>
      <c r="P2457" s="165"/>
    </row>
    <row r="2458" spans="1:16" ht="15" hidden="1" customHeight="1" x14ac:dyDescent="0.25">
      <c r="A2458" s="168"/>
      <c r="B2458" s="167"/>
      <c r="C2458" s="168"/>
      <c r="D2458" s="167"/>
      <c r="E2458" s="167"/>
      <c r="F2458" s="167"/>
      <c r="G2458" s="167"/>
      <c r="H2458" s="167"/>
      <c r="I2458" s="164">
        <f t="shared" ca="1" si="39"/>
        <v>44939</v>
      </c>
      <c r="J2458" s="163">
        <v>0.33333333333333331</v>
      </c>
      <c r="K2458" s="162" t="s">
        <v>749</v>
      </c>
      <c r="L2458" s="166"/>
      <c r="M2458" s="166"/>
      <c r="N2458" s="164"/>
      <c r="O2458" s="166"/>
      <c r="P2458" s="165"/>
    </row>
    <row r="2459" spans="1:16" ht="15" hidden="1" customHeight="1" x14ac:dyDescent="0.25">
      <c r="A2459" s="168"/>
      <c r="B2459" s="167"/>
      <c r="C2459" s="168"/>
      <c r="D2459" s="167"/>
      <c r="E2459" s="167"/>
      <c r="F2459" s="167"/>
      <c r="G2459" s="167"/>
      <c r="H2459" s="167"/>
      <c r="I2459" s="164">
        <f t="shared" ca="1" si="39"/>
        <v>44939</v>
      </c>
      <c r="J2459" s="163">
        <v>0.33333333333333331</v>
      </c>
      <c r="K2459" s="162" t="s">
        <v>749</v>
      </c>
      <c r="L2459" s="166"/>
      <c r="M2459" s="166"/>
      <c r="N2459" s="164"/>
      <c r="O2459" s="166"/>
      <c r="P2459" s="165"/>
    </row>
    <row r="2460" spans="1:16" ht="15" hidden="1" customHeight="1" x14ac:dyDescent="0.25">
      <c r="A2460" s="168"/>
      <c r="B2460" s="167"/>
      <c r="C2460" s="168"/>
      <c r="D2460" s="167"/>
      <c r="E2460" s="167"/>
      <c r="F2460" s="167"/>
      <c r="G2460" s="167"/>
      <c r="H2460" s="167"/>
      <c r="I2460" s="164">
        <f t="shared" ca="1" si="39"/>
        <v>44939</v>
      </c>
      <c r="J2460" s="163">
        <v>0.33333333333333331</v>
      </c>
      <c r="K2460" s="162" t="s">
        <v>749</v>
      </c>
      <c r="L2460" s="166"/>
      <c r="M2460" s="166"/>
      <c r="N2460" s="164"/>
      <c r="O2460" s="166"/>
      <c r="P2460" s="165"/>
    </row>
    <row r="2461" spans="1:16" ht="15" hidden="1" customHeight="1" x14ac:dyDescent="0.25">
      <c r="A2461" s="168"/>
      <c r="B2461" s="167"/>
      <c r="C2461" s="168"/>
      <c r="D2461" s="167"/>
      <c r="E2461" s="167"/>
      <c r="F2461" s="167"/>
      <c r="G2461" s="167"/>
      <c r="H2461" s="167"/>
      <c r="I2461" s="164">
        <f t="shared" ca="1" si="39"/>
        <v>44939</v>
      </c>
      <c r="J2461" s="163">
        <v>0.33333333333333331</v>
      </c>
      <c r="K2461" s="162" t="s">
        <v>749</v>
      </c>
      <c r="L2461" s="166"/>
      <c r="M2461" s="166"/>
      <c r="N2461" s="164"/>
      <c r="O2461" s="166"/>
      <c r="P2461" s="165"/>
    </row>
    <row r="2462" spans="1:16" ht="15" hidden="1" customHeight="1" x14ac:dyDescent="0.25">
      <c r="A2462" s="168"/>
      <c r="B2462" s="167"/>
      <c r="C2462" s="168"/>
      <c r="D2462" s="167"/>
      <c r="E2462" s="167"/>
      <c r="F2462" s="167"/>
      <c r="G2462" s="167"/>
      <c r="H2462" s="167"/>
      <c r="I2462" s="164">
        <f t="shared" ca="1" si="39"/>
        <v>44939</v>
      </c>
      <c r="J2462" s="163">
        <v>0.33333333333333331</v>
      </c>
      <c r="K2462" s="162" t="s">
        <v>749</v>
      </c>
      <c r="L2462" s="166"/>
      <c r="M2462" s="166"/>
      <c r="N2462" s="164"/>
      <c r="O2462" s="166"/>
      <c r="P2462" s="165"/>
    </row>
    <row r="2463" spans="1:16" ht="15" hidden="1" customHeight="1" x14ac:dyDescent="0.25">
      <c r="A2463" s="168"/>
      <c r="B2463" s="167"/>
      <c r="C2463" s="168"/>
      <c r="D2463" s="167"/>
      <c r="E2463" s="167"/>
      <c r="F2463" s="167"/>
      <c r="G2463" s="167"/>
      <c r="H2463" s="167"/>
      <c r="I2463" s="164">
        <f t="shared" ca="1" si="39"/>
        <v>44939</v>
      </c>
      <c r="J2463" s="163">
        <v>0.33333333333333331</v>
      </c>
      <c r="K2463" s="162" t="s">
        <v>749</v>
      </c>
      <c r="L2463" s="166"/>
      <c r="M2463" s="166"/>
      <c r="N2463" s="164"/>
      <c r="O2463" s="166"/>
      <c r="P2463" s="165"/>
    </row>
    <row r="2464" spans="1:16" ht="15" hidden="1" customHeight="1" x14ac:dyDescent="0.25">
      <c r="A2464" s="168"/>
      <c r="B2464" s="167"/>
      <c r="C2464" s="168"/>
      <c r="D2464" s="167"/>
      <c r="E2464" s="167"/>
      <c r="F2464" s="167"/>
      <c r="G2464" s="167"/>
      <c r="H2464" s="167"/>
      <c r="I2464" s="164">
        <f t="shared" ca="1" si="39"/>
        <v>44939</v>
      </c>
      <c r="J2464" s="163">
        <v>0.33333333333333331</v>
      </c>
      <c r="K2464" s="162" t="s">
        <v>749</v>
      </c>
      <c r="L2464" s="166"/>
      <c r="M2464" s="166"/>
      <c r="N2464" s="164"/>
      <c r="O2464" s="166"/>
      <c r="P2464" s="165"/>
    </row>
    <row r="2465" spans="1:16" ht="15" hidden="1" customHeight="1" x14ac:dyDescent="0.25">
      <c r="A2465" s="168"/>
      <c r="B2465" s="167"/>
      <c r="C2465" s="168"/>
      <c r="D2465" s="167"/>
      <c r="E2465" s="167"/>
      <c r="F2465" s="167"/>
      <c r="G2465" s="167"/>
      <c r="H2465" s="167"/>
      <c r="I2465" s="164">
        <f t="shared" ca="1" si="39"/>
        <v>44939</v>
      </c>
      <c r="J2465" s="163">
        <v>0.33333333333333331</v>
      </c>
      <c r="K2465" s="162" t="s">
        <v>749</v>
      </c>
      <c r="L2465" s="166"/>
      <c r="M2465" s="166"/>
      <c r="N2465" s="164"/>
      <c r="O2465" s="166"/>
      <c r="P2465" s="165"/>
    </row>
    <row r="2466" spans="1:16" ht="15" hidden="1" customHeight="1" x14ac:dyDescent="0.25">
      <c r="A2466" s="168"/>
      <c r="B2466" s="167"/>
      <c r="C2466" s="168"/>
      <c r="D2466" s="167"/>
      <c r="E2466" s="167"/>
      <c r="F2466" s="167"/>
      <c r="G2466" s="167"/>
      <c r="H2466" s="167"/>
      <c r="I2466" s="164">
        <f t="shared" ca="1" si="39"/>
        <v>44939</v>
      </c>
      <c r="J2466" s="163">
        <v>0.33333333333333331</v>
      </c>
      <c r="K2466" s="162" t="s">
        <v>749</v>
      </c>
      <c r="L2466" s="166"/>
      <c r="M2466" s="166"/>
      <c r="N2466" s="164"/>
      <c r="O2466" s="166"/>
      <c r="P2466" s="165"/>
    </row>
    <row r="2467" spans="1:16" ht="15" hidden="1" customHeight="1" x14ac:dyDescent="0.25">
      <c r="A2467" s="168"/>
      <c r="B2467" s="167"/>
      <c r="C2467" s="168"/>
      <c r="D2467" s="167"/>
      <c r="E2467" s="167"/>
      <c r="F2467" s="167"/>
      <c r="G2467" s="167"/>
      <c r="H2467" s="167"/>
      <c r="I2467" s="164">
        <f t="shared" ca="1" si="39"/>
        <v>44939</v>
      </c>
      <c r="J2467" s="163">
        <v>0.33333333333333331</v>
      </c>
      <c r="K2467" s="162" t="s">
        <v>749</v>
      </c>
      <c r="L2467" s="166"/>
      <c r="M2467" s="166"/>
      <c r="N2467" s="164"/>
      <c r="O2467" s="166"/>
      <c r="P2467" s="165"/>
    </row>
    <row r="2468" spans="1:16" ht="15" hidden="1" customHeight="1" x14ac:dyDescent="0.25">
      <c r="A2468" s="168"/>
      <c r="B2468" s="167"/>
      <c r="C2468" s="168"/>
      <c r="D2468" s="167"/>
      <c r="E2468" s="167"/>
      <c r="F2468" s="167"/>
      <c r="G2468" s="167"/>
      <c r="H2468" s="167"/>
      <c r="I2468" s="164">
        <f t="shared" ca="1" si="39"/>
        <v>44939</v>
      </c>
      <c r="J2468" s="163">
        <v>0.33333333333333331</v>
      </c>
      <c r="K2468" s="162" t="s">
        <v>749</v>
      </c>
      <c r="L2468" s="166"/>
      <c r="M2468" s="166"/>
      <c r="N2468" s="164"/>
      <c r="O2468" s="166"/>
      <c r="P2468" s="165"/>
    </row>
    <row r="2469" spans="1:16" ht="15" hidden="1" customHeight="1" x14ac:dyDescent="0.25">
      <c r="A2469" s="168"/>
      <c r="B2469" s="167"/>
      <c r="C2469" s="168"/>
      <c r="D2469" s="167"/>
      <c r="E2469" s="167"/>
      <c r="F2469" s="167"/>
      <c r="G2469" s="167"/>
      <c r="H2469" s="167"/>
      <c r="I2469" s="164">
        <f t="shared" ca="1" si="39"/>
        <v>44939</v>
      </c>
      <c r="J2469" s="163">
        <v>0.33333333333333331</v>
      </c>
      <c r="K2469" s="162" t="s">
        <v>749</v>
      </c>
      <c r="L2469" s="166"/>
      <c r="M2469" s="166"/>
      <c r="N2469" s="164"/>
      <c r="O2469" s="166"/>
      <c r="P2469" s="165"/>
    </row>
    <row r="2470" spans="1:16" ht="15" hidden="1" customHeight="1" x14ac:dyDescent="0.25">
      <c r="A2470" s="168"/>
      <c r="B2470" s="167"/>
      <c r="C2470" s="168"/>
      <c r="D2470" s="167"/>
      <c r="E2470" s="167"/>
      <c r="F2470" s="167"/>
      <c r="G2470" s="167"/>
      <c r="H2470" s="167"/>
      <c r="I2470" s="164">
        <f t="shared" ca="1" si="39"/>
        <v>44939</v>
      </c>
      <c r="J2470" s="163">
        <v>0.33333333333333331</v>
      </c>
      <c r="K2470" s="162" t="s">
        <v>749</v>
      </c>
      <c r="L2470" s="166"/>
      <c r="M2470" s="166"/>
      <c r="N2470" s="164"/>
      <c r="O2470" s="166"/>
      <c r="P2470" s="165"/>
    </row>
    <row r="2471" spans="1:16" ht="15" hidden="1" customHeight="1" x14ac:dyDescent="0.25">
      <c r="A2471" s="168"/>
      <c r="B2471" s="167"/>
      <c r="C2471" s="168"/>
      <c r="D2471" s="167"/>
      <c r="E2471" s="167"/>
      <c r="F2471" s="167"/>
      <c r="G2471" s="167"/>
      <c r="H2471" s="167"/>
      <c r="I2471" s="164">
        <f t="shared" ca="1" si="39"/>
        <v>44939</v>
      </c>
      <c r="J2471" s="163">
        <v>0.33333333333333331</v>
      </c>
      <c r="K2471" s="162" t="s">
        <v>749</v>
      </c>
      <c r="L2471" s="166"/>
      <c r="M2471" s="166"/>
      <c r="N2471" s="164"/>
      <c r="O2471" s="166"/>
      <c r="P2471" s="165"/>
    </row>
    <row r="2472" spans="1:16" ht="15" hidden="1" customHeight="1" x14ac:dyDescent="0.25">
      <c r="A2472" s="168"/>
      <c r="B2472" s="167"/>
      <c r="C2472" s="168"/>
      <c r="D2472" s="167"/>
      <c r="E2472" s="167"/>
      <c r="F2472" s="167"/>
      <c r="G2472" s="167"/>
      <c r="H2472" s="167"/>
      <c r="I2472" s="164">
        <f t="shared" ca="1" si="39"/>
        <v>44939</v>
      </c>
      <c r="J2472" s="163">
        <v>0.33333333333333331</v>
      </c>
      <c r="K2472" s="162" t="s">
        <v>749</v>
      </c>
      <c r="L2472" s="166"/>
      <c r="M2472" s="166"/>
      <c r="N2472" s="164"/>
      <c r="O2472" s="166"/>
      <c r="P2472" s="165"/>
    </row>
    <row r="2473" spans="1:16" ht="15" hidden="1" customHeight="1" x14ac:dyDescent="0.25">
      <c r="A2473" s="168"/>
      <c r="B2473" s="167"/>
      <c r="C2473" s="168"/>
      <c r="D2473" s="167"/>
      <c r="E2473" s="167"/>
      <c r="F2473" s="167"/>
      <c r="G2473" s="167"/>
      <c r="H2473" s="167"/>
      <c r="I2473" s="164">
        <f t="shared" ca="1" si="39"/>
        <v>44939</v>
      </c>
      <c r="J2473" s="163">
        <v>0.33333333333333331</v>
      </c>
      <c r="K2473" s="162" t="s">
        <v>749</v>
      </c>
      <c r="L2473" s="166"/>
      <c r="M2473" s="166"/>
      <c r="N2473" s="164"/>
      <c r="O2473" s="166"/>
      <c r="P2473" s="165"/>
    </row>
    <row r="2474" spans="1:16" ht="15" hidden="1" customHeight="1" x14ac:dyDescent="0.25">
      <c r="A2474" s="168"/>
      <c r="B2474" s="167"/>
      <c r="C2474" s="168"/>
      <c r="D2474" s="167"/>
      <c r="E2474" s="167"/>
      <c r="F2474" s="167"/>
      <c r="G2474" s="167"/>
      <c r="H2474" s="167"/>
      <c r="I2474" s="164">
        <f t="shared" ca="1" si="39"/>
        <v>44939</v>
      </c>
      <c r="J2474" s="163">
        <v>0.33333333333333331</v>
      </c>
      <c r="K2474" s="162" t="s">
        <v>749</v>
      </c>
      <c r="L2474" s="166"/>
      <c r="M2474" s="166"/>
      <c r="N2474" s="164"/>
      <c r="O2474" s="166"/>
      <c r="P2474" s="165"/>
    </row>
    <row r="2475" spans="1:16" ht="15" hidden="1" customHeight="1" x14ac:dyDescent="0.25">
      <c r="A2475" s="168"/>
      <c r="B2475" s="167"/>
      <c r="C2475" s="168"/>
      <c r="D2475" s="167"/>
      <c r="E2475" s="167"/>
      <c r="F2475" s="167"/>
      <c r="G2475" s="167"/>
      <c r="H2475" s="167"/>
      <c r="I2475" s="164">
        <f t="shared" ca="1" si="39"/>
        <v>44939</v>
      </c>
      <c r="J2475" s="163">
        <v>0.33333333333333331</v>
      </c>
      <c r="K2475" s="162" t="s">
        <v>749</v>
      </c>
      <c r="L2475" s="166"/>
      <c r="M2475" s="166"/>
      <c r="N2475" s="164"/>
      <c r="O2475" s="166"/>
      <c r="P2475" s="165"/>
    </row>
    <row r="2476" spans="1:16" ht="15" hidden="1" customHeight="1" x14ac:dyDescent="0.25">
      <c r="A2476" s="168"/>
      <c r="B2476" s="167"/>
      <c r="C2476" s="168"/>
      <c r="D2476" s="167"/>
      <c r="E2476" s="167"/>
      <c r="F2476" s="167"/>
      <c r="G2476" s="167"/>
      <c r="H2476" s="167"/>
      <c r="I2476" s="164">
        <f t="shared" ca="1" si="39"/>
        <v>44939</v>
      </c>
      <c r="J2476" s="163">
        <v>0.33333333333333331</v>
      </c>
      <c r="K2476" s="162" t="s">
        <v>749</v>
      </c>
      <c r="L2476" s="166"/>
      <c r="M2476" s="166"/>
      <c r="N2476" s="164"/>
      <c r="O2476" s="166"/>
      <c r="P2476" s="165"/>
    </row>
    <row r="2477" spans="1:16" ht="15" hidden="1" customHeight="1" x14ac:dyDescent="0.25">
      <c r="A2477" s="168"/>
      <c r="B2477" s="167"/>
      <c r="C2477" s="168"/>
      <c r="D2477" s="167"/>
      <c r="E2477" s="167"/>
      <c r="F2477" s="167"/>
      <c r="G2477" s="167"/>
      <c r="H2477" s="167"/>
      <c r="I2477" s="164">
        <f t="shared" ca="1" si="39"/>
        <v>44939</v>
      </c>
      <c r="J2477" s="163">
        <v>0.33333333333333331</v>
      </c>
      <c r="K2477" s="162" t="s">
        <v>749</v>
      </c>
      <c r="L2477" s="166"/>
      <c r="M2477" s="166"/>
      <c r="N2477" s="164"/>
      <c r="O2477" s="166"/>
      <c r="P2477" s="165"/>
    </row>
    <row r="2478" spans="1:16" ht="15" hidden="1" customHeight="1" x14ac:dyDescent="0.25">
      <c r="A2478" s="168"/>
      <c r="B2478" s="167"/>
      <c r="C2478" s="168"/>
      <c r="D2478" s="167"/>
      <c r="E2478" s="167"/>
      <c r="F2478" s="167"/>
      <c r="G2478" s="167"/>
      <c r="H2478" s="167"/>
      <c r="I2478" s="164">
        <f t="shared" ca="1" si="39"/>
        <v>44939</v>
      </c>
      <c r="J2478" s="163">
        <v>0.33333333333333331</v>
      </c>
      <c r="K2478" s="162" t="s">
        <v>749</v>
      </c>
      <c r="L2478" s="166"/>
      <c r="M2478" s="166"/>
      <c r="N2478" s="164"/>
      <c r="O2478" s="166"/>
      <c r="P2478" s="165"/>
    </row>
    <row r="2479" spans="1:16" ht="15" hidden="1" customHeight="1" x14ac:dyDescent="0.25">
      <c r="A2479" s="168"/>
      <c r="B2479" s="167"/>
      <c r="C2479" s="168"/>
      <c r="D2479" s="167"/>
      <c r="E2479" s="167"/>
      <c r="F2479" s="167"/>
      <c r="G2479" s="167"/>
      <c r="H2479" s="167"/>
      <c r="I2479" s="164">
        <f t="shared" ca="1" si="39"/>
        <v>44939</v>
      </c>
      <c r="J2479" s="163">
        <v>0.33333333333333331</v>
      </c>
      <c r="K2479" s="162" t="s">
        <v>749</v>
      </c>
      <c r="L2479" s="166"/>
      <c r="M2479" s="166"/>
      <c r="N2479" s="164"/>
      <c r="O2479" s="166"/>
      <c r="P2479" s="165"/>
    </row>
    <row r="2480" spans="1:16" ht="15" hidden="1" customHeight="1" x14ac:dyDescent="0.25">
      <c r="A2480" s="168"/>
      <c r="B2480" s="167"/>
      <c r="C2480" s="168"/>
      <c r="D2480" s="167"/>
      <c r="E2480" s="167"/>
      <c r="F2480" s="167"/>
      <c r="G2480" s="167"/>
      <c r="H2480" s="167"/>
      <c r="I2480" s="164">
        <f t="shared" ca="1" si="39"/>
        <v>44939</v>
      </c>
      <c r="J2480" s="163">
        <v>0.33333333333333331</v>
      </c>
      <c r="K2480" s="162" t="s">
        <v>749</v>
      </c>
      <c r="L2480" s="166"/>
      <c r="M2480" s="166"/>
      <c r="N2480" s="164"/>
      <c r="O2480" s="166"/>
      <c r="P2480" s="165"/>
    </row>
    <row r="2481" spans="1:16" ht="15" hidden="1" customHeight="1" x14ac:dyDescent="0.25">
      <c r="A2481" s="168"/>
      <c r="B2481" s="167"/>
      <c r="C2481" s="168"/>
      <c r="D2481" s="167"/>
      <c r="E2481" s="167"/>
      <c r="F2481" s="167"/>
      <c r="G2481" s="167"/>
      <c r="H2481" s="167"/>
      <c r="I2481" s="164">
        <f t="shared" ca="1" si="39"/>
        <v>44939</v>
      </c>
      <c r="J2481" s="163">
        <v>0.33333333333333331</v>
      </c>
      <c r="K2481" s="162" t="s">
        <v>749</v>
      </c>
      <c r="L2481" s="166"/>
      <c r="M2481" s="166"/>
      <c r="N2481" s="164"/>
      <c r="O2481" s="166"/>
      <c r="P2481" s="165"/>
    </row>
    <row r="2482" spans="1:16" ht="15" hidden="1" customHeight="1" x14ac:dyDescent="0.25">
      <c r="A2482" s="168"/>
      <c r="B2482" s="167"/>
      <c r="C2482" s="168"/>
      <c r="D2482" s="167"/>
      <c r="E2482" s="167"/>
      <c r="F2482" s="167"/>
      <c r="G2482" s="167"/>
      <c r="H2482" s="167"/>
      <c r="I2482" s="164">
        <f t="shared" ca="1" si="39"/>
        <v>44939</v>
      </c>
      <c r="J2482" s="163">
        <v>0.33333333333333331</v>
      </c>
      <c r="K2482" s="162" t="s">
        <v>749</v>
      </c>
      <c r="L2482" s="166"/>
      <c r="M2482" s="166"/>
      <c r="N2482" s="164"/>
      <c r="O2482" s="166"/>
      <c r="P2482" s="165"/>
    </row>
    <row r="2483" spans="1:16" ht="15" hidden="1" customHeight="1" x14ac:dyDescent="0.25">
      <c r="A2483" s="168"/>
      <c r="B2483" s="167"/>
      <c r="C2483" s="168"/>
      <c r="D2483" s="167"/>
      <c r="E2483" s="167"/>
      <c r="F2483" s="167"/>
      <c r="G2483" s="167"/>
      <c r="H2483" s="167"/>
      <c r="I2483" s="164">
        <f t="shared" ca="1" si="39"/>
        <v>44939</v>
      </c>
      <c r="J2483" s="163">
        <v>0.33333333333333331</v>
      </c>
      <c r="K2483" s="162" t="s">
        <v>749</v>
      </c>
      <c r="L2483" s="166"/>
      <c r="M2483" s="166"/>
      <c r="N2483" s="164"/>
      <c r="O2483" s="166"/>
      <c r="P2483" s="165"/>
    </row>
    <row r="2484" spans="1:16" ht="15" hidden="1" customHeight="1" x14ac:dyDescent="0.25">
      <c r="A2484" s="168"/>
      <c r="B2484" s="167"/>
      <c r="C2484" s="168"/>
      <c r="D2484" s="167"/>
      <c r="E2484" s="167"/>
      <c r="F2484" s="167"/>
      <c r="G2484" s="167"/>
      <c r="H2484" s="167"/>
      <c r="I2484" s="164">
        <f t="shared" ca="1" si="39"/>
        <v>44939</v>
      </c>
      <c r="J2484" s="163">
        <v>0.33333333333333331</v>
      </c>
      <c r="K2484" s="162" t="s">
        <v>749</v>
      </c>
      <c r="L2484" s="166"/>
      <c r="M2484" s="166"/>
      <c r="N2484" s="164"/>
      <c r="O2484" s="166"/>
      <c r="P2484" s="165"/>
    </row>
    <row r="2485" spans="1:16" ht="15" hidden="1" customHeight="1" x14ac:dyDescent="0.25">
      <c r="A2485" s="168"/>
      <c r="B2485" s="167"/>
      <c r="C2485" s="168"/>
      <c r="D2485" s="167"/>
      <c r="E2485" s="167"/>
      <c r="F2485" s="167"/>
      <c r="G2485" s="167"/>
      <c r="H2485" s="167"/>
      <c r="I2485" s="164">
        <f t="shared" ca="1" si="39"/>
        <v>44939</v>
      </c>
      <c r="J2485" s="163">
        <v>0.33333333333333331</v>
      </c>
      <c r="K2485" s="162" t="s">
        <v>749</v>
      </c>
      <c r="L2485" s="166"/>
      <c r="M2485" s="166"/>
      <c r="N2485" s="164"/>
      <c r="O2485" s="166"/>
      <c r="P2485" s="165"/>
    </row>
    <row r="2486" spans="1:16" ht="15" hidden="1" customHeight="1" x14ac:dyDescent="0.25">
      <c r="A2486" s="168"/>
      <c r="B2486" s="167"/>
      <c r="C2486" s="168"/>
      <c r="D2486" s="167"/>
      <c r="E2486" s="167"/>
      <c r="F2486" s="167"/>
      <c r="G2486" s="167"/>
      <c r="H2486" s="167"/>
      <c r="I2486" s="164">
        <f t="shared" ca="1" si="39"/>
        <v>44939</v>
      </c>
      <c r="J2486" s="163">
        <v>0.33333333333333331</v>
      </c>
      <c r="K2486" s="162" t="s">
        <v>749</v>
      </c>
      <c r="L2486" s="166"/>
      <c r="M2486" s="166"/>
      <c r="N2486" s="164"/>
      <c r="O2486" s="166"/>
      <c r="P2486" s="165"/>
    </row>
    <row r="2487" spans="1:16" ht="15" hidden="1" customHeight="1" x14ac:dyDescent="0.25">
      <c r="A2487" s="168"/>
      <c r="B2487" s="167"/>
      <c r="C2487" s="168"/>
      <c r="D2487" s="167"/>
      <c r="E2487" s="167"/>
      <c r="F2487" s="167"/>
      <c r="G2487" s="167"/>
      <c r="H2487" s="167"/>
      <c r="I2487" s="164">
        <f t="shared" ca="1" si="39"/>
        <v>44939</v>
      </c>
      <c r="J2487" s="163">
        <v>0.33333333333333331</v>
      </c>
      <c r="K2487" s="162" t="s">
        <v>749</v>
      </c>
      <c r="L2487" s="166"/>
      <c r="M2487" s="166"/>
      <c r="N2487" s="164"/>
      <c r="O2487" s="166"/>
      <c r="P2487" s="165"/>
    </row>
    <row r="2488" spans="1:16" ht="15" hidden="1" customHeight="1" x14ac:dyDescent="0.25">
      <c r="A2488" s="168"/>
      <c r="B2488" s="167"/>
      <c r="C2488" s="168"/>
      <c r="D2488" s="167"/>
      <c r="E2488" s="167"/>
      <c r="F2488" s="167"/>
      <c r="G2488" s="167"/>
      <c r="H2488" s="167"/>
      <c r="I2488" s="164">
        <f t="shared" ca="1" si="39"/>
        <v>44939</v>
      </c>
      <c r="J2488" s="163">
        <v>0.33333333333333331</v>
      </c>
      <c r="K2488" s="162" t="s">
        <v>749</v>
      </c>
      <c r="L2488" s="166"/>
      <c r="M2488" s="166"/>
      <c r="N2488" s="164"/>
      <c r="O2488" s="166"/>
      <c r="P2488" s="165"/>
    </row>
    <row r="2489" spans="1:16" ht="15" hidden="1" customHeight="1" x14ac:dyDescent="0.25">
      <c r="A2489" s="168"/>
      <c r="B2489" s="167"/>
      <c r="C2489" s="168"/>
      <c r="D2489" s="167"/>
      <c r="E2489" s="167"/>
      <c r="F2489" s="167"/>
      <c r="G2489" s="167"/>
      <c r="H2489" s="167"/>
      <c r="I2489" s="164">
        <f t="shared" ca="1" si="39"/>
        <v>44939</v>
      </c>
      <c r="J2489" s="163">
        <v>0.33333333333333331</v>
      </c>
      <c r="K2489" s="162" t="s">
        <v>749</v>
      </c>
      <c r="L2489" s="166"/>
      <c r="M2489" s="166"/>
      <c r="N2489" s="164"/>
      <c r="O2489" s="166"/>
      <c r="P2489" s="165"/>
    </row>
    <row r="2490" spans="1:16" ht="15" hidden="1" customHeight="1" x14ac:dyDescent="0.25">
      <c r="A2490" s="168"/>
      <c r="B2490" s="167"/>
      <c r="C2490" s="168"/>
      <c r="D2490" s="167"/>
      <c r="E2490" s="167"/>
      <c r="F2490" s="167"/>
      <c r="G2490" s="167"/>
      <c r="H2490" s="167"/>
      <c r="I2490" s="164">
        <f t="shared" ca="1" si="39"/>
        <v>44939</v>
      </c>
      <c r="J2490" s="163">
        <v>0.33333333333333331</v>
      </c>
      <c r="K2490" s="162" t="s">
        <v>749</v>
      </c>
      <c r="L2490" s="166"/>
      <c r="M2490" s="166"/>
      <c r="N2490" s="164"/>
      <c r="O2490" s="166"/>
      <c r="P2490" s="165"/>
    </row>
    <row r="2491" spans="1:16" ht="15" hidden="1" customHeight="1" x14ac:dyDescent="0.25">
      <c r="A2491" s="168"/>
      <c r="B2491" s="167"/>
      <c r="C2491" s="168"/>
      <c r="D2491" s="167"/>
      <c r="E2491" s="167"/>
      <c r="F2491" s="167"/>
      <c r="G2491" s="167"/>
      <c r="H2491" s="167"/>
      <c r="I2491" s="164">
        <f t="shared" ca="1" si="39"/>
        <v>44939</v>
      </c>
      <c r="J2491" s="163">
        <v>0.33333333333333331</v>
      </c>
      <c r="K2491" s="162" t="s">
        <v>749</v>
      </c>
      <c r="L2491" s="166"/>
      <c r="M2491" s="166"/>
      <c r="N2491" s="164"/>
      <c r="O2491" s="166"/>
      <c r="P2491" s="165"/>
    </row>
    <row r="2492" spans="1:16" ht="15" hidden="1" customHeight="1" x14ac:dyDescent="0.25">
      <c r="A2492" s="168"/>
      <c r="B2492" s="167"/>
      <c r="C2492" s="168"/>
      <c r="D2492" s="167"/>
      <c r="E2492" s="167"/>
      <c r="F2492" s="167"/>
      <c r="G2492" s="167"/>
      <c r="H2492" s="167"/>
      <c r="I2492" s="164">
        <f t="shared" ca="1" si="39"/>
        <v>44939</v>
      </c>
      <c r="J2492" s="163">
        <v>0.33333333333333331</v>
      </c>
      <c r="K2492" s="162" t="s">
        <v>749</v>
      </c>
      <c r="L2492" s="166"/>
      <c r="M2492" s="166"/>
      <c r="N2492" s="164"/>
      <c r="O2492" s="166"/>
      <c r="P2492" s="165"/>
    </row>
    <row r="2493" spans="1:16" ht="15" hidden="1" customHeight="1" x14ac:dyDescent="0.25">
      <c r="A2493" s="168"/>
      <c r="B2493" s="167"/>
      <c r="C2493" s="168"/>
      <c r="D2493" s="167"/>
      <c r="E2493" s="167"/>
      <c r="F2493" s="167"/>
      <c r="G2493" s="167"/>
      <c r="H2493" s="167"/>
      <c r="I2493" s="164">
        <f t="shared" ca="1" si="39"/>
        <v>44939</v>
      </c>
      <c r="J2493" s="163">
        <v>0.33333333333333331</v>
      </c>
      <c r="K2493" s="162" t="s">
        <v>749</v>
      </c>
      <c r="L2493" s="166"/>
      <c r="M2493" s="166"/>
      <c r="N2493" s="164"/>
      <c r="O2493" s="166"/>
      <c r="P2493" s="165"/>
    </row>
    <row r="2494" spans="1:16" ht="15" hidden="1" customHeight="1" x14ac:dyDescent="0.25">
      <c r="A2494" s="168"/>
      <c r="B2494" s="167"/>
      <c r="C2494" s="168"/>
      <c r="D2494" s="167"/>
      <c r="E2494" s="167"/>
      <c r="F2494" s="167"/>
      <c r="G2494" s="167"/>
      <c r="H2494" s="167"/>
      <c r="I2494" s="164">
        <f t="shared" ca="1" si="39"/>
        <v>44939</v>
      </c>
      <c r="J2494" s="163">
        <v>0.33333333333333331</v>
      </c>
      <c r="K2494" s="162" t="s">
        <v>749</v>
      </c>
      <c r="L2494" s="166"/>
      <c r="M2494" s="166"/>
      <c r="N2494" s="164"/>
      <c r="O2494" s="166"/>
      <c r="P2494" s="165"/>
    </row>
    <row r="2495" spans="1:16" ht="15" hidden="1" customHeight="1" x14ac:dyDescent="0.25">
      <c r="A2495" s="168"/>
      <c r="B2495" s="167"/>
      <c r="C2495" s="168"/>
      <c r="D2495" s="167"/>
      <c r="E2495" s="167"/>
      <c r="F2495" s="167"/>
      <c r="G2495" s="167"/>
      <c r="H2495" s="167"/>
      <c r="I2495" s="164">
        <f t="shared" ca="1" si="39"/>
        <v>44939</v>
      </c>
      <c r="J2495" s="163">
        <v>0.33333333333333331</v>
      </c>
      <c r="K2495" s="162" t="s">
        <v>749</v>
      </c>
      <c r="L2495" s="166"/>
      <c r="M2495" s="166"/>
      <c r="N2495" s="164"/>
      <c r="O2495" s="166"/>
      <c r="P2495" s="165"/>
    </row>
    <row r="2496" spans="1:16" ht="15" hidden="1" customHeight="1" x14ac:dyDescent="0.25">
      <c r="A2496" s="168"/>
      <c r="B2496" s="167"/>
      <c r="C2496" s="168"/>
      <c r="D2496" s="167"/>
      <c r="E2496" s="167"/>
      <c r="F2496" s="167"/>
      <c r="G2496" s="167"/>
      <c r="H2496" s="167"/>
      <c r="I2496" s="164">
        <f t="shared" ca="1" si="39"/>
        <v>44939</v>
      </c>
      <c r="J2496" s="163">
        <v>0.33333333333333331</v>
      </c>
      <c r="K2496" s="162" t="s">
        <v>749</v>
      </c>
      <c r="L2496" s="166"/>
      <c r="M2496" s="166"/>
      <c r="N2496" s="164"/>
      <c r="O2496" s="166"/>
      <c r="P2496" s="165"/>
    </row>
    <row r="2497" spans="1:16" ht="15" hidden="1" customHeight="1" x14ac:dyDescent="0.25">
      <c r="A2497" s="168"/>
      <c r="B2497" s="167"/>
      <c r="C2497" s="168"/>
      <c r="D2497" s="167"/>
      <c r="E2497" s="167"/>
      <c r="F2497" s="167"/>
      <c r="G2497" s="167"/>
      <c r="H2497" s="167"/>
      <c r="I2497" s="164">
        <f t="shared" ca="1" si="39"/>
        <v>44939</v>
      </c>
      <c r="J2497" s="163">
        <v>0.33333333333333331</v>
      </c>
      <c r="K2497" s="162" t="s">
        <v>749</v>
      </c>
      <c r="L2497" s="166"/>
      <c r="M2497" s="166"/>
      <c r="N2497" s="164"/>
      <c r="O2497" s="166"/>
      <c r="P2497" s="165"/>
    </row>
    <row r="2498" spans="1:16" ht="15" hidden="1" customHeight="1" x14ac:dyDescent="0.25">
      <c r="A2498" s="168"/>
      <c r="B2498" s="167"/>
      <c r="C2498" s="168"/>
      <c r="D2498" s="167"/>
      <c r="E2498" s="167"/>
      <c r="F2498" s="167"/>
      <c r="G2498" s="167"/>
      <c r="H2498" s="167"/>
      <c r="I2498" s="164">
        <f t="shared" ca="1" si="39"/>
        <v>44939</v>
      </c>
      <c r="J2498" s="163">
        <v>0.33333333333333331</v>
      </c>
      <c r="K2498" s="162" t="s">
        <v>749</v>
      </c>
      <c r="L2498" s="166"/>
      <c r="M2498" s="166"/>
      <c r="N2498" s="164"/>
      <c r="O2498" s="166"/>
      <c r="P2498" s="165"/>
    </row>
    <row r="2499" spans="1:16" ht="15" hidden="1" customHeight="1" x14ac:dyDescent="0.25">
      <c r="A2499" s="168"/>
      <c r="B2499" s="167"/>
      <c r="C2499" s="168"/>
      <c r="D2499" s="167"/>
      <c r="E2499" s="167"/>
      <c r="F2499" s="167"/>
      <c r="G2499" s="167"/>
      <c r="H2499" s="167"/>
      <c r="I2499" s="164">
        <f t="shared" ca="1" si="39"/>
        <v>44939</v>
      </c>
      <c r="J2499" s="163">
        <v>0.33333333333333331</v>
      </c>
      <c r="K2499" s="162" t="s">
        <v>749</v>
      </c>
      <c r="L2499" s="166"/>
      <c r="M2499" s="166"/>
      <c r="N2499" s="164"/>
      <c r="O2499" s="166"/>
      <c r="P2499" s="165"/>
    </row>
    <row r="2500" spans="1:16" ht="15" hidden="1" customHeight="1" x14ac:dyDescent="0.25">
      <c r="A2500" s="168"/>
      <c r="B2500" s="167"/>
      <c r="C2500" s="168"/>
      <c r="D2500" s="167"/>
      <c r="E2500" s="167"/>
      <c r="F2500" s="167"/>
      <c r="G2500" s="167"/>
      <c r="H2500" s="167"/>
      <c r="I2500" s="164">
        <f t="shared" ca="1" si="39"/>
        <v>44939</v>
      </c>
      <c r="J2500" s="163">
        <v>0.33333333333333331</v>
      </c>
      <c r="K2500" s="162" t="s">
        <v>749</v>
      </c>
      <c r="L2500" s="166"/>
      <c r="M2500" s="166"/>
      <c r="N2500" s="164"/>
      <c r="O2500" s="166"/>
      <c r="P2500" s="165"/>
    </row>
    <row r="2501" spans="1:16" ht="15" hidden="1" customHeight="1" x14ac:dyDescent="0.25">
      <c r="A2501" s="160"/>
      <c r="B2501" s="160"/>
      <c r="C2501" s="160"/>
      <c r="D2501" s="160"/>
      <c r="E2501" s="160"/>
      <c r="F2501" s="160"/>
      <c r="G2501" s="160"/>
      <c r="H2501" s="160"/>
      <c r="I2501" s="164">
        <f t="shared" ca="1" si="39"/>
        <v>44939</v>
      </c>
      <c r="J2501" s="163">
        <v>0.33333333333333331</v>
      </c>
      <c r="K2501" s="162" t="s">
        <v>749</v>
      </c>
      <c r="L2501" s="160"/>
      <c r="M2501" s="160"/>
      <c r="N2501" s="161"/>
      <c r="O2501" s="160"/>
      <c r="P2501" s="159"/>
    </row>
    <row r="2502" spans="1:16" ht="15" hidden="1" customHeight="1" x14ac:dyDescent="0.25">
      <c r="A2502" s="160"/>
      <c r="B2502" s="160"/>
      <c r="C2502" s="160"/>
      <c r="D2502" s="160"/>
      <c r="E2502" s="160"/>
      <c r="F2502" s="160"/>
      <c r="G2502" s="160"/>
      <c r="H2502" s="160"/>
      <c r="I2502" s="164">
        <f t="shared" ca="1" si="39"/>
        <v>44939</v>
      </c>
      <c r="J2502" s="163">
        <v>0.33333333333333331</v>
      </c>
      <c r="K2502" s="162" t="s">
        <v>749</v>
      </c>
      <c r="L2502" s="160"/>
      <c r="M2502" s="160"/>
      <c r="N2502" s="161"/>
      <c r="O2502" s="160"/>
      <c r="P2502" s="159"/>
    </row>
    <row r="2503" spans="1:16" ht="15" hidden="1" customHeight="1" x14ac:dyDescent="0.25">
      <c r="A2503" s="160"/>
      <c r="B2503" s="160"/>
      <c r="C2503" s="160"/>
      <c r="D2503" s="160"/>
      <c r="E2503" s="160"/>
      <c r="F2503" s="160"/>
      <c r="G2503" s="160"/>
      <c r="H2503" s="160"/>
      <c r="I2503" s="164">
        <f t="shared" ca="1" si="39"/>
        <v>44939</v>
      </c>
      <c r="J2503" s="163">
        <v>0.33333333333333331</v>
      </c>
      <c r="K2503" s="162" t="s">
        <v>749</v>
      </c>
      <c r="L2503" s="160"/>
      <c r="M2503" s="160"/>
      <c r="N2503" s="161"/>
      <c r="O2503" s="160"/>
      <c r="P2503" s="159"/>
    </row>
    <row r="2504" spans="1:16" ht="15" hidden="1" customHeight="1" x14ac:dyDescent="0.25">
      <c r="A2504" s="160"/>
      <c r="B2504" s="160"/>
      <c r="C2504" s="160"/>
      <c r="D2504" s="160"/>
      <c r="E2504" s="160"/>
      <c r="F2504" s="160"/>
      <c r="G2504" s="160"/>
      <c r="H2504" s="160"/>
      <c r="I2504" s="164">
        <f t="shared" ca="1" si="39"/>
        <v>44939</v>
      </c>
      <c r="J2504" s="163">
        <v>0.33333333333333331</v>
      </c>
      <c r="K2504" s="162" t="s">
        <v>749</v>
      </c>
      <c r="L2504" s="160"/>
      <c r="M2504" s="160"/>
      <c r="N2504" s="161"/>
      <c r="O2504" s="160"/>
      <c r="P2504" s="159"/>
    </row>
    <row r="2505" spans="1:16" ht="15" hidden="1" customHeight="1" x14ac:dyDescent="0.25">
      <c r="A2505" s="160"/>
      <c r="B2505" s="160"/>
      <c r="C2505" s="160"/>
      <c r="D2505" s="160"/>
      <c r="E2505" s="160"/>
      <c r="F2505" s="160"/>
      <c r="G2505" s="160"/>
      <c r="H2505" s="160"/>
      <c r="I2505" s="164">
        <f t="shared" ca="1" si="39"/>
        <v>44939</v>
      </c>
      <c r="J2505" s="163">
        <v>0.33333333333333331</v>
      </c>
      <c r="K2505" s="162" t="s">
        <v>749</v>
      </c>
      <c r="L2505" s="160"/>
      <c r="M2505" s="160"/>
      <c r="N2505" s="161"/>
      <c r="O2505" s="160"/>
      <c r="P2505" s="159"/>
    </row>
    <row r="2506" spans="1:16" ht="15" hidden="1" customHeight="1" x14ac:dyDescent="0.25">
      <c r="A2506" s="160"/>
      <c r="B2506" s="160"/>
      <c r="C2506" s="160"/>
      <c r="D2506" s="160"/>
      <c r="E2506" s="160"/>
      <c r="F2506" s="160"/>
      <c r="G2506" s="160"/>
      <c r="H2506" s="160"/>
      <c r="I2506" s="164">
        <f t="shared" ca="1" si="39"/>
        <v>44939</v>
      </c>
      <c r="J2506" s="163">
        <v>0.33333333333333331</v>
      </c>
      <c r="K2506" s="162" t="s">
        <v>749</v>
      </c>
      <c r="L2506" s="160"/>
      <c r="M2506" s="160"/>
      <c r="N2506" s="161"/>
      <c r="O2506" s="160"/>
      <c r="P2506" s="159"/>
    </row>
    <row r="2507" spans="1:16" ht="15" hidden="1" customHeight="1" x14ac:dyDescent="0.25">
      <c r="A2507" s="160"/>
      <c r="B2507" s="160"/>
      <c r="C2507" s="160"/>
      <c r="D2507" s="160"/>
      <c r="E2507" s="160"/>
      <c r="F2507" s="160"/>
      <c r="G2507" s="160"/>
      <c r="H2507" s="160"/>
      <c r="I2507" s="164">
        <f t="shared" ca="1" si="39"/>
        <v>44939</v>
      </c>
      <c r="J2507" s="163">
        <v>0.33333333333333331</v>
      </c>
      <c r="K2507" s="162" t="s">
        <v>749</v>
      </c>
      <c r="L2507" s="160"/>
      <c r="M2507" s="160"/>
      <c r="N2507" s="161"/>
      <c r="O2507" s="160"/>
      <c r="P2507" s="159"/>
    </row>
    <row r="2508" spans="1:16" ht="15" hidden="1" customHeight="1" x14ac:dyDescent="0.25">
      <c r="A2508" s="160"/>
      <c r="B2508" s="160"/>
      <c r="C2508" s="160"/>
      <c r="D2508" s="160"/>
      <c r="E2508" s="160"/>
      <c r="F2508" s="160"/>
      <c r="G2508" s="160"/>
      <c r="H2508" s="160"/>
      <c r="I2508" s="164">
        <f t="shared" ca="1" si="39"/>
        <v>44939</v>
      </c>
      <c r="J2508" s="163">
        <v>0.33333333333333331</v>
      </c>
      <c r="K2508" s="162" t="s">
        <v>749</v>
      </c>
      <c r="L2508" s="160"/>
      <c r="M2508" s="160"/>
      <c r="N2508" s="161"/>
      <c r="O2508" s="160"/>
      <c r="P2508" s="159"/>
    </row>
    <row r="2509" spans="1:16" ht="15" hidden="1" customHeight="1" x14ac:dyDescent="0.25">
      <c r="A2509" s="160"/>
      <c r="B2509" s="160"/>
      <c r="C2509" s="160"/>
      <c r="D2509" s="160"/>
      <c r="E2509" s="160"/>
      <c r="F2509" s="160"/>
      <c r="G2509" s="160"/>
      <c r="H2509" s="160"/>
      <c r="I2509" s="164">
        <f t="shared" ca="1" si="39"/>
        <v>44939</v>
      </c>
      <c r="J2509" s="163">
        <v>0.33333333333333331</v>
      </c>
      <c r="K2509" s="162" t="s">
        <v>749</v>
      </c>
      <c r="L2509" s="160"/>
      <c r="M2509" s="160"/>
      <c r="N2509" s="161"/>
      <c r="O2509" s="160"/>
      <c r="P2509" s="159"/>
    </row>
    <row r="2510" spans="1:16" ht="15" hidden="1" customHeight="1" x14ac:dyDescent="0.25">
      <c r="A2510" s="160"/>
      <c r="B2510" s="160"/>
      <c r="C2510" s="160"/>
      <c r="D2510" s="160"/>
      <c r="E2510" s="160"/>
      <c r="F2510" s="160"/>
      <c r="G2510" s="160"/>
      <c r="H2510" s="160"/>
      <c r="I2510" s="164">
        <f t="shared" ca="1" si="39"/>
        <v>44939</v>
      </c>
      <c r="J2510" s="163">
        <v>0.33333333333333331</v>
      </c>
      <c r="K2510" s="162" t="s">
        <v>749</v>
      </c>
      <c r="L2510" s="160"/>
      <c r="M2510" s="160"/>
      <c r="N2510" s="161"/>
      <c r="O2510" s="160"/>
      <c r="P2510" s="159"/>
    </row>
    <row r="2511" spans="1:16" ht="15" hidden="1" customHeight="1" x14ac:dyDescent="0.25">
      <c r="A2511" s="160"/>
      <c r="B2511" s="160"/>
      <c r="C2511" s="160"/>
      <c r="D2511" s="160"/>
      <c r="E2511" s="160"/>
      <c r="F2511" s="160"/>
      <c r="G2511" s="160"/>
      <c r="H2511" s="160"/>
      <c r="I2511" s="164">
        <f t="shared" ca="1" si="39"/>
        <v>44939</v>
      </c>
      <c r="J2511" s="163">
        <v>0.33333333333333331</v>
      </c>
      <c r="K2511" s="162" t="s">
        <v>749</v>
      </c>
      <c r="L2511" s="160"/>
      <c r="M2511" s="160"/>
      <c r="N2511" s="161"/>
      <c r="O2511" s="160"/>
      <c r="P2511" s="159"/>
    </row>
    <row r="2512" spans="1:16" ht="15" hidden="1" customHeight="1" x14ac:dyDescent="0.25">
      <c r="A2512" s="160"/>
      <c r="B2512" s="160"/>
      <c r="C2512" s="160"/>
      <c r="D2512" s="160"/>
      <c r="E2512" s="160"/>
      <c r="F2512" s="160"/>
      <c r="G2512" s="160"/>
      <c r="H2512" s="160"/>
      <c r="I2512" s="164">
        <f t="shared" ca="1" si="39"/>
        <v>44939</v>
      </c>
      <c r="J2512" s="163">
        <v>0.33333333333333331</v>
      </c>
      <c r="K2512" s="162" t="s">
        <v>749</v>
      </c>
      <c r="L2512" s="160"/>
      <c r="M2512" s="160"/>
      <c r="N2512" s="161"/>
      <c r="O2512" s="160"/>
      <c r="P2512" s="159"/>
    </row>
    <row r="2513" spans="1:16" ht="15" hidden="1" customHeight="1" x14ac:dyDescent="0.25">
      <c r="A2513" s="160"/>
      <c r="B2513" s="160"/>
      <c r="C2513" s="160"/>
      <c r="D2513" s="160"/>
      <c r="E2513" s="160"/>
      <c r="F2513" s="160"/>
      <c r="G2513" s="160"/>
      <c r="H2513" s="160"/>
      <c r="I2513" s="164">
        <f t="shared" ca="1" si="39"/>
        <v>44939</v>
      </c>
      <c r="J2513" s="163">
        <v>0.33333333333333331</v>
      </c>
      <c r="K2513" s="162" t="s">
        <v>749</v>
      </c>
      <c r="L2513" s="160"/>
      <c r="M2513" s="160"/>
      <c r="N2513" s="161"/>
      <c r="O2513" s="160"/>
      <c r="P2513" s="159"/>
    </row>
    <row r="2514" spans="1:16" ht="15" hidden="1" customHeight="1" x14ac:dyDescent="0.25">
      <c r="A2514" s="160"/>
      <c r="B2514" s="160"/>
      <c r="C2514" s="160"/>
      <c r="D2514" s="160"/>
      <c r="E2514" s="160"/>
      <c r="F2514" s="160"/>
      <c r="G2514" s="160"/>
      <c r="H2514" s="160"/>
      <c r="I2514" s="164">
        <f t="shared" ca="1" si="39"/>
        <v>44939</v>
      </c>
      <c r="J2514" s="163">
        <v>0.33333333333333331</v>
      </c>
      <c r="K2514" s="162" t="s">
        <v>749</v>
      </c>
      <c r="L2514" s="160"/>
      <c r="M2514" s="160"/>
      <c r="N2514" s="161"/>
      <c r="O2514" s="160"/>
      <c r="P2514" s="159"/>
    </row>
    <row r="2515" spans="1:16" ht="15" hidden="1" customHeight="1" x14ac:dyDescent="0.25">
      <c r="A2515" s="160"/>
      <c r="B2515" s="160"/>
      <c r="C2515" s="160"/>
      <c r="D2515" s="160"/>
      <c r="E2515" s="160"/>
      <c r="F2515" s="160"/>
      <c r="G2515" s="160"/>
      <c r="H2515" s="160"/>
      <c r="I2515" s="164">
        <f t="shared" ca="1" si="39"/>
        <v>44939</v>
      </c>
      <c r="J2515" s="163">
        <v>0.33333333333333331</v>
      </c>
      <c r="K2515" s="162" t="s">
        <v>749</v>
      </c>
      <c r="L2515" s="160"/>
      <c r="M2515" s="160"/>
      <c r="N2515" s="161"/>
      <c r="O2515" s="160"/>
      <c r="P2515" s="159"/>
    </row>
    <row r="2516" spans="1:16" ht="15" hidden="1" customHeight="1" x14ac:dyDescent="0.25">
      <c r="A2516" s="160"/>
      <c r="B2516" s="160"/>
      <c r="C2516" s="160"/>
      <c r="D2516" s="160"/>
      <c r="E2516" s="160"/>
      <c r="F2516" s="160"/>
      <c r="G2516" s="160"/>
      <c r="H2516" s="160"/>
      <c r="I2516" s="164">
        <f t="shared" ca="1" si="39"/>
        <v>44939</v>
      </c>
      <c r="J2516" s="163">
        <v>0.33333333333333331</v>
      </c>
      <c r="K2516" s="162" t="s">
        <v>749</v>
      </c>
      <c r="L2516" s="160"/>
      <c r="M2516" s="160"/>
      <c r="N2516" s="161"/>
      <c r="O2516" s="160"/>
      <c r="P2516" s="159"/>
    </row>
    <row r="2517" spans="1:16" ht="15" hidden="1" customHeight="1" x14ac:dyDescent="0.25">
      <c r="A2517" s="160"/>
      <c r="B2517" s="160"/>
      <c r="C2517" s="160"/>
      <c r="D2517" s="160"/>
      <c r="E2517" s="160"/>
      <c r="F2517" s="160"/>
      <c r="G2517" s="160"/>
      <c r="H2517" s="160"/>
      <c r="I2517" s="164">
        <f t="shared" ca="1" si="39"/>
        <v>44939</v>
      </c>
      <c r="J2517" s="163">
        <v>0.33333333333333331</v>
      </c>
      <c r="K2517" s="162" t="s">
        <v>749</v>
      </c>
      <c r="L2517" s="160"/>
      <c r="M2517" s="160"/>
      <c r="N2517" s="161"/>
      <c r="O2517" s="160"/>
      <c r="P2517" s="159"/>
    </row>
    <row r="2518" spans="1:16" ht="15" hidden="1" customHeight="1" x14ac:dyDescent="0.25">
      <c r="A2518" s="160"/>
      <c r="B2518" s="160"/>
      <c r="C2518" s="160"/>
      <c r="D2518" s="160"/>
      <c r="E2518" s="160"/>
      <c r="F2518" s="160"/>
      <c r="G2518" s="160"/>
      <c r="H2518" s="160"/>
      <c r="I2518" s="164">
        <f t="shared" ca="1" si="39"/>
        <v>44939</v>
      </c>
      <c r="J2518" s="163">
        <v>0.33333333333333331</v>
      </c>
      <c r="K2518" s="162" t="s">
        <v>749</v>
      </c>
      <c r="L2518" s="160"/>
      <c r="M2518" s="160"/>
      <c r="N2518" s="161"/>
      <c r="O2518" s="160"/>
      <c r="P2518" s="159"/>
    </row>
    <row r="2519" spans="1:16" ht="15" hidden="1" customHeight="1" x14ac:dyDescent="0.25">
      <c r="A2519" s="160"/>
      <c r="B2519" s="160"/>
      <c r="C2519" s="160"/>
      <c r="D2519" s="160"/>
      <c r="E2519" s="160"/>
      <c r="F2519" s="160"/>
      <c r="G2519" s="160"/>
      <c r="H2519" s="160"/>
      <c r="I2519" s="164">
        <f t="shared" ca="1" si="39"/>
        <v>44939</v>
      </c>
      <c r="J2519" s="163">
        <v>0.33333333333333331</v>
      </c>
      <c r="K2519" s="162" t="s">
        <v>749</v>
      </c>
      <c r="L2519" s="160"/>
      <c r="M2519" s="160"/>
      <c r="N2519" s="161"/>
      <c r="O2519" s="160"/>
      <c r="P2519" s="159"/>
    </row>
    <row r="2520" spans="1:16" ht="15" hidden="1" customHeight="1" x14ac:dyDescent="0.25">
      <c r="A2520" s="160"/>
      <c r="B2520" s="160"/>
      <c r="C2520" s="160"/>
      <c r="D2520" s="160"/>
      <c r="E2520" s="160"/>
      <c r="F2520" s="160"/>
      <c r="G2520" s="160"/>
      <c r="H2520" s="160"/>
      <c r="I2520" s="164">
        <f t="shared" ca="1" si="39"/>
        <v>44939</v>
      </c>
      <c r="J2520" s="163">
        <v>0.33333333333333331</v>
      </c>
      <c r="K2520" s="162" t="s">
        <v>749</v>
      </c>
      <c r="L2520" s="160"/>
      <c r="M2520" s="160"/>
      <c r="N2520" s="161"/>
      <c r="O2520" s="160"/>
      <c r="P2520" s="159"/>
    </row>
    <row r="2521" spans="1:16" ht="15" hidden="1" customHeight="1" x14ac:dyDescent="0.25">
      <c r="A2521" s="160"/>
      <c r="B2521" s="160"/>
      <c r="C2521" s="160"/>
      <c r="D2521" s="160"/>
      <c r="E2521" s="160"/>
      <c r="F2521" s="160"/>
      <c r="G2521" s="160"/>
      <c r="H2521" s="160"/>
      <c r="I2521" s="164">
        <f t="shared" ca="1" si="39"/>
        <v>44939</v>
      </c>
      <c r="J2521" s="163">
        <v>0.33333333333333331</v>
      </c>
      <c r="K2521" s="162" t="s">
        <v>749</v>
      </c>
      <c r="L2521" s="160"/>
      <c r="M2521" s="160"/>
      <c r="N2521" s="161"/>
      <c r="O2521" s="160"/>
      <c r="P2521" s="159"/>
    </row>
    <row r="2522" spans="1:16" ht="15" hidden="1" customHeight="1" x14ac:dyDescent="0.25">
      <c r="A2522" s="160"/>
      <c r="B2522" s="160"/>
      <c r="C2522" s="160"/>
      <c r="D2522" s="160"/>
      <c r="E2522" s="160"/>
      <c r="F2522" s="160"/>
      <c r="G2522" s="167" t="s">
        <v>1030</v>
      </c>
      <c r="H2522" s="167" t="s">
        <v>1044</v>
      </c>
      <c r="I2522" s="164">
        <f t="shared" ca="1" si="39"/>
        <v>44939</v>
      </c>
      <c r="J2522" s="163">
        <v>0.33333333333333331</v>
      </c>
      <c r="K2522" s="162" t="s">
        <v>749</v>
      </c>
      <c r="L2522" s="160"/>
      <c r="M2522" s="160"/>
      <c r="N2522" s="161"/>
      <c r="O2522" s="160"/>
      <c r="P2522" s="159"/>
    </row>
  </sheetData>
  <sheetProtection autoFilter="0"/>
  <dataConsolidate/>
  <mergeCells count="26">
    <mergeCell ref="K19:K23"/>
    <mergeCell ref="A21:B22"/>
    <mergeCell ref="A19:B20"/>
    <mergeCell ref="P10:P11"/>
    <mergeCell ref="P12:P13"/>
    <mergeCell ref="P14:P15"/>
    <mergeCell ref="P16:P17"/>
    <mergeCell ref="P19:P20"/>
    <mergeCell ref="P21:P22"/>
    <mergeCell ref="I12:J17"/>
    <mergeCell ref="I10:J11"/>
    <mergeCell ref="A16:B17"/>
    <mergeCell ref="C16:D17"/>
    <mergeCell ref="H19:H23"/>
    <mergeCell ref="I19:I23"/>
    <mergeCell ref="J19:J23"/>
    <mergeCell ref="A9:B10"/>
    <mergeCell ref="A13:B14"/>
    <mergeCell ref="C9:C10"/>
    <mergeCell ref="C13:C14"/>
    <mergeCell ref="G6:G9"/>
    <mergeCell ref="H6:H9"/>
    <mergeCell ref="I6:I9"/>
    <mergeCell ref="J6:J9"/>
    <mergeCell ref="K6:K9"/>
    <mergeCell ref="F8:F9"/>
  </mergeCells>
  <conditionalFormatting sqref="C1330:C1378 C24:C51 C1141:C1154 C1230:C1244 C1246:C1256 C1300:C1303 C1307:C1315 C1317:C1328 C1395:C65543 C1380:C1392 C1305 C1258:C1298 C1156:C1165 C1167:C1228">
    <cfRule type="duplicateValues" dxfId="12" priority="14" stopIfTrue="1"/>
  </conditionalFormatting>
  <conditionalFormatting sqref="C1393">
    <cfRule type="duplicateValues" dxfId="11" priority="13" stopIfTrue="1"/>
  </conditionalFormatting>
  <conditionalFormatting sqref="C1394">
    <cfRule type="duplicateValues" dxfId="10" priority="12" stopIfTrue="1"/>
  </conditionalFormatting>
  <conditionalFormatting sqref="C1379">
    <cfRule type="duplicateValues" dxfId="9" priority="11" stopIfTrue="1"/>
  </conditionalFormatting>
  <conditionalFormatting sqref="C1304">
    <cfRule type="duplicateValues" dxfId="8" priority="10" stopIfTrue="1"/>
  </conditionalFormatting>
  <conditionalFormatting sqref="D1257">
    <cfRule type="duplicateValues" dxfId="7" priority="9" stopIfTrue="1"/>
  </conditionalFormatting>
  <conditionalFormatting sqref="C1257">
    <cfRule type="duplicateValues" dxfId="6" priority="8" stopIfTrue="1"/>
  </conditionalFormatting>
  <conditionalFormatting sqref="D1155">
    <cfRule type="duplicateValues" dxfId="5" priority="7" stopIfTrue="1"/>
  </conditionalFormatting>
  <conditionalFormatting sqref="C1155">
    <cfRule type="duplicateValues" dxfId="4" priority="6" stopIfTrue="1"/>
  </conditionalFormatting>
  <conditionalFormatting sqref="C1166">
    <cfRule type="duplicateValues" dxfId="3" priority="5" stopIfTrue="1"/>
  </conditionalFormatting>
  <conditionalFormatting sqref="A25:A2522">
    <cfRule type="duplicateValues" dxfId="2" priority="29"/>
  </conditionalFormatting>
  <dataValidations xWindow="210" yWindow="361" count="11">
    <dataValidation type="textLength" allowBlank="1" showInputMessage="1" showErrorMessage="1" error="ESTA INGRESANDO LA INFORMACION ERRADA - VALIDE RR" promptTitle="SUB RAZON" prompt="INGRESE LA SUBRAZON DE LA MARCACION ESCALADA" sqref="H2522 H25:H2500">
      <formula1>2</formula1>
      <formula2>3</formula2>
    </dataValidation>
    <dataValidation type="textLength" operator="equal" allowBlank="1" showInputMessage="1" showErrorMessage="1" promptTitle="RAZON" prompt="VALIDE E INGRESE LA RAZON DE LA MARCACION ESCALADA" sqref="G2522 G25:G2500">
      <formula1>3</formula1>
    </dataValidation>
    <dataValidation type="textLength" allowBlank="1" showInputMessage="1" showErrorMessage="1" promptTitle="USUARIO" prompt="VALIDE E INGRESE EL USUARIO QUE ESCALA EL PQR" sqref="C532 B217:B531 C842 B1100:C1100 C1122 B1101:B1121 C216 B1817:B2405 B1123:B1134 A777 B533:B776 B778:B841 B843:B1099 B25:B30 B32:B215">
      <formula1>6</formula1>
      <formula2>10</formula2>
    </dataValidation>
    <dataValidation type="list" allowBlank="1" showErrorMessage="1" errorTitle="INGRESE EL TIPO DE RESPUESTA" error="Valide el tipo de respuesta segun la gestion" prompt="Confirme tipo de respuesta corresponde segun " sqref="C326:D326 D1167:D1256 D1395:D2500 D1380:D1392 D1305:D1378 D1258:D1303 D327:D1154 D1156:D1165 D24:D325">
      <formula1>RESPUESTA</formula1>
    </dataValidation>
    <dataValidation type="list" allowBlank="1" showInputMessage="1" showErrorMessage="1" sqref="O780:O2500 O25:O778">
      <formula1>ALIADO</formula1>
    </dataValidation>
    <dataValidation type="list" allowBlank="1" showInputMessage="1" showErrorMessage="1" sqref="O779 E24:F2500 M24:M2500">
      <formula1>INDIRECT(D24)</formula1>
    </dataValidation>
    <dataValidation type="whole" allowBlank="1" showInputMessage="1" showErrorMessage="1" error="ESTA INGRESANDO UN NUMERO DE CUENTA ERRADO" sqref="C217:C325 C327:C531 C874:C877 C1101:C1121 C79:C206 C208:C215 C1123:C1134 C1817:C2405 C533:C754 C756:C804 C806:C841 C843:C856 C858:C863 C865:C872 C879:C899 C901:C996 C998:C1099 C25:C77">
      <formula1>1</formula1>
      <formula2>99999999</formula2>
    </dataValidation>
    <dataValidation type="whole" allowBlank="1" showInputMessage="1" showErrorMessage="1" errorTitle="Nº PQR" error="ESTE INGRESANDO NUMERO DE PQR ERRADO" promptTitle="Nº PQR" prompt="Ingrese el Numero del PQR" sqref="C857 C755 C805 A1817:A2405 C873 C878 A874:A877 B31 C207 A79:A206 A998:A1134 A208:A754 A756:A776 A778:A804 A806:A872 C900 A879:A899 C997 A901:A996 C78 A25:A77">
      <formula1>300000000</formula1>
      <formula2>500000000</formula2>
    </dataValidation>
    <dataValidation type="date" allowBlank="1" showInputMessage="1" showErrorMessage="1" error="ESTA INGRESANDO FECHA ERRADA DD/MM/AAAA" prompt="INGRESE LA FECHA EN QUE SOLICITO LA CANCELACION EL CLIENTE" sqref="N24">
      <formula1>34335</formula1>
      <formula2>42735</formula2>
    </dataValidation>
    <dataValidation type="list" allowBlank="1" showInputMessage="1" showErrorMessage="1" sqref="P25:P2522">
      <formula1>$R$24:$R$34</formula1>
    </dataValidation>
    <dataValidation type="list" allowBlank="1" showInputMessage="1" showErrorMessage="1" sqref="L24:L2500">
      <formula1>BASE_DE_GESTION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 sizeWithCells="1">
                  <from>
                    <xdr:col>2</xdr:col>
                    <xdr:colOff>752475</xdr:colOff>
                    <xdr:row>7</xdr:row>
                    <xdr:rowOff>161925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 sizeWithCells="1">
                  <from>
                    <xdr:col>2</xdr:col>
                    <xdr:colOff>742950</xdr:colOff>
                    <xdr:row>8</xdr:row>
                    <xdr:rowOff>180975</xdr:rowOff>
                  </from>
                  <to>
                    <xdr:col>3</xdr:col>
                    <xdr:colOff>161925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xWindow="210" yWindow="361" count="1">
        <x14:dataValidation type="list" allowBlank="1" showInputMessage="1" showErrorMessage="1">
          <x14:formula1>
            <xm:f>'SALA DE MAQUINAS'!$BJ$1:$BJ$2</xm:f>
          </x14:formula1>
          <xm:sqref>A16:B17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BL31"/>
  <sheetViews>
    <sheetView showRowColHeaders="0" workbookViewId="0">
      <pane ySplit="3" topLeftCell="A4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20.5703125" customWidth="1"/>
    <col min="6" max="6" width="17.5703125" bestFit="1" customWidth="1"/>
    <col min="7" max="7" width="27.42578125" bestFit="1" customWidth="1"/>
    <col min="14" max="14" width="17.5703125" customWidth="1"/>
    <col min="15" max="15" width="27.42578125" customWidth="1"/>
    <col min="16" max="16" width="17.28515625" customWidth="1"/>
    <col min="19" max="19" width="17.5703125" customWidth="1"/>
    <col min="20" max="20" width="27.42578125" customWidth="1"/>
    <col min="21" max="21" width="17.28515625" bestFit="1" customWidth="1"/>
    <col min="25" max="25" width="27.28515625" customWidth="1"/>
    <col min="26" max="26" width="17.5703125" customWidth="1"/>
    <col min="27" max="27" width="27.42578125" customWidth="1"/>
    <col min="28" max="28" width="17.28515625" customWidth="1"/>
    <col min="31" max="31" width="17.5703125" customWidth="1"/>
    <col min="32" max="32" width="27.42578125" customWidth="1"/>
    <col min="33" max="33" width="17.28515625" customWidth="1"/>
    <col min="34" max="34" width="5.42578125" customWidth="1"/>
    <col min="40" max="43" width="12" customWidth="1"/>
    <col min="44" max="44" width="17.5703125" customWidth="1"/>
    <col min="45" max="45" width="27.42578125" customWidth="1"/>
    <col min="51" max="51" width="11.85546875" bestFit="1" customWidth="1"/>
    <col min="53" max="54" width="12" customWidth="1"/>
    <col min="55" max="55" width="17.5703125" customWidth="1"/>
    <col min="56" max="56" width="27.42578125" customWidth="1"/>
    <col min="57" max="57" width="12" customWidth="1"/>
    <col min="62" max="62" width="20.140625" bestFit="1" customWidth="1"/>
    <col min="64" max="64" width="14.28515625" customWidth="1"/>
  </cols>
  <sheetData>
    <row r="1" spans="1:64" x14ac:dyDescent="0.25">
      <c r="BJ1" s="218" t="s">
        <v>821</v>
      </c>
    </row>
    <row r="2" spans="1:64" x14ac:dyDescent="0.25">
      <c r="BJ2" s="218" t="s">
        <v>775</v>
      </c>
    </row>
    <row r="3" spans="1:64" x14ac:dyDescent="0.25">
      <c r="BJ3" s="190"/>
    </row>
    <row r="4" spans="1:64" x14ac:dyDescent="0.25">
      <c r="I4" t="s">
        <v>820</v>
      </c>
      <c r="AX4" s="190"/>
      <c r="AY4" s="190"/>
      <c r="AZ4" s="190"/>
      <c r="BA4" s="190"/>
    </row>
    <row r="5" spans="1:64" x14ac:dyDescent="0.25">
      <c r="A5" s="335" t="s">
        <v>819</v>
      </c>
      <c r="B5" s="335"/>
      <c r="C5" s="335"/>
      <c r="D5" s="335"/>
      <c r="E5" s="335"/>
      <c r="F5" s="335"/>
      <c r="G5" s="335"/>
      <c r="H5" s="335"/>
      <c r="AX5" s="190"/>
      <c r="AY5" s="201">
        <f>IF(AX7=1,AY7,AY8)</f>
        <v>0.69333333333333325</v>
      </c>
      <c r="AZ5" s="190"/>
      <c r="BA5" s="190"/>
      <c r="BB5" s="333" t="s">
        <v>755</v>
      </c>
      <c r="BC5" s="333"/>
      <c r="BD5" s="333"/>
      <c r="BF5" s="99"/>
      <c r="BG5" s="99">
        <f>BG7+BG8</f>
        <v>976</v>
      </c>
      <c r="BH5" s="99"/>
    </row>
    <row r="6" spans="1:64" x14ac:dyDescent="0.25">
      <c r="A6" s="334" t="s">
        <v>818</v>
      </c>
      <c r="B6" s="334"/>
      <c r="C6" s="217" t="s">
        <v>781</v>
      </c>
      <c r="D6" s="217" t="s">
        <v>750</v>
      </c>
      <c r="E6" s="217" t="s">
        <v>780</v>
      </c>
      <c r="F6" s="217" t="s">
        <v>93</v>
      </c>
      <c r="G6" s="217" t="s">
        <v>779</v>
      </c>
      <c r="H6" s="217" t="s">
        <v>210</v>
      </c>
      <c r="I6">
        <v>8</v>
      </c>
      <c r="AO6" s="333" t="s">
        <v>817</v>
      </c>
      <c r="AP6" s="333"/>
      <c r="AQ6" s="333"/>
      <c r="AV6" s="192" t="s">
        <v>816</v>
      </c>
      <c r="AW6" s="191">
        <v>1.07</v>
      </c>
      <c r="AX6" s="190"/>
      <c r="AY6" s="190"/>
      <c r="AZ6" s="190"/>
      <c r="BA6" s="216" t="s">
        <v>699</v>
      </c>
      <c r="BB6" s="215" t="s">
        <v>814</v>
      </c>
      <c r="BC6" s="215" t="s">
        <v>813</v>
      </c>
      <c r="BD6" s="215" t="s">
        <v>812</v>
      </c>
      <c r="BE6" s="214" t="s">
        <v>811</v>
      </c>
      <c r="BF6" s="99"/>
      <c r="BG6" s="99"/>
      <c r="BH6" s="99"/>
    </row>
    <row r="7" spans="1:64" ht="15.75" thickBot="1" x14ac:dyDescent="0.3">
      <c r="A7" s="334" t="s">
        <v>815</v>
      </c>
      <c r="B7" s="334"/>
      <c r="C7" s="213">
        <f>(C9/8)*$I$6</f>
        <v>79</v>
      </c>
      <c r="D7" s="213">
        <f>(D9/8)*$I$6</f>
        <v>79</v>
      </c>
      <c r="E7" s="213">
        <f>(E9/8)*$I$6</f>
        <v>56</v>
      </c>
      <c r="F7" s="213">
        <f>(F9/8)*$I$6</f>
        <v>79</v>
      </c>
      <c r="G7" s="213">
        <f>(G9/8)*$I$6</f>
        <v>79</v>
      </c>
      <c r="H7" s="212"/>
      <c r="P7" s="211">
        <v>2.5000000000000001E-2</v>
      </c>
      <c r="Q7" s="210">
        <v>0.1</v>
      </c>
      <c r="R7" s="210">
        <f>I8</f>
        <v>0.37228752260397829</v>
      </c>
      <c r="S7" s="210">
        <f>1-R7</f>
        <v>0.62771247739602165</v>
      </c>
      <c r="T7" s="210">
        <v>0.05</v>
      </c>
      <c r="AN7" s="209" t="s">
        <v>699</v>
      </c>
      <c r="AO7" s="208" t="s">
        <v>814</v>
      </c>
      <c r="AP7" s="208" t="s">
        <v>813</v>
      </c>
      <c r="AQ7" s="208" t="s">
        <v>812</v>
      </c>
      <c r="AR7" s="207" t="s">
        <v>811</v>
      </c>
      <c r="AV7" s="192" t="s">
        <v>810</v>
      </c>
      <c r="AW7" s="191">
        <v>1.07</v>
      </c>
      <c r="AX7" s="190">
        <v>1</v>
      </c>
      <c r="AY7" s="202">
        <f>AT8</f>
        <v>0.69333333333333325</v>
      </c>
      <c r="AZ7" s="190"/>
      <c r="BA7" s="197">
        <v>94</v>
      </c>
      <c r="BB7" s="197">
        <v>93</v>
      </c>
      <c r="BC7" s="197">
        <v>102</v>
      </c>
      <c r="BD7" s="197">
        <v>128</v>
      </c>
      <c r="BE7" s="197">
        <v>83</v>
      </c>
      <c r="BF7" s="99"/>
      <c r="BG7" s="99">
        <f>SUM(Tabla3[])</f>
        <v>908</v>
      </c>
      <c r="BH7" s="99"/>
      <c r="BJ7" s="206" t="s">
        <v>809</v>
      </c>
      <c r="BK7" s="205" t="s">
        <v>808</v>
      </c>
      <c r="BL7" s="205" t="s">
        <v>807</v>
      </c>
    </row>
    <row r="8" spans="1:64" ht="15.75" thickBot="1" x14ac:dyDescent="0.3">
      <c r="A8" s="334" t="s">
        <v>806</v>
      </c>
      <c r="B8" s="334"/>
      <c r="C8" s="146"/>
      <c r="D8" s="146">
        <f>AG15</f>
        <v>27</v>
      </c>
      <c r="E8" s="146">
        <f>Q15</f>
        <v>1</v>
      </c>
      <c r="F8" s="146">
        <f>V15</f>
        <v>1</v>
      </c>
      <c r="G8" s="146">
        <f>AC17</f>
        <v>0</v>
      </c>
      <c r="H8" s="204">
        <f>SUM(C8:G8)</f>
        <v>29</v>
      </c>
      <c r="I8" s="136">
        <f>SUM(C10:G10)</f>
        <v>0.37228752260397829</v>
      </c>
      <c r="AN8" s="193">
        <v>0.56999999999999995</v>
      </c>
      <c r="AO8" s="199">
        <v>0.62</v>
      </c>
      <c r="AP8" s="199">
        <v>0.71</v>
      </c>
      <c r="AQ8" s="199">
        <v>0.68</v>
      </c>
      <c r="AR8" s="198">
        <v>0.72</v>
      </c>
      <c r="AT8" s="203">
        <f>IFERROR(AVERAGE(AN8:AR13),"-")</f>
        <v>0.69333333333333325</v>
      </c>
      <c r="AV8" s="192" t="s">
        <v>805</v>
      </c>
      <c r="AW8" s="191">
        <v>1.07</v>
      </c>
      <c r="AX8" s="190"/>
      <c r="AY8" s="202">
        <f>AW18</f>
        <v>0.88583333333333325</v>
      </c>
      <c r="AZ8" s="190"/>
      <c r="BA8" s="197">
        <v>86</v>
      </c>
      <c r="BB8" s="197">
        <v>115</v>
      </c>
      <c r="BC8" s="197">
        <v>99</v>
      </c>
      <c r="BD8" s="197">
        <v>108</v>
      </c>
      <c r="BE8" s="197"/>
      <c r="BF8" s="99"/>
      <c r="BG8" s="99">
        <f>ASIGNACION!P1</f>
        <v>68</v>
      </c>
      <c r="BH8" s="99"/>
      <c r="BJ8" s="196">
        <v>1870</v>
      </c>
      <c r="BK8" s="195">
        <v>0.03</v>
      </c>
      <c r="BL8" s="194" t="s">
        <v>804</v>
      </c>
    </row>
    <row r="9" spans="1:64" ht="15.75" thickBot="1" x14ac:dyDescent="0.3">
      <c r="C9" s="190">
        <v>79</v>
      </c>
      <c r="D9" s="190">
        <v>79</v>
      </c>
      <c r="E9" s="190">
        <v>56</v>
      </c>
      <c r="F9" s="190">
        <v>79</v>
      </c>
      <c r="G9" s="190">
        <v>79</v>
      </c>
      <c r="AN9" s="193">
        <v>0.67</v>
      </c>
      <c r="AO9" s="199">
        <v>0.75</v>
      </c>
      <c r="AP9" s="199">
        <v>0.72</v>
      </c>
      <c r="AQ9" s="199">
        <v>0.8</v>
      </c>
      <c r="AR9" s="198"/>
      <c r="AV9" s="192" t="s">
        <v>803</v>
      </c>
      <c r="AW9" s="191">
        <v>1.03</v>
      </c>
      <c r="AX9" s="190"/>
      <c r="AY9" s="190"/>
      <c r="AZ9" s="190"/>
      <c r="BA9" s="197"/>
      <c r="BB9" s="197"/>
      <c r="BC9" s="197"/>
      <c r="BD9" s="197"/>
      <c r="BE9" s="197"/>
      <c r="BF9" s="99"/>
      <c r="BG9" s="99"/>
      <c r="BH9" s="99"/>
      <c r="BJ9" s="196">
        <v>2000</v>
      </c>
      <c r="BK9" s="195">
        <v>0.05</v>
      </c>
      <c r="BL9" s="194" t="s">
        <v>802</v>
      </c>
    </row>
    <row r="10" spans="1:64" ht="15.75" thickBot="1" x14ac:dyDescent="0.3">
      <c r="C10" s="201">
        <f>C8/C7</f>
        <v>0</v>
      </c>
      <c r="D10" s="201">
        <f>D8/D7</f>
        <v>0.34177215189873417</v>
      </c>
      <c r="E10" s="201">
        <f>E8/E7</f>
        <v>1.7857142857142856E-2</v>
      </c>
      <c r="F10" s="201">
        <f>F8/F7</f>
        <v>1.2658227848101266E-2</v>
      </c>
      <c r="G10" s="201">
        <f>G8/G7</f>
        <v>0</v>
      </c>
      <c r="H10" s="200"/>
      <c r="AN10" s="193"/>
      <c r="AO10" s="199"/>
      <c r="AP10" s="199"/>
      <c r="AQ10" s="199"/>
      <c r="AR10" s="198"/>
      <c r="AV10" s="192" t="s">
        <v>801</v>
      </c>
      <c r="AW10" s="191">
        <v>1</v>
      </c>
      <c r="AX10" s="190"/>
      <c r="AY10" s="190"/>
      <c r="AZ10" s="190"/>
      <c r="BA10" s="197"/>
      <c r="BB10" s="197"/>
      <c r="BC10" s="197"/>
      <c r="BD10" s="197"/>
      <c r="BE10" s="197"/>
      <c r="BF10" s="99"/>
      <c r="BG10" s="99"/>
      <c r="BH10" s="99"/>
      <c r="BJ10" s="196">
        <v>2200</v>
      </c>
      <c r="BK10" s="195">
        <v>0.1</v>
      </c>
      <c r="BL10" s="194" t="s">
        <v>800</v>
      </c>
    </row>
    <row r="11" spans="1:64" ht="15.75" thickBot="1" x14ac:dyDescent="0.3">
      <c r="AN11" s="193"/>
      <c r="AO11" s="199"/>
      <c r="AP11" s="199"/>
      <c r="AQ11" s="199"/>
      <c r="AR11" s="198"/>
      <c r="AV11" s="192" t="s">
        <v>792</v>
      </c>
      <c r="AW11" s="191">
        <v>0.84</v>
      </c>
      <c r="AX11" s="190"/>
      <c r="AY11" s="190"/>
      <c r="AZ11" s="190"/>
      <c r="BA11" s="197"/>
      <c r="BB11" s="197"/>
      <c r="BC11" s="197"/>
      <c r="BD11" s="197"/>
      <c r="BE11" s="197"/>
      <c r="BF11" s="99"/>
      <c r="BG11" s="99"/>
      <c r="BH11" s="99"/>
      <c r="BJ11" s="196">
        <v>2300</v>
      </c>
      <c r="BK11" s="195">
        <v>0.12</v>
      </c>
      <c r="BL11" s="194" t="s">
        <v>799</v>
      </c>
    </row>
    <row r="12" spans="1:64" ht="15.75" thickBot="1" x14ac:dyDescent="0.3">
      <c r="S12" t="s">
        <v>93</v>
      </c>
      <c r="AN12" s="193"/>
      <c r="AO12" s="193"/>
      <c r="AP12" s="193"/>
      <c r="AQ12" s="193"/>
      <c r="AR12" s="193"/>
      <c r="AV12" s="192" t="s">
        <v>790</v>
      </c>
      <c r="AW12" s="191">
        <v>0.85</v>
      </c>
      <c r="AX12" s="190"/>
      <c r="AY12" s="190"/>
      <c r="AZ12" s="190"/>
      <c r="BA12" s="197"/>
      <c r="BB12" s="197"/>
      <c r="BC12" s="197"/>
      <c r="BD12" s="197"/>
      <c r="BE12" s="197"/>
      <c r="BF12" s="99"/>
      <c r="BG12" s="99"/>
      <c r="BH12" s="99"/>
      <c r="BJ12" s="196">
        <v>2500</v>
      </c>
      <c r="BK12" s="195">
        <v>0.15</v>
      </c>
      <c r="BL12" s="194" t="s">
        <v>798</v>
      </c>
    </row>
    <row r="13" spans="1:64" x14ac:dyDescent="0.25">
      <c r="N13" t="s">
        <v>780</v>
      </c>
      <c r="S13" s="189" t="s">
        <v>767</v>
      </c>
      <c r="T13" t="s">
        <v>1032</v>
      </c>
      <c r="Z13" t="s">
        <v>779</v>
      </c>
      <c r="AE13" t="s">
        <v>750</v>
      </c>
      <c r="AN13" s="193"/>
      <c r="AO13" s="193"/>
      <c r="AP13" s="193"/>
      <c r="AQ13" s="193"/>
      <c r="AR13" s="193"/>
      <c r="AV13" s="192" t="s">
        <v>797</v>
      </c>
      <c r="AW13" s="191">
        <v>0.88</v>
      </c>
      <c r="AX13" s="190"/>
      <c r="AY13" s="190"/>
      <c r="AZ13" s="190"/>
      <c r="BA13" s="190"/>
      <c r="BF13" s="99"/>
      <c r="BG13" s="99"/>
      <c r="BH13" s="99"/>
    </row>
    <row r="14" spans="1:64" x14ac:dyDescent="0.25">
      <c r="F14" t="s">
        <v>781</v>
      </c>
      <c r="N14" s="189" t="s">
        <v>767</v>
      </c>
      <c r="O14" t="s">
        <v>1032</v>
      </c>
      <c r="Z14" s="189" t="s">
        <v>767</v>
      </c>
      <c r="AA14" t="s">
        <v>1032</v>
      </c>
      <c r="AV14" s="192" t="s">
        <v>796</v>
      </c>
      <c r="AW14" s="191">
        <v>0.73</v>
      </c>
    </row>
    <row r="15" spans="1:64" x14ac:dyDescent="0.25">
      <c r="Q15">
        <f>GETPIVOTDATA("SUB RAZON TICKET",$N$16)</f>
        <v>1</v>
      </c>
      <c r="S15" s="189" t="s">
        <v>791</v>
      </c>
      <c r="T15" t="s">
        <v>784</v>
      </c>
      <c r="U15" t="s">
        <v>787</v>
      </c>
      <c r="V15">
        <f>GETPIVOTDATA("SUB RAZON TICKET",$S$15)</f>
        <v>1</v>
      </c>
      <c r="Z15" t="s">
        <v>779</v>
      </c>
      <c r="AE15" s="189" t="s">
        <v>767</v>
      </c>
      <c r="AF15" t="s">
        <v>1032</v>
      </c>
      <c r="AG15">
        <f>GETPIVOTDATA("SUB RAZON TICKET",$AE$17)</f>
        <v>27</v>
      </c>
      <c r="AV15" s="192" t="s">
        <v>795</v>
      </c>
      <c r="AW15" s="191">
        <v>0.8</v>
      </c>
    </row>
    <row r="16" spans="1:64" x14ac:dyDescent="0.25">
      <c r="A16" s="189" t="s">
        <v>791</v>
      </c>
      <c r="B16" t="s">
        <v>794</v>
      </c>
      <c r="N16" s="189" t="s">
        <v>791</v>
      </c>
      <c r="O16" t="s">
        <v>784</v>
      </c>
      <c r="P16" t="s">
        <v>787</v>
      </c>
      <c r="S16" s="122" t="s">
        <v>1082</v>
      </c>
      <c r="T16" s="120">
        <v>1</v>
      </c>
      <c r="U16" s="120"/>
      <c r="Z16" s="189" t="s">
        <v>791</v>
      </c>
      <c r="AA16" t="s">
        <v>784</v>
      </c>
      <c r="AB16" t="s">
        <v>787</v>
      </c>
      <c r="AV16" s="192" t="s">
        <v>1033</v>
      </c>
      <c r="AW16" s="191">
        <v>0.7</v>
      </c>
      <c r="BK16" s="332" t="s">
        <v>793</v>
      </c>
      <c r="BL16" s="332"/>
    </row>
    <row r="17" spans="1:64" x14ac:dyDescent="0.25">
      <c r="A17" s="122" t="s">
        <v>611</v>
      </c>
      <c r="B17" s="120">
        <v>18</v>
      </c>
      <c r="C17" s="251">
        <f>IFERROR(GETPIVOTDATA("RESPUESTA",$A$16,"RESPUESTA","CORREGIDO"),"-")</f>
        <v>18</v>
      </c>
      <c r="N17" s="122" t="s">
        <v>1085</v>
      </c>
      <c r="O17" s="120">
        <v>1</v>
      </c>
      <c r="P17" s="120"/>
      <c r="S17" s="255" t="s">
        <v>1049</v>
      </c>
      <c r="T17" s="120">
        <v>1</v>
      </c>
      <c r="U17" s="120"/>
      <c r="Z17" s="122" t="s">
        <v>1085</v>
      </c>
      <c r="AA17" s="120">
        <v>1</v>
      </c>
      <c r="AB17" s="120"/>
      <c r="AC17">
        <f>GETPIVOTDATA("Cuenta de ALIADO",$Z$16)</f>
        <v>0</v>
      </c>
      <c r="AE17" s="189" t="s">
        <v>791</v>
      </c>
      <c r="AF17" t="s">
        <v>784</v>
      </c>
      <c r="AG17" t="s">
        <v>787</v>
      </c>
      <c r="AV17" s="192" t="s">
        <v>1045</v>
      </c>
      <c r="AW17" s="191">
        <v>0.59</v>
      </c>
      <c r="BK17" s="146" t="s">
        <v>792</v>
      </c>
      <c r="BL17" s="146">
        <v>2702</v>
      </c>
    </row>
    <row r="18" spans="1:64" x14ac:dyDescent="0.25">
      <c r="A18" s="122" t="s">
        <v>613</v>
      </c>
      <c r="B18" s="120">
        <v>11</v>
      </c>
      <c r="C18" s="251">
        <f>IFERROR(GETPIVOTDATA("RESPUESTA",$A$16,"RESPUESTA","RECHAZADO"),"-")</f>
        <v>11</v>
      </c>
      <c r="N18" s="255" t="s">
        <v>1049</v>
      </c>
      <c r="O18" s="120">
        <v>1</v>
      </c>
      <c r="P18" s="120"/>
      <c r="S18" s="122" t="s">
        <v>782</v>
      </c>
      <c r="T18" s="120">
        <v>1</v>
      </c>
      <c r="U18" s="120"/>
      <c r="Z18" s="255" t="s">
        <v>1049</v>
      </c>
      <c r="AA18" s="120">
        <v>1</v>
      </c>
      <c r="AB18" s="120"/>
      <c r="AE18" s="122" t="s">
        <v>1042</v>
      </c>
      <c r="AF18" s="120">
        <v>6</v>
      </c>
      <c r="AG18" s="120"/>
      <c r="AW18" s="136">
        <f>AVERAGE(AW6:AW17)</f>
        <v>0.88583333333333325</v>
      </c>
      <c r="BK18" s="146" t="s">
        <v>790</v>
      </c>
      <c r="BL18" s="146">
        <v>2775</v>
      </c>
    </row>
    <row r="19" spans="1:64" x14ac:dyDescent="0.25">
      <c r="A19" s="122" t="s">
        <v>1010</v>
      </c>
      <c r="B19" s="120">
        <v>1</v>
      </c>
      <c r="C19" s="251">
        <f>IFERROR(GETPIVOTDATA("RESPUESTA",$A$16,"RESPUESTA","ACEPTADO"),"-")</f>
        <v>1</v>
      </c>
      <c r="D19">
        <f>GETPIVOTDATA("RESPUESTA",$A$16)</f>
        <v>30</v>
      </c>
      <c r="F19" s="122"/>
      <c r="G19" s="120"/>
      <c r="N19" s="122" t="s">
        <v>782</v>
      </c>
      <c r="O19" s="120">
        <v>1</v>
      </c>
      <c r="P19" s="120"/>
      <c r="Z19" s="122" t="s">
        <v>1042</v>
      </c>
      <c r="AA19" s="120">
        <v>6</v>
      </c>
      <c r="AB19" s="120"/>
      <c r="AE19" s="255" t="s">
        <v>1049</v>
      </c>
      <c r="AF19" s="120">
        <v>6</v>
      </c>
      <c r="AG19" s="120"/>
      <c r="BK19" s="146" t="s">
        <v>789</v>
      </c>
      <c r="BL19" s="146">
        <v>1433</v>
      </c>
    </row>
    <row r="20" spans="1:64" x14ac:dyDescent="0.25">
      <c r="A20" s="122" t="s">
        <v>782</v>
      </c>
      <c r="B20" s="120">
        <v>30</v>
      </c>
      <c r="Z20" s="255" t="s">
        <v>1049</v>
      </c>
      <c r="AA20" s="120">
        <v>6</v>
      </c>
      <c r="AB20" s="120"/>
      <c r="AE20" s="122" t="s">
        <v>750</v>
      </c>
      <c r="AF20" s="120">
        <v>16</v>
      </c>
      <c r="AG20" s="120"/>
      <c r="AR20" s="189" t="s">
        <v>767</v>
      </c>
      <c r="AS20" t="s">
        <v>1032</v>
      </c>
      <c r="BK20" s="146" t="s">
        <v>788</v>
      </c>
      <c r="BL20" s="146">
        <v>1799</v>
      </c>
    </row>
    <row r="21" spans="1:64" x14ac:dyDescent="0.25">
      <c r="Z21" s="122" t="s">
        <v>750</v>
      </c>
      <c r="AA21" s="120">
        <v>16</v>
      </c>
      <c r="AB21" s="120"/>
      <c r="AE21" s="255" t="s">
        <v>1049</v>
      </c>
      <c r="AF21" s="120">
        <v>16</v>
      </c>
      <c r="AG21" s="120"/>
      <c r="BK21" s="146" t="s">
        <v>786</v>
      </c>
      <c r="BL21" s="146">
        <v>2500</v>
      </c>
    </row>
    <row r="22" spans="1:64" x14ac:dyDescent="0.25">
      <c r="Z22" s="255" t="s">
        <v>1049</v>
      </c>
      <c r="AA22" s="120">
        <v>16</v>
      </c>
      <c r="AB22" s="120"/>
      <c r="AE22" s="122" t="s">
        <v>983</v>
      </c>
      <c r="AF22" s="120">
        <v>1</v>
      </c>
      <c r="AG22" s="120"/>
      <c r="AR22" s="189" t="s">
        <v>791</v>
      </c>
      <c r="AS22" t="s">
        <v>784</v>
      </c>
      <c r="BK22" s="146" t="s">
        <v>785</v>
      </c>
      <c r="BL22" s="146">
        <v>2212</v>
      </c>
    </row>
    <row r="23" spans="1:64" x14ac:dyDescent="0.25">
      <c r="Z23" s="122" t="s">
        <v>983</v>
      </c>
      <c r="AA23" s="120">
        <v>1</v>
      </c>
      <c r="AB23" s="120"/>
      <c r="AE23" s="255" t="s">
        <v>1049</v>
      </c>
      <c r="AF23" s="120">
        <v>1</v>
      </c>
      <c r="AG23" s="120"/>
      <c r="AH23" s="120"/>
      <c r="AR23" s="122" t="s">
        <v>750</v>
      </c>
      <c r="AS23" s="120">
        <v>16</v>
      </c>
      <c r="BK23" s="146" t="s">
        <v>783</v>
      </c>
      <c r="BL23" s="146">
        <v>2168</v>
      </c>
    </row>
    <row r="24" spans="1:64" x14ac:dyDescent="0.25">
      <c r="Z24" s="255" t="s">
        <v>1049</v>
      </c>
      <c r="AA24" s="120">
        <v>1</v>
      </c>
      <c r="AB24" s="120"/>
      <c r="AE24" s="122" t="s">
        <v>1044</v>
      </c>
      <c r="AF24" s="120">
        <v>2</v>
      </c>
      <c r="AG24" s="120"/>
      <c r="AH24" s="120"/>
      <c r="AR24" s="122" t="s">
        <v>1042</v>
      </c>
      <c r="AS24" s="120">
        <v>6</v>
      </c>
    </row>
    <row r="25" spans="1:64" x14ac:dyDescent="0.25">
      <c r="Z25" s="122" t="s">
        <v>1044</v>
      </c>
      <c r="AA25" s="120">
        <v>2</v>
      </c>
      <c r="AB25" s="120"/>
      <c r="AE25" s="255" t="s">
        <v>1049</v>
      </c>
      <c r="AF25" s="120">
        <v>2</v>
      </c>
      <c r="AG25" s="120"/>
      <c r="AH25" s="120"/>
      <c r="AR25" s="122" t="s">
        <v>1044</v>
      </c>
      <c r="AS25" s="120">
        <v>2</v>
      </c>
      <c r="AU25">
        <f>MAX(AS23:AS26)</f>
        <v>16</v>
      </c>
      <c r="AV25" t="str">
        <f>IF(AU25&gt;0,INDEX(AR23:AR30,1,1),"-")</f>
        <v>PQR</v>
      </c>
    </row>
    <row r="26" spans="1:64" x14ac:dyDescent="0.25">
      <c r="Z26" s="255" t="s">
        <v>1049</v>
      </c>
      <c r="AA26" s="120">
        <v>2</v>
      </c>
      <c r="AB26" s="120"/>
      <c r="AE26" s="122" t="s">
        <v>1051</v>
      </c>
      <c r="AF26" s="120">
        <v>2</v>
      </c>
      <c r="AG26" s="120"/>
      <c r="AH26" s="120"/>
      <c r="AR26" s="122" t="s">
        <v>1051</v>
      </c>
      <c r="AS26" s="120">
        <v>2</v>
      </c>
    </row>
    <row r="27" spans="1:64" x14ac:dyDescent="0.25">
      <c r="Z27" s="122" t="s">
        <v>1051</v>
      </c>
      <c r="AA27" s="120">
        <v>2</v>
      </c>
      <c r="AB27" s="120"/>
      <c r="AE27" s="255" t="s">
        <v>1049</v>
      </c>
      <c r="AF27" s="120">
        <v>2</v>
      </c>
      <c r="AG27" s="120"/>
      <c r="AH27" s="120"/>
      <c r="AR27" s="122" t="s">
        <v>1085</v>
      </c>
      <c r="AS27" s="120">
        <v>1</v>
      </c>
      <c r="BC27" s="122"/>
      <c r="BD27" s="120"/>
    </row>
    <row r="28" spans="1:64" x14ac:dyDescent="0.25">
      <c r="Z28" s="255" t="s">
        <v>1049</v>
      </c>
      <c r="AA28" s="120">
        <v>2</v>
      </c>
      <c r="AB28" s="120"/>
      <c r="AE28" s="122" t="s">
        <v>782</v>
      </c>
      <c r="AF28" s="120">
        <v>27</v>
      </c>
      <c r="AG28" s="120"/>
      <c r="AR28" s="122" t="s">
        <v>983</v>
      </c>
      <c r="AS28" s="120">
        <v>1</v>
      </c>
      <c r="BC28" s="122"/>
      <c r="BD28" s="120"/>
    </row>
    <row r="29" spans="1:64" x14ac:dyDescent="0.25">
      <c r="Z29" s="122" t="s">
        <v>1082</v>
      </c>
      <c r="AA29" s="120">
        <v>1</v>
      </c>
      <c r="AB29" s="120"/>
      <c r="AR29" s="122" t="s">
        <v>782</v>
      </c>
      <c r="AS29" s="120">
        <v>28</v>
      </c>
      <c r="BC29" s="122"/>
      <c r="BD29" s="120"/>
    </row>
    <row r="30" spans="1:64" x14ac:dyDescent="0.25">
      <c r="Z30" s="255" t="s">
        <v>1049</v>
      </c>
      <c r="AA30" s="120">
        <v>1</v>
      </c>
      <c r="AB30" s="120"/>
      <c r="BC30" s="122"/>
      <c r="BD30" s="120"/>
    </row>
    <row r="31" spans="1:64" x14ac:dyDescent="0.25">
      <c r="Z31" s="122" t="s">
        <v>782</v>
      </c>
      <c r="AA31" s="120">
        <v>29</v>
      </c>
      <c r="AB31" s="120"/>
    </row>
  </sheetData>
  <mergeCells count="7">
    <mergeCell ref="BK16:BL16"/>
    <mergeCell ref="BB5:BD5"/>
    <mergeCell ref="A6:B6"/>
    <mergeCell ref="A7:B7"/>
    <mergeCell ref="A8:B8"/>
    <mergeCell ref="A5:H5"/>
    <mergeCell ref="AO6:AQ6"/>
  </mergeCells>
  <pageMargins left="0.7" right="0.7" top="0.75" bottom="0.75" header="0.3" footer="0.3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9" name="Spinner 1">
              <controlPr defaultSize="0" autoPict="0">
                <anchor moveWithCells="1" sizeWithCells="1">
                  <from>
                    <xdr:col>9</xdr:col>
                    <xdr:colOff>9525</xdr:colOff>
                    <xdr:row>4</xdr:row>
                    <xdr:rowOff>0</xdr:rowOff>
                  </from>
                  <to>
                    <xdr:col>10</xdr:col>
                    <xdr:colOff>228600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O34"/>
  <sheetViews>
    <sheetView showRowColHeaders="0" workbookViewId="0">
      <pane ySplit="3" topLeftCell="A4" activePane="bottomLeft" state="frozen"/>
      <selection pane="bottomLeft" activeCell="D14" sqref="D14"/>
    </sheetView>
  </sheetViews>
  <sheetFormatPr baseColWidth="10" defaultColWidth="0" defaultRowHeight="15" zeroHeight="1" x14ac:dyDescent="0.25"/>
  <cols>
    <col min="1" max="1" width="11.42578125" customWidth="1"/>
    <col min="2" max="2" width="17.28515625" bestFit="1" customWidth="1"/>
    <col min="3" max="3" width="11.7109375" bestFit="1" customWidth="1"/>
    <col min="4" max="4" width="11.42578125" customWidth="1"/>
    <col min="5" max="5" width="21.5703125" bestFit="1" customWidth="1"/>
    <col min="6" max="15" width="11.42578125" customWidth="1"/>
    <col min="16" max="16384" width="11.42578125" hidden="1"/>
  </cols>
  <sheetData>
    <row r="1" spans="1:15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</row>
    <row r="2" spans="1:15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</row>
    <row r="3" spans="1:15" x14ac:dyDescent="0.25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</row>
    <row r="4" spans="1:15" x14ac:dyDescent="0.25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</row>
    <row r="5" spans="1:15" x14ac:dyDescent="0.25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</row>
    <row r="6" spans="1:15" x14ac:dyDescent="0.25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</row>
    <row r="7" spans="1:15" x14ac:dyDescent="0.25">
      <c r="A7" s="171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</row>
    <row r="8" spans="1:15" x14ac:dyDescent="0.25">
      <c r="A8" s="171"/>
      <c r="B8" s="220" t="s">
        <v>774</v>
      </c>
      <c r="C8" s="220" t="s">
        <v>773</v>
      </c>
      <c r="D8" s="220" t="s">
        <v>823</v>
      </c>
      <c r="E8" s="220" t="s">
        <v>822</v>
      </c>
      <c r="F8" s="219" t="s">
        <v>771</v>
      </c>
      <c r="G8" s="171"/>
      <c r="H8" s="171"/>
      <c r="I8" s="171"/>
      <c r="J8" s="171"/>
      <c r="K8" s="171"/>
      <c r="L8" s="171"/>
      <c r="M8" s="171"/>
      <c r="N8" s="171"/>
      <c r="O8" s="171"/>
    </row>
    <row r="9" spans="1:15" x14ac:dyDescent="0.25">
      <c r="A9" s="171"/>
      <c r="B9" s="146">
        <v>94810526</v>
      </c>
      <c r="C9" s="146"/>
      <c r="D9" s="146">
        <v>48156646</v>
      </c>
      <c r="E9" s="146">
        <v>64126796</v>
      </c>
      <c r="F9" s="146"/>
      <c r="G9" s="171"/>
      <c r="H9" s="171"/>
      <c r="I9" s="171"/>
      <c r="J9" s="171"/>
      <c r="K9" s="171"/>
      <c r="L9" s="171"/>
      <c r="M9" s="171"/>
      <c r="N9" s="171"/>
      <c r="O9" s="171"/>
    </row>
    <row r="10" spans="1:15" x14ac:dyDescent="0.25">
      <c r="A10" s="171"/>
      <c r="B10" s="146">
        <v>20246583</v>
      </c>
      <c r="C10" s="146"/>
      <c r="D10" s="146">
        <v>38417252</v>
      </c>
      <c r="E10" s="146"/>
      <c r="F10" s="146"/>
      <c r="G10" s="171"/>
      <c r="H10" s="171"/>
      <c r="I10" s="171"/>
      <c r="J10" s="171"/>
      <c r="K10" s="171"/>
      <c r="L10" s="171"/>
      <c r="M10" s="171"/>
      <c r="N10" s="171"/>
      <c r="O10" s="171"/>
    </row>
    <row r="11" spans="1:15" x14ac:dyDescent="0.25">
      <c r="A11" s="171"/>
      <c r="B11" s="146">
        <v>37818831</v>
      </c>
      <c r="C11" s="146"/>
      <c r="D11" s="146">
        <v>68345681</v>
      </c>
      <c r="E11" s="146"/>
      <c r="F11" s="146"/>
      <c r="G11" s="171"/>
      <c r="H11" s="171"/>
      <c r="I11" s="171"/>
      <c r="J11" s="171"/>
      <c r="K11" s="171"/>
      <c r="L11" s="171"/>
      <c r="M11" s="171"/>
      <c r="N11" s="171"/>
      <c r="O11" s="171"/>
    </row>
    <row r="12" spans="1:15" x14ac:dyDescent="0.25">
      <c r="A12" s="171"/>
      <c r="B12" s="146"/>
      <c r="C12" s="146"/>
      <c r="D12" s="146">
        <v>92578869</v>
      </c>
      <c r="E12" s="146"/>
      <c r="F12" s="146"/>
      <c r="G12" s="171"/>
      <c r="H12" s="171"/>
      <c r="I12" s="171"/>
      <c r="J12" s="171"/>
      <c r="K12" s="171"/>
      <c r="L12" s="171"/>
      <c r="M12" s="171"/>
      <c r="N12" s="171"/>
      <c r="O12" s="171"/>
    </row>
    <row r="13" spans="1:15" x14ac:dyDescent="0.25">
      <c r="A13" s="171"/>
      <c r="B13" s="146"/>
      <c r="D13" s="146">
        <v>43154216</v>
      </c>
      <c r="E13" s="146"/>
      <c r="F13" s="146"/>
      <c r="G13" s="171"/>
      <c r="H13" s="171"/>
      <c r="I13" s="171"/>
      <c r="J13" s="171"/>
      <c r="K13" s="171"/>
      <c r="L13" s="171"/>
      <c r="M13" s="171"/>
      <c r="N13" s="171"/>
      <c r="O13" s="171"/>
    </row>
    <row r="14" spans="1:15" x14ac:dyDescent="0.25">
      <c r="A14" s="171"/>
      <c r="B14" s="146"/>
      <c r="C14" s="146"/>
      <c r="D14" s="146">
        <v>12436948</v>
      </c>
      <c r="E14" s="146"/>
      <c r="F14" s="146"/>
      <c r="G14" s="171"/>
      <c r="H14" s="171"/>
      <c r="I14" s="171"/>
      <c r="J14" s="171"/>
      <c r="K14" s="171"/>
      <c r="L14" s="171"/>
      <c r="M14" s="171"/>
      <c r="N14" s="171"/>
      <c r="O14" s="171"/>
    </row>
    <row r="15" spans="1:15" x14ac:dyDescent="0.25">
      <c r="A15" s="171"/>
      <c r="B15" s="146"/>
      <c r="C15" s="146"/>
      <c r="D15" s="146"/>
      <c r="E15" s="146"/>
      <c r="F15" s="146"/>
      <c r="G15" s="171"/>
      <c r="H15" s="171"/>
      <c r="I15" s="171"/>
      <c r="J15" s="171"/>
      <c r="K15" s="171"/>
      <c r="L15" s="171"/>
      <c r="M15" s="171"/>
      <c r="N15" s="171"/>
      <c r="O15" s="171"/>
    </row>
    <row r="16" spans="1:15" x14ac:dyDescent="0.25">
      <c r="A16" s="171"/>
      <c r="B16" s="146"/>
      <c r="C16" s="146"/>
      <c r="D16" s="146"/>
      <c r="E16" s="146"/>
      <c r="F16" s="146"/>
      <c r="G16" s="171"/>
      <c r="H16" s="171"/>
      <c r="I16" s="171"/>
      <c r="J16" s="171"/>
      <c r="K16" s="171"/>
      <c r="L16" s="171"/>
      <c r="M16" s="171"/>
      <c r="N16" s="171"/>
      <c r="O16" s="171"/>
    </row>
    <row r="17" spans="1:15" x14ac:dyDescent="0.25">
      <c r="A17" s="171"/>
      <c r="B17" s="146"/>
      <c r="C17" s="146"/>
      <c r="D17" s="146"/>
      <c r="E17" s="146"/>
      <c r="F17" s="146"/>
      <c r="G17" s="171"/>
      <c r="H17" s="171"/>
      <c r="I17" s="171"/>
      <c r="J17" s="171"/>
      <c r="K17" s="171"/>
      <c r="L17" s="171"/>
      <c r="M17" s="171"/>
      <c r="N17" s="171"/>
      <c r="O17" s="171"/>
    </row>
    <row r="18" spans="1:15" x14ac:dyDescent="0.25">
      <c r="A18" s="171"/>
      <c r="B18" s="146"/>
      <c r="C18" s="146"/>
      <c r="D18" s="146"/>
      <c r="E18" s="146"/>
      <c r="F18" s="146"/>
      <c r="G18" s="171"/>
      <c r="H18" s="171"/>
      <c r="I18" s="171"/>
      <c r="J18" s="171"/>
      <c r="K18" s="171"/>
      <c r="L18" s="171"/>
      <c r="M18" s="171"/>
      <c r="N18" s="171"/>
      <c r="O18" s="171"/>
    </row>
    <row r="19" spans="1:15" x14ac:dyDescent="0.25">
      <c r="A19" s="171"/>
      <c r="B19" s="146"/>
      <c r="C19" s="146"/>
      <c r="D19" s="146"/>
      <c r="E19" s="146"/>
      <c r="F19" s="146"/>
      <c r="G19" s="171"/>
      <c r="H19" s="171"/>
      <c r="I19" s="171"/>
      <c r="J19" s="171"/>
      <c r="K19" s="171"/>
      <c r="L19" s="171"/>
      <c r="M19" s="171"/>
      <c r="N19" s="171"/>
      <c r="O19" s="171"/>
    </row>
    <row r="20" spans="1:15" x14ac:dyDescent="0.25">
      <c r="A20" s="171"/>
      <c r="B20" s="146"/>
      <c r="C20" s="146"/>
      <c r="D20" s="146"/>
      <c r="E20" s="146"/>
      <c r="F20" s="146"/>
      <c r="G20" s="171"/>
      <c r="H20" s="171"/>
      <c r="I20" s="171"/>
      <c r="J20" s="171"/>
      <c r="K20" s="171"/>
      <c r="L20" s="171"/>
      <c r="M20" s="171"/>
      <c r="N20" s="171"/>
      <c r="O20" s="171"/>
    </row>
    <row r="21" spans="1:15" x14ac:dyDescent="0.25">
      <c r="A21" s="171"/>
      <c r="B21" s="146"/>
      <c r="C21" s="146"/>
      <c r="D21" s="146"/>
      <c r="E21" s="146"/>
      <c r="F21" s="146"/>
      <c r="G21" s="171"/>
      <c r="H21" s="171"/>
      <c r="I21" s="171"/>
      <c r="J21" s="171"/>
      <c r="K21" s="171"/>
      <c r="L21" s="171"/>
      <c r="M21" s="171"/>
      <c r="N21" s="171"/>
      <c r="O21" s="171"/>
    </row>
    <row r="22" spans="1:15" x14ac:dyDescent="0.25">
      <c r="A22" s="171"/>
      <c r="B22" s="146"/>
      <c r="C22" s="146"/>
      <c r="D22" s="146"/>
      <c r="E22" s="146"/>
      <c r="F22" s="146"/>
      <c r="G22" s="171"/>
      <c r="H22" s="171"/>
      <c r="I22" s="171"/>
      <c r="J22" s="171"/>
      <c r="K22" s="171"/>
      <c r="L22" s="171"/>
      <c r="M22" s="171"/>
      <c r="N22" s="171"/>
      <c r="O22" s="171"/>
    </row>
    <row r="23" spans="1:15" x14ac:dyDescent="0.25">
      <c r="A23" s="171"/>
      <c r="B23" s="146"/>
      <c r="C23" s="146"/>
      <c r="D23" s="146"/>
      <c r="E23" s="146"/>
      <c r="F23" s="146"/>
      <c r="G23" s="171"/>
      <c r="H23" s="171"/>
      <c r="I23" s="171"/>
      <c r="J23" s="171"/>
      <c r="K23" s="171"/>
      <c r="L23" s="171"/>
      <c r="M23" s="171"/>
      <c r="N23" s="171"/>
      <c r="O23" s="171"/>
    </row>
    <row r="24" spans="1:15" x14ac:dyDescent="0.25">
      <c r="A24" s="171"/>
      <c r="B24" s="146"/>
      <c r="C24" s="146"/>
      <c r="D24" s="146"/>
      <c r="E24" s="146"/>
      <c r="F24" s="146"/>
      <c r="G24" s="171"/>
      <c r="H24" s="171"/>
      <c r="I24" s="171"/>
      <c r="J24" s="171"/>
      <c r="K24" s="171"/>
      <c r="L24" s="171"/>
      <c r="M24" s="171"/>
      <c r="N24" s="171"/>
      <c r="O24" s="171"/>
    </row>
    <row r="25" spans="1:15" x14ac:dyDescent="0.25">
      <c r="A25" s="171"/>
      <c r="B25" s="146"/>
      <c r="C25" s="146"/>
      <c r="D25" s="146"/>
      <c r="E25" s="146"/>
      <c r="F25" s="146"/>
      <c r="G25" s="171"/>
      <c r="H25" s="171"/>
      <c r="I25" s="171"/>
      <c r="J25" s="171"/>
      <c r="K25" s="171"/>
      <c r="L25" s="171"/>
      <c r="M25" s="171"/>
      <c r="N25" s="171"/>
      <c r="O25" s="171"/>
    </row>
    <row r="26" spans="1:15" x14ac:dyDescent="0.25">
      <c r="A26" s="171"/>
      <c r="B26" s="146"/>
      <c r="C26" s="146"/>
      <c r="D26" s="146"/>
      <c r="E26" s="146"/>
      <c r="F26" s="146"/>
      <c r="G26" s="171"/>
      <c r="H26" s="171"/>
      <c r="I26" s="171"/>
      <c r="J26" s="171"/>
      <c r="K26" s="171"/>
      <c r="L26" s="171"/>
      <c r="M26" s="171"/>
      <c r="N26" s="171"/>
      <c r="O26" s="171"/>
    </row>
    <row r="27" spans="1:15" x14ac:dyDescent="0.25">
      <c r="A27" s="171"/>
      <c r="B27" s="146"/>
      <c r="C27" s="146"/>
      <c r="D27" s="146"/>
      <c r="E27" s="146"/>
      <c r="F27" s="146"/>
      <c r="G27" s="171"/>
      <c r="H27" s="171"/>
      <c r="I27" s="171"/>
      <c r="J27" s="171"/>
      <c r="K27" s="171"/>
      <c r="L27" s="171"/>
      <c r="M27" s="171"/>
      <c r="N27" s="171"/>
      <c r="O27" s="171"/>
    </row>
    <row r="28" spans="1:15" x14ac:dyDescent="0.25">
      <c r="A28" s="171"/>
      <c r="B28" s="146"/>
      <c r="C28" s="146"/>
      <c r="D28" s="146"/>
      <c r="E28" s="146"/>
      <c r="F28" s="146"/>
      <c r="G28" s="171"/>
      <c r="H28" s="171"/>
      <c r="I28" s="171"/>
      <c r="J28" s="171"/>
      <c r="K28" s="171"/>
      <c r="L28" s="171"/>
      <c r="M28" s="171"/>
      <c r="N28" s="171"/>
      <c r="O28" s="171"/>
    </row>
    <row r="29" spans="1:15" x14ac:dyDescent="0.25">
      <c r="A29" s="171"/>
      <c r="B29" s="146"/>
      <c r="C29" s="146"/>
      <c r="D29" s="146"/>
      <c r="E29" s="146"/>
      <c r="F29" s="146"/>
      <c r="G29" s="171"/>
      <c r="H29" s="171"/>
      <c r="I29" s="171"/>
      <c r="J29" s="171"/>
      <c r="K29" s="171"/>
      <c r="L29" s="171"/>
      <c r="M29" s="171"/>
      <c r="N29" s="171"/>
      <c r="O29" s="171"/>
    </row>
    <row r="30" spans="1:15" x14ac:dyDescent="0.25">
      <c r="A30" s="171"/>
      <c r="B30" s="146"/>
      <c r="C30" s="146"/>
      <c r="D30" s="146"/>
      <c r="E30" s="146"/>
      <c r="F30" s="146"/>
      <c r="G30" s="171"/>
      <c r="H30" s="171"/>
      <c r="I30" s="171"/>
      <c r="J30" s="171"/>
      <c r="K30" s="171"/>
      <c r="L30" s="171"/>
      <c r="M30" s="171"/>
      <c r="N30" s="171"/>
      <c r="O30" s="171"/>
    </row>
    <row r="31" spans="1:15" x14ac:dyDescent="0.25">
      <c r="A31" s="171"/>
      <c r="B31" s="146"/>
      <c r="C31" s="146"/>
      <c r="D31" s="146"/>
      <c r="E31" s="146"/>
      <c r="F31" s="146"/>
      <c r="G31" s="171"/>
      <c r="H31" s="171"/>
      <c r="I31" s="171"/>
      <c r="J31" s="171"/>
      <c r="K31" s="171"/>
      <c r="L31" s="171"/>
      <c r="M31" s="171"/>
      <c r="N31" s="171"/>
      <c r="O31" s="171"/>
    </row>
    <row r="32" spans="1:15" x14ac:dyDescent="0.25">
      <c r="A32" s="171"/>
      <c r="B32" s="146"/>
      <c r="C32" s="146"/>
      <c r="D32" s="146"/>
      <c r="E32" s="146"/>
      <c r="F32" s="146"/>
      <c r="G32" s="171"/>
      <c r="H32" s="171"/>
      <c r="I32" s="171"/>
      <c r="J32" s="171"/>
      <c r="K32" s="171"/>
      <c r="L32" s="171"/>
      <c r="M32" s="171"/>
      <c r="N32" s="171"/>
      <c r="O32" s="171"/>
    </row>
    <row r="33" spans="1:15" x14ac:dyDescent="0.25">
      <c r="A33" s="171"/>
      <c r="B33" s="250">
        <f>COUNTA(B9:B32)</f>
        <v>3</v>
      </c>
      <c r="C33" s="250">
        <f>COUNTA(C9:C32)</f>
        <v>0</v>
      </c>
      <c r="D33" s="250">
        <f>COUNTA(D9:D32)</f>
        <v>6</v>
      </c>
      <c r="E33" s="250">
        <f>COUNTA(E9:E32)</f>
        <v>1</v>
      </c>
      <c r="F33" s="250">
        <f>COUNTA(F9:F32)</f>
        <v>0</v>
      </c>
      <c r="G33" s="171"/>
      <c r="H33" s="171"/>
      <c r="I33" s="171"/>
      <c r="J33" s="171"/>
      <c r="K33" s="171"/>
      <c r="L33" s="171"/>
      <c r="M33" s="171"/>
      <c r="N33" s="171"/>
      <c r="O33" s="171"/>
    </row>
    <row r="34" spans="1:15" x14ac:dyDescent="0.25">
      <c r="A34" s="171"/>
      <c r="B34" s="171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</sheetPr>
  <dimension ref="A1:AA8245"/>
  <sheetViews>
    <sheetView topLeftCell="T1" zoomScale="70" zoomScaleNormal="70" workbookViewId="0">
      <selection activeCell="C3" sqref="C3"/>
    </sheetView>
  </sheetViews>
  <sheetFormatPr baseColWidth="10" defaultRowHeight="12.75" x14ac:dyDescent="0.2"/>
  <cols>
    <col min="1" max="1" width="66.28515625" style="222" bestFit="1" customWidth="1"/>
    <col min="2" max="4" width="80.5703125" style="222" bestFit="1" customWidth="1"/>
    <col min="5" max="5" width="71.42578125" style="222" bestFit="1" customWidth="1"/>
    <col min="6" max="6" width="59.5703125" style="222" bestFit="1" customWidth="1"/>
    <col min="7" max="8" width="80.5703125" style="222" bestFit="1" customWidth="1"/>
    <col min="9" max="9" width="17.42578125" style="222" bestFit="1" customWidth="1"/>
    <col min="10" max="10" width="66.28515625" style="222" bestFit="1" customWidth="1"/>
    <col min="11" max="11" width="48.42578125" style="222" bestFit="1" customWidth="1"/>
    <col min="12" max="12" width="66.28515625" style="222" bestFit="1" customWidth="1"/>
    <col min="13" max="13" width="52.140625" style="222" bestFit="1" customWidth="1"/>
    <col min="14" max="14" width="80.5703125" style="222" bestFit="1" customWidth="1"/>
    <col min="15" max="15" width="60.7109375" style="222" bestFit="1" customWidth="1"/>
    <col min="16" max="16" width="59.42578125" style="222" bestFit="1" customWidth="1"/>
    <col min="17" max="17" width="80.5703125" style="222" bestFit="1" customWidth="1"/>
    <col min="18" max="20" width="80.5703125" style="222" customWidth="1"/>
    <col min="21" max="21" width="76" style="221" bestFit="1" customWidth="1"/>
    <col min="22" max="22" width="20.28515625" style="221" bestFit="1" customWidth="1"/>
    <col min="23" max="23" width="13.85546875" style="221" bestFit="1" customWidth="1"/>
    <col min="24" max="24" width="72.140625" style="221" bestFit="1" customWidth="1"/>
    <col min="25" max="26" width="11.42578125" style="221"/>
    <col min="27" max="27" width="39.5703125" style="221" customWidth="1"/>
    <col min="28" max="16384" width="11.42578125" style="221"/>
  </cols>
  <sheetData>
    <row r="1" spans="1:27" ht="18.75" customHeight="1" thickBot="1" x14ac:dyDescent="0.25">
      <c r="A1" s="248" t="s">
        <v>1028</v>
      </c>
      <c r="B1" s="247" t="s">
        <v>1027</v>
      </c>
      <c r="C1" s="248" t="s">
        <v>1026</v>
      </c>
      <c r="D1" s="248" t="s">
        <v>1025</v>
      </c>
      <c r="E1" s="248" t="s">
        <v>752</v>
      </c>
      <c r="F1" s="248" t="s">
        <v>1024</v>
      </c>
      <c r="G1" s="248" t="s">
        <v>1023</v>
      </c>
      <c r="H1" s="247" t="s">
        <v>1022</v>
      </c>
      <c r="I1" s="247" t="s">
        <v>1021</v>
      </c>
      <c r="J1" s="249" t="s">
        <v>707</v>
      </c>
      <c r="K1" s="247" t="s">
        <v>1020</v>
      </c>
      <c r="L1" s="248" t="s">
        <v>94</v>
      </c>
      <c r="M1" s="247" t="s">
        <v>1019</v>
      </c>
      <c r="N1" s="248" t="s">
        <v>1018</v>
      </c>
      <c r="O1" s="247" t="s">
        <v>1017</v>
      </c>
      <c r="P1" s="247" t="s">
        <v>1016</v>
      </c>
      <c r="Q1" s="247" t="s">
        <v>1015</v>
      </c>
      <c r="R1" s="247" t="s">
        <v>1014</v>
      </c>
      <c r="S1" s="247" t="s">
        <v>1013</v>
      </c>
      <c r="T1" s="247" t="s">
        <v>1012</v>
      </c>
      <c r="U1" s="246" t="s">
        <v>1011</v>
      </c>
      <c r="V1" s="245" t="s">
        <v>756</v>
      </c>
      <c r="W1" s="245" t="s">
        <v>1010</v>
      </c>
      <c r="X1" s="245" t="s">
        <v>612</v>
      </c>
      <c r="Z1" s="244" t="s">
        <v>612</v>
      </c>
      <c r="AA1" s="243" t="s">
        <v>1009</v>
      </c>
    </row>
    <row r="2" spans="1:27" ht="18.75" customHeight="1" thickBot="1" x14ac:dyDescent="0.25">
      <c r="A2" s="235" t="s">
        <v>987</v>
      </c>
      <c r="B2" s="235" t="s">
        <v>987</v>
      </c>
      <c r="C2" s="235" t="s">
        <v>987</v>
      </c>
      <c r="D2" s="235" t="s">
        <v>994</v>
      </c>
      <c r="E2" s="235" t="s">
        <v>1008</v>
      </c>
      <c r="F2" s="235" t="s">
        <v>987</v>
      </c>
      <c r="G2" s="235" t="s">
        <v>994</v>
      </c>
      <c r="H2" s="235" t="s">
        <v>1007</v>
      </c>
      <c r="I2" s="235" t="s">
        <v>1006</v>
      </c>
      <c r="J2" s="235" t="s">
        <v>987</v>
      </c>
      <c r="K2" s="235" t="s">
        <v>1005</v>
      </c>
      <c r="L2" s="235" t="s">
        <v>1004</v>
      </c>
      <c r="M2" s="235" t="s">
        <v>1003</v>
      </c>
      <c r="N2" s="235" t="s">
        <v>994</v>
      </c>
      <c r="O2" s="235" t="s">
        <v>987</v>
      </c>
      <c r="P2" s="235" t="s">
        <v>1002</v>
      </c>
      <c r="Q2" s="235" t="s">
        <v>994</v>
      </c>
      <c r="R2" s="234" t="s">
        <v>1001</v>
      </c>
      <c r="S2" s="234" t="s">
        <v>1000</v>
      </c>
      <c r="T2" s="234" t="s">
        <v>999</v>
      </c>
      <c r="U2" s="242" t="s">
        <v>987</v>
      </c>
      <c r="V2" s="221" t="s">
        <v>998</v>
      </c>
      <c r="W2" s="221" t="s">
        <v>611</v>
      </c>
      <c r="X2" s="221" t="s">
        <v>982</v>
      </c>
      <c r="Z2" s="221" t="s">
        <v>982</v>
      </c>
      <c r="AA2" s="223" t="s">
        <v>997</v>
      </c>
    </row>
    <row r="3" spans="1:27" ht="18.75" customHeight="1" thickBot="1" x14ac:dyDescent="0.25">
      <c r="A3" s="235" t="s">
        <v>979</v>
      </c>
      <c r="B3" s="235" t="s">
        <v>994</v>
      </c>
      <c r="C3" s="235" t="s">
        <v>994</v>
      </c>
      <c r="D3" s="235" t="s">
        <v>987</v>
      </c>
      <c r="E3" s="235" t="s">
        <v>996</v>
      </c>
      <c r="F3" s="235" t="s">
        <v>995</v>
      </c>
      <c r="G3" s="235" t="s">
        <v>987</v>
      </c>
      <c r="H3" s="235" t="s">
        <v>994</v>
      </c>
      <c r="I3" s="235" t="s">
        <v>993</v>
      </c>
      <c r="J3" s="235" t="s">
        <v>992</v>
      </c>
      <c r="K3" s="235" t="s">
        <v>991</v>
      </c>
      <c r="L3" s="235" t="s">
        <v>987</v>
      </c>
      <c r="M3" s="235" t="s">
        <v>990</v>
      </c>
      <c r="N3" s="235" t="s">
        <v>987</v>
      </c>
      <c r="O3" s="235" t="s">
        <v>989</v>
      </c>
      <c r="P3" s="235" t="s">
        <v>988</v>
      </c>
      <c r="Q3" s="235" t="s">
        <v>987</v>
      </c>
      <c r="R3" s="234" t="s">
        <v>986</v>
      </c>
      <c r="S3" s="234" t="s">
        <v>985</v>
      </c>
      <c r="T3" s="234" t="s">
        <v>984</v>
      </c>
      <c r="U3" s="242" t="s">
        <v>899</v>
      </c>
      <c r="V3" s="221" t="s">
        <v>983</v>
      </c>
      <c r="W3" s="221" t="s">
        <v>613</v>
      </c>
      <c r="X3" s="221" t="s">
        <v>754</v>
      </c>
      <c r="Z3" s="221" t="s">
        <v>982</v>
      </c>
      <c r="AA3" s="224" t="s">
        <v>981</v>
      </c>
    </row>
    <row r="4" spans="1:27" ht="18.75" customHeight="1" thickBot="1" x14ac:dyDescent="0.25">
      <c r="A4" s="235" t="s">
        <v>980</v>
      </c>
      <c r="B4" s="235" t="s">
        <v>979</v>
      </c>
      <c r="C4" s="235" t="s">
        <v>978</v>
      </c>
      <c r="D4" s="235" t="s">
        <v>977</v>
      </c>
      <c r="E4" s="235" t="s">
        <v>976</v>
      </c>
      <c r="F4" s="235" t="s">
        <v>894</v>
      </c>
      <c r="G4" s="235" t="s">
        <v>975</v>
      </c>
      <c r="H4" s="235" t="s">
        <v>974</v>
      </c>
      <c r="J4" s="235" t="s">
        <v>899</v>
      </c>
      <c r="K4" s="235" t="s">
        <v>973</v>
      </c>
      <c r="L4" s="235" t="s">
        <v>972</v>
      </c>
      <c r="M4" s="235" t="s">
        <v>971</v>
      </c>
      <c r="N4" s="235" t="s">
        <v>970</v>
      </c>
      <c r="O4" s="235" t="s">
        <v>969</v>
      </c>
      <c r="P4" s="235" t="s">
        <v>968</v>
      </c>
      <c r="Q4" s="235" t="s">
        <v>941</v>
      </c>
      <c r="R4" s="234" t="s">
        <v>967</v>
      </c>
      <c r="S4" s="234" t="s">
        <v>966</v>
      </c>
      <c r="T4" s="234" t="s">
        <v>965</v>
      </c>
      <c r="U4" s="242" t="s">
        <v>891</v>
      </c>
      <c r="V4" s="221" t="s">
        <v>964</v>
      </c>
      <c r="W4" s="221" t="s">
        <v>963</v>
      </c>
      <c r="X4" s="221" t="s">
        <v>901</v>
      </c>
      <c r="Z4" s="237" t="s">
        <v>754</v>
      </c>
      <c r="AA4" s="231" t="s">
        <v>962</v>
      </c>
    </row>
    <row r="5" spans="1:27" ht="18.75" customHeight="1" thickBot="1" x14ac:dyDescent="0.25">
      <c r="A5" s="235" t="s">
        <v>961</v>
      </c>
      <c r="B5" s="235" t="s">
        <v>960</v>
      </c>
      <c r="C5" s="235" t="s">
        <v>932</v>
      </c>
      <c r="D5" s="235" t="s">
        <v>899</v>
      </c>
      <c r="E5" s="235" t="s">
        <v>959</v>
      </c>
      <c r="F5" s="235" t="s">
        <v>879</v>
      </c>
      <c r="G5" s="235" t="s">
        <v>958</v>
      </c>
      <c r="H5" s="235" t="s">
        <v>957</v>
      </c>
      <c r="J5" s="235" t="s">
        <v>891</v>
      </c>
      <c r="K5" s="235" t="s">
        <v>956</v>
      </c>
      <c r="L5" s="235" t="s">
        <v>955</v>
      </c>
      <c r="M5" s="235" t="s">
        <v>954</v>
      </c>
      <c r="N5" s="235" t="s">
        <v>899</v>
      </c>
      <c r="O5" s="235" t="s">
        <v>953</v>
      </c>
      <c r="P5" s="235" t="s">
        <v>952</v>
      </c>
      <c r="Q5" s="235" t="s">
        <v>929</v>
      </c>
      <c r="R5" s="234" t="s">
        <v>951</v>
      </c>
      <c r="S5" s="234" t="s">
        <v>950</v>
      </c>
      <c r="T5" s="234" t="s">
        <v>949</v>
      </c>
      <c r="U5" s="242" t="s">
        <v>879</v>
      </c>
      <c r="V5" s="221" t="s">
        <v>948</v>
      </c>
      <c r="X5" s="221" t="s">
        <v>857</v>
      </c>
      <c r="Z5" s="232" t="s">
        <v>754</v>
      </c>
      <c r="AA5" s="231" t="s">
        <v>947</v>
      </c>
    </row>
    <row r="6" spans="1:27" ht="18.75" customHeight="1" thickBot="1" x14ac:dyDescent="0.3">
      <c r="A6" s="235" t="s">
        <v>946</v>
      </c>
      <c r="B6" s="235" t="s">
        <v>945</v>
      </c>
      <c r="C6" s="235" t="s">
        <v>944</v>
      </c>
      <c r="D6" s="235" t="s">
        <v>891</v>
      </c>
      <c r="E6" s="235" t="s">
        <v>943</v>
      </c>
      <c r="F6" s="235" t="s">
        <v>942</v>
      </c>
      <c r="G6" s="235" t="s">
        <v>941</v>
      </c>
      <c r="H6" s="235" t="s">
        <v>940</v>
      </c>
      <c r="J6" s="235" t="s">
        <v>879</v>
      </c>
      <c r="K6" s="235" t="s">
        <v>939</v>
      </c>
      <c r="L6" s="235" t="s">
        <v>938</v>
      </c>
      <c r="M6" s="235" t="s">
        <v>937</v>
      </c>
      <c r="N6" s="235" t="s">
        <v>891</v>
      </c>
      <c r="O6" s="235" t="s">
        <v>936</v>
      </c>
      <c r="P6" s="235" t="s">
        <v>907</v>
      </c>
      <c r="Q6" s="235" t="s">
        <v>916</v>
      </c>
      <c r="R6" s="234" t="s">
        <v>935</v>
      </c>
      <c r="S6" s="234" t="s">
        <v>934</v>
      </c>
      <c r="T6" s="234"/>
      <c r="U6" s="242" t="s">
        <v>848</v>
      </c>
      <c r="V6"/>
      <c r="X6" s="221" t="s">
        <v>933</v>
      </c>
      <c r="Z6" s="232" t="s">
        <v>754</v>
      </c>
      <c r="AA6" s="231" t="s">
        <v>753</v>
      </c>
    </row>
    <row r="7" spans="1:27" ht="18.75" customHeight="1" x14ac:dyDescent="0.25">
      <c r="A7" s="235" t="s">
        <v>899</v>
      </c>
      <c r="B7" s="235" t="s">
        <v>932</v>
      </c>
      <c r="C7" s="235" t="s">
        <v>931</v>
      </c>
      <c r="D7" s="235" t="s">
        <v>879</v>
      </c>
      <c r="E7" s="235" t="s">
        <v>751</v>
      </c>
      <c r="F7" s="235" t="s">
        <v>930</v>
      </c>
      <c r="G7" s="235" t="s">
        <v>929</v>
      </c>
      <c r="H7" s="235" t="s">
        <v>928</v>
      </c>
      <c r="J7" s="235" t="s">
        <v>927</v>
      </c>
      <c r="K7" s="235" t="s">
        <v>926</v>
      </c>
      <c r="L7" s="235" t="s">
        <v>925</v>
      </c>
      <c r="M7" s="235" t="s">
        <v>924</v>
      </c>
      <c r="N7" s="235" t="s">
        <v>879</v>
      </c>
      <c r="O7" s="235" t="s">
        <v>923</v>
      </c>
      <c r="P7" s="235" t="s">
        <v>922</v>
      </c>
      <c r="Q7" s="235" t="s">
        <v>894</v>
      </c>
      <c r="R7" s="234" t="s">
        <v>921</v>
      </c>
      <c r="S7" s="234"/>
      <c r="T7" s="234"/>
      <c r="U7" s="238"/>
      <c r="V7"/>
      <c r="X7" s="221" t="s">
        <v>850</v>
      </c>
      <c r="Z7" s="232" t="s">
        <v>754</v>
      </c>
      <c r="AA7" s="231" t="s">
        <v>920</v>
      </c>
    </row>
    <row r="8" spans="1:27" ht="18.75" customHeight="1" thickBot="1" x14ac:dyDescent="0.25">
      <c r="A8" s="235" t="s">
        <v>891</v>
      </c>
      <c r="B8" s="235" t="s">
        <v>919</v>
      </c>
      <c r="C8" s="235" t="s">
        <v>918</v>
      </c>
      <c r="D8" s="235" t="s">
        <v>874</v>
      </c>
      <c r="F8" s="235" t="s">
        <v>917</v>
      </c>
      <c r="G8" s="235" t="s">
        <v>916</v>
      </c>
      <c r="H8" s="235" t="s">
        <v>915</v>
      </c>
      <c r="J8" s="235" t="s">
        <v>914</v>
      </c>
      <c r="L8" s="235" t="s">
        <v>899</v>
      </c>
      <c r="M8" s="235" t="s">
        <v>913</v>
      </c>
      <c r="N8" s="235" t="s">
        <v>874</v>
      </c>
      <c r="O8" s="235" t="s">
        <v>912</v>
      </c>
      <c r="P8" s="235" t="s">
        <v>911</v>
      </c>
      <c r="Q8" s="241" t="s">
        <v>891</v>
      </c>
      <c r="R8" s="234" t="s">
        <v>910</v>
      </c>
      <c r="S8" s="234"/>
      <c r="T8" s="234"/>
      <c r="U8" s="238"/>
      <c r="V8" s="221" t="s">
        <v>885</v>
      </c>
      <c r="X8" s="221" t="s">
        <v>827</v>
      </c>
      <c r="Z8" s="230" t="s">
        <v>754</v>
      </c>
      <c r="AA8" s="231" t="s">
        <v>909</v>
      </c>
    </row>
    <row r="9" spans="1:27" ht="18.75" customHeight="1" thickBot="1" x14ac:dyDescent="0.25">
      <c r="A9" s="235" t="s">
        <v>879</v>
      </c>
      <c r="B9" s="235" t="s">
        <v>908</v>
      </c>
      <c r="C9" s="235" t="s">
        <v>899</v>
      </c>
      <c r="D9" s="235" t="s">
        <v>868</v>
      </c>
      <c r="F9" s="235" t="s">
        <v>848</v>
      </c>
      <c r="G9" s="235" t="s">
        <v>894</v>
      </c>
      <c r="H9" s="235" t="s">
        <v>907</v>
      </c>
      <c r="J9" s="235" t="s">
        <v>906</v>
      </c>
      <c r="L9" s="235" t="s">
        <v>891</v>
      </c>
      <c r="M9" s="235" t="s">
        <v>905</v>
      </c>
      <c r="N9" s="235" t="s">
        <v>868</v>
      </c>
      <c r="O9" s="235" t="s">
        <v>904</v>
      </c>
      <c r="Q9" s="235" t="s">
        <v>879</v>
      </c>
      <c r="R9" s="234" t="s">
        <v>903</v>
      </c>
      <c r="S9" s="234"/>
      <c r="T9" s="234"/>
      <c r="U9" s="238"/>
      <c r="V9" s="221" t="s">
        <v>877</v>
      </c>
      <c r="X9" s="221" t="s">
        <v>902</v>
      </c>
      <c r="Z9" s="240" t="s">
        <v>901</v>
      </c>
      <c r="AA9" s="239" t="s">
        <v>900</v>
      </c>
    </row>
    <row r="10" spans="1:27" ht="18.75" customHeight="1" x14ac:dyDescent="0.2">
      <c r="A10" s="235" t="s">
        <v>848</v>
      </c>
      <c r="B10" s="235" t="s">
        <v>899</v>
      </c>
      <c r="C10" s="241" t="s">
        <v>891</v>
      </c>
      <c r="D10" s="235" t="s">
        <v>895</v>
      </c>
      <c r="G10" s="241" t="s">
        <v>891</v>
      </c>
      <c r="H10" s="235" t="s">
        <v>898</v>
      </c>
      <c r="J10" s="235" t="s">
        <v>897</v>
      </c>
      <c r="L10" s="235" t="s">
        <v>879</v>
      </c>
      <c r="M10" s="235" t="s">
        <v>896</v>
      </c>
      <c r="N10" s="235" t="s">
        <v>895</v>
      </c>
      <c r="O10" s="235" t="s">
        <v>894</v>
      </c>
      <c r="Q10" s="235" t="s">
        <v>882</v>
      </c>
      <c r="R10" s="234" t="s">
        <v>552</v>
      </c>
      <c r="S10" s="234"/>
      <c r="T10" s="234"/>
      <c r="U10" s="238"/>
      <c r="V10" s="221" t="s">
        <v>893</v>
      </c>
      <c r="Z10" s="237" t="s">
        <v>857</v>
      </c>
      <c r="AA10" s="236" t="s">
        <v>892</v>
      </c>
    </row>
    <row r="11" spans="1:27" ht="18.75" customHeight="1" x14ac:dyDescent="0.2">
      <c r="B11" s="241" t="s">
        <v>891</v>
      </c>
      <c r="C11" s="235" t="s">
        <v>879</v>
      </c>
      <c r="D11" s="235" t="s">
        <v>848</v>
      </c>
      <c r="G11" s="235" t="s">
        <v>879</v>
      </c>
      <c r="H11" s="235" t="s">
        <v>890</v>
      </c>
      <c r="J11" s="235" t="s">
        <v>889</v>
      </c>
      <c r="L11" s="235" t="s">
        <v>848</v>
      </c>
      <c r="M11" s="235" t="s">
        <v>888</v>
      </c>
      <c r="N11" s="235" t="s">
        <v>848</v>
      </c>
      <c r="O11" s="235" t="s">
        <v>887</v>
      </c>
      <c r="Q11" s="235" t="s">
        <v>874</v>
      </c>
      <c r="R11" s="234" t="s">
        <v>886</v>
      </c>
      <c r="S11" s="233"/>
      <c r="T11" s="238"/>
      <c r="U11" s="238"/>
      <c r="V11" s="221" t="s">
        <v>885</v>
      </c>
      <c r="Z11" s="232" t="s">
        <v>857</v>
      </c>
      <c r="AA11" s="231" t="s">
        <v>884</v>
      </c>
    </row>
    <row r="12" spans="1:27" ht="18.75" customHeight="1" x14ac:dyDescent="0.2">
      <c r="B12" s="235" t="s">
        <v>879</v>
      </c>
      <c r="C12" s="235" t="s">
        <v>883</v>
      </c>
      <c r="G12" s="235" t="s">
        <v>882</v>
      </c>
      <c r="H12" s="235" t="s">
        <v>881</v>
      </c>
      <c r="J12" s="235" t="s">
        <v>848</v>
      </c>
      <c r="M12" s="235" t="s">
        <v>880</v>
      </c>
      <c r="O12" s="235" t="s">
        <v>879</v>
      </c>
      <c r="Q12" s="235" t="s">
        <v>868</v>
      </c>
      <c r="R12" s="234" t="s">
        <v>878</v>
      </c>
      <c r="S12" s="233"/>
      <c r="T12" s="238"/>
      <c r="U12" s="238"/>
      <c r="V12" s="221" t="s">
        <v>877</v>
      </c>
      <c r="Z12" s="232" t="s">
        <v>857</v>
      </c>
      <c r="AA12" s="231" t="s">
        <v>876</v>
      </c>
    </row>
    <row r="13" spans="1:27" ht="18.75" customHeight="1" x14ac:dyDescent="0.25">
      <c r="B13" s="235" t="s">
        <v>874</v>
      </c>
      <c r="C13" s="235" t="s">
        <v>875</v>
      </c>
      <c r="G13" s="235" t="s">
        <v>874</v>
      </c>
      <c r="H13" s="235" t="s">
        <v>873</v>
      </c>
      <c r="M13" s="235" t="s">
        <v>872</v>
      </c>
      <c r="O13" s="235" t="s">
        <v>871</v>
      </c>
      <c r="Q13" s="235" t="s">
        <v>861</v>
      </c>
      <c r="R13" s="234" t="s">
        <v>870</v>
      </c>
      <c r="S13" s="233"/>
      <c r="T13" s="238"/>
      <c r="U13" s="238"/>
      <c r="V13"/>
      <c r="Z13" s="232" t="s">
        <v>857</v>
      </c>
      <c r="AA13" s="231" t="s">
        <v>869</v>
      </c>
    </row>
    <row r="14" spans="1:27" ht="18.75" customHeight="1" x14ac:dyDescent="0.25">
      <c r="B14" s="235" t="s">
        <v>868</v>
      </c>
      <c r="C14" s="235" t="s">
        <v>848</v>
      </c>
      <c r="G14" s="235" t="s">
        <v>868</v>
      </c>
      <c r="H14" s="235" t="s">
        <v>867</v>
      </c>
      <c r="M14" s="235" t="s">
        <v>866</v>
      </c>
      <c r="O14" s="235" t="s">
        <v>865</v>
      </c>
      <c r="Q14" s="235" t="s">
        <v>854</v>
      </c>
      <c r="R14" s="234" t="s">
        <v>864</v>
      </c>
      <c r="S14" s="233"/>
      <c r="T14" s="238"/>
      <c r="U14" s="238"/>
      <c r="V14"/>
      <c r="Z14" s="232" t="s">
        <v>857</v>
      </c>
      <c r="AA14" s="231" t="s">
        <v>863</v>
      </c>
    </row>
    <row r="15" spans="1:27" ht="18.75" customHeight="1" thickBot="1" x14ac:dyDescent="0.3">
      <c r="B15" s="235" t="s">
        <v>862</v>
      </c>
      <c r="G15" s="235" t="s">
        <v>861</v>
      </c>
      <c r="H15" s="235" t="s">
        <v>860</v>
      </c>
      <c r="M15" s="235" t="s">
        <v>859</v>
      </c>
      <c r="O15" s="235" t="s">
        <v>848</v>
      </c>
      <c r="Q15" s="235" t="s">
        <v>848</v>
      </c>
      <c r="R15" s="234" t="s">
        <v>858</v>
      </c>
      <c r="S15" s="233"/>
      <c r="T15" s="238"/>
      <c r="U15" s="238"/>
      <c r="V15"/>
      <c r="Z15" s="232" t="s">
        <v>857</v>
      </c>
      <c r="AA15" s="229" t="s">
        <v>856</v>
      </c>
    </row>
    <row r="16" spans="1:27" ht="18.75" customHeight="1" thickBot="1" x14ac:dyDescent="0.3">
      <c r="B16" s="235" t="s">
        <v>855</v>
      </c>
      <c r="G16" s="235" t="s">
        <v>854</v>
      </c>
      <c r="H16" s="235" t="s">
        <v>853</v>
      </c>
      <c r="O16" s="235" t="s">
        <v>852</v>
      </c>
      <c r="Q16" s="235" t="s">
        <v>844</v>
      </c>
      <c r="R16" s="234" t="s">
        <v>851</v>
      </c>
      <c r="S16" s="233"/>
      <c r="T16" s="238"/>
      <c r="U16" s="238"/>
      <c r="V16"/>
      <c r="Z16" s="240" t="s">
        <v>850</v>
      </c>
      <c r="AA16" s="239" t="s">
        <v>849</v>
      </c>
    </row>
    <row r="17" spans="2:27" ht="18.75" customHeight="1" x14ac:dyDescent="0.25">
      <c r="B17" s="235" t="s">
        <v>848</v>
      </c>
      <c r="G17" s="235" t="s">
        <v>848</v>
      </c>
      <c r="H17" s="235" t="s">
        <v>847</v>
      </c>
      <c r="Q17" s="235" t="s">
        <v>840</v>
      </c>
      <c r="R17" s="234" t="s">
        <v>846</v>
      </c>
      <c r="S17" s="233"/>
      <c r="T17" s="238"/>
      <c r="U17" s="223"/>
      <c r="V17"/>
      <c r="Z17" s="237" t="s">
        <v>827</v>
      </c>
      <c r="AA17" s="236" t="s">
        <v>845</v>
      </c>
    </row>
    <row r="18" spans="2:27" ht="18.75" customHeight="1" x14ac:dyDescent="0.25">
      <c r="G18" s="235" t="s">
        <v>844</v>
      </c>
      <c r="H18" s="235" t="s">
        <v>843</v>
      </c>
      <c r="R18" s="234" t="s">
        <v>842</v>
      </c>
      <c r="S18" s="233"/>
      <c r="U18" s="223"/>
      <c r="V18"/>
      <c r="Z18" s="232" t="s">
        <v>827</v>
      </c>
      <c r="AA18" s="231" t="s">
        <v>841</v>
      </c>
    </row>
    <row r="19" spans="2:27" ht="18.75" customHeight="1" x14ac:dyDescent="0.25">
      <c r="G19" s="235" t="s">
        <v>840</v>
      </c>
      <c r="H19" s="235" t="s">
        <v>839</v>
      </c>
      <c r="R19" s="234" t="s">
        <v>838</v>
      </c>
      <c r="S19" s="233"/>
      <c r="U19" s="223"/>
      <c r="V19"/>
      <c r="Z19" s="232" t="s">
        <v>827</v>
      </c>
      <c r="AA19" s="231" t="s">
        <v>837</v>
      </c>
    </row>
    <row r="20" spans="2:27" ht="18.75" customHeight="1" x14ac:dyDescent="0.25">
      <c r="H20" s="235" t="s">
        <v>836</v>
      </c>
      <c r="R20" s="234" t="s">
        <v>835</v>
      </c>
      <c r="S20" s="233"/>
      <c r="U20" s="223"/>
      <c r="V20"/>
      <c r="Z20" s="232" t="s">
        <v>827</v>
      </c>
      <c r="AA20" s="231" t="s">
        <v>834</v>
      </c>
    </row>
    <row r="21" spans="2:27" ht="18.75" customHeight="1" x14ac:dyDescent="0.25">
      <c r="H21" s="235" t="s">
        <v>833</v>
      </c>
      <c r="R21" s="234" t="s">
        <v>832</v>
      </c>
      <c r="S21" s="233"/>
      <c r="U21" s="223"/>
      <c r="V21"/>
      <c r="Z21" s="232" t="s">
        <v>827</v>
      </c>
      <c r="AA21" s="231" t="s">
        <v>831</v>
      </c>
    </row>
    <row r="22" spans="2:27" ht="18.75" customHeight="1" x14ac:dyDescent="0.25">
      <c r="H22" s="235" t="s">
        <v>830</v>
      </c>
      <c r="R22" s="234" t="s">
        <v>829</v>
      </c>
      <c r="S22" s="233"/>
      <c r="U22" s="223"/>
      <c r="V22"/>
      <c r="Z22" s="232" t="s">
        <v>827</v>
      </c>
      <c r="AA22" s="231" t="s">
        <v>828</v>
      </c>
    </row>
    <row r="23" spans="2:27" ht="18.75" customHeight="1" thickBot="1" x14ac:dyDescent="0.3">
      <c r="U23" s="223"/>
      <c r="V23"/>
      <c r="Z23" s="230" t="s">
        <v>827</v>
      </c>
      <c r="AA23" s="229" t="s">
        <v>826</v>
      </c>
    </row>
    <row r="24" spans="2:27" ht="18.75" customHeight="1" x14ac:dyDescent="0.25">
      <c r="U24" s="223"/>
      <c r="V24"/>
      <c r="Z24" s="228" t="s">
        <v>825</v>
      </c>
      <c r="AA24" s="227" t="s">
        <v>824</v>
      </c>
    </row>
    <row r="25" spans="2:27" ht="18.75" customHeight="1" x14ac:dyDescent="0.25">
      <c r="U25" s="223"/>
      <c r="V25"/>
      <c r="Z25" s="226" t="s">
        <v>825</v>
      </c>
      <c r="AA25" s="223" t="s">
        <v>824</v>
      </c>
    </row>
    <row r="26" spans="2:27" ht="18.75" customHeight="1" thickBot="1" x14ac:dyDescent="0.3">
      <c r="U26" s="223"/>
      <c r="V26"/>
      <c r="Z26" s="225" t="s">
        <v>825</v>
      </c>
      <c r="AA26" s="224" t="s">
        <v>824</v>
      </c>
    </row>
    <row r="27" spans="2:27" ht="18.75" customHeight="1" x14ac:dyDescent="0.25">
      <c r="U27" s="223"/>
      <c r="V27"/>
    </row>
    <row r="28" spans="2:27" ht="18.75" customHeight="1" x14ac:dyDescent="0.25">
      <c r="V28"/>
    </row>
    <row r="29" spans="2:27" ht="18.75" customHeight="1" x14ac:dyDescent="0.25">
      <c r="V29"/>
    </row>
    <row r="30" spans="2:27" ht="15" x14ac:dyDescent="0.25">
      <c r="V30"/>
    </row>
    <row r="31" spans="2:27" ht="15" x14ac:dyDescent="0.25">
      <c r="V31"/>
    </row>
    <row r="32" spans="2:27" ht="15" x14ac:dyDescent="0.25">
      <c r="V32"/>
    </row>
    <row r="33" spans="22:22" ht="15" x14ac:dyDescent="0.25">
      <c r="V33"/>
    </row>
    <row r="34" spans="22:22" ht="15" x14ac:dyDescent="0.25">
      <c r="V34"/>
    </row>
    <row r="35" spans="22:22" ht="15" x14ac:dyDescent="0.25">
      <c r="V35"/>
    </row>
    <row r="36" spans="22:22" ht="15" x14ac:dyDescent="0.25">
      <c r="V36"/>
    </row>
    <row r="37" spans="22:22" ht="15" x14ac:dyDescent="0.25">
      <c r="V37"/>
    </row>
    <row r="38" spans="22:22" ht="15" x14ac:dyDescent="0.25">
      <c r="V38"/>
    </row>
    <row r="39" spans="22:22" ht="15" x14ac:dyDescent="0.25">
      <c r="V39"/>
    </row>
    <row r="40" spans="22:22" ht="15" x14ac:dyDescent="0.25">
      <c r="V40"/>
    </row>
    <row r="41" spans="22:22" ht="15" x14ac:dyDescent="0.25">
      <c r="V41"/>
    </row>
    <row r="42" spans="22:22" ht="15" x14ac:dyDescent="0.25">
      <c r="V42"/>
    </row>
    <row r="43" spans="22:22" ht="15" x14ac:dyDescent="0.25">
      <c r="V43"/>
    </row>
    <row r="44" spans="22:22" ht="15" x14ac:dyDescent="0.25">
      <c r="V44"/>
    </row>
    <row r="45" spans="22:22" ht="15" x14ac:dyDescent="0.25">
      <c r="V45"/>
    </row>
    <row r="46" spans="22:22" ht="15" x14ac:dyDescent="0.25">
      <c r="V46"/>
    </row>
    <row r="47" spans="22:22" ht="15" x14ac:dyDescent="0.25">
      <c r="V47"/>
    </row>
    <row r="48" spans="22:22" ht="15" x14ac:dyDescent="0.25">
      <c r="V48"/>
    </row>
    <row r="49" spans="22:22" ht="15" x14ac:dyDescent="0.25">
      <c r="V49"/>
    </row>
    <row r="50" spans="22:22" ht="15" x14ac:dyDescent="0.25">
      <c r="V50"/>
    </row>
    <row r="51" spans="22:22" ht="15" x14ac:dyDescent="0.25">
      <c r="V51"/>
    </row>
    <row r="52" spans="22:22" ht="15" x14ac:dyDescent="0.25">
      <c r="V52"/>
    </row>
    <row r="53" spans="22:22" ht="15" x14ac:dyDescent="0.25">
      <c r="V53"/>
    </row>
    <row r="54" spans="22:22" ht="15" x14ac:dyDescent="0.25">
      <c r="V54"/>
    </row>
    <row r="55" spans="22:22" ht="15" x14ac:dyDescent="0.25">
      <c r="V55"/>
    </row>
    <row r="56" spans="22:22" ht="15" x14ac:dyDescent="0.25">
      <c r="V56"/>
    </row>
    <row r="57" spans="22:22" ht="15" x14ac:dyDescent="0.25">
      <c r="V57"/>
    </row>
    <row r="58" spans="22:22" ht="15" x14ac:dyDescent="0.25">
      <c r="V58"/>
    </row>
    <row r="59" spans="22:22" ht="15" x14ac:dyDescent="0.25">
      <c r="V59"/>
    </row>
    <row r="60" spans="22:22" ht="15" x14ac:dyDescent="0.25">
      <c r="V60"/>
    </row>
    <row r="61" spans="22:22" ht="15" x14ac:dyDescent="0.25">
      <c r="V61"/>
    </row>
    <row r="62" spans="22:22" ht="15" x14ac:dyDescent="0.25">
      <c r="V62"/>
    </row>
    <row r="63" spans="22:22" ht="15" x14ac:dyDescent="0.25">
      <c r="V63"/>
    </row>
    <row r="64" spans="22:22" ht="15" x14ac:dyDescent="0.25">
      <c r="V64"/>
    </row>
    <row r="65" spans="22:22" ht="15" x14ac:dyDescent="0.25">
      <c r="V65"/>
    </row>
    <row r="66" spans="22:22" ht="15" x14ac:dyDescent="0.25">
      <c r="V66"/>
    </row>
    <row r="67" spans="22:22" ht="15" x14ac:dyDescent="0.25">
      <c r="V67"/>
    </row>
    <row r="68" spans="22:22" ht="15" x14ac:dyDescent="0.25">
      <c r="V68"/>
    </row>
    <row r="69" spans="22:22" ht="15" x14ac:dyDescent="0.25">
      <c r="V69"/>
    </row>
    <row r="70" spans="22:22" ht="15" x14ac:dyDescent="0.25">
      <c r="V70"/>
    </row>
    <row r="71" spans="22:22" ht="15" x14ac:dyDescent="0.25">
      <c r="V71"/>
    </row>
    <row r="72" spans="22:22" ht="15" x14ac:dyDescent="0.25">
      <c r="V72"/>
    </row>
    <row r="73" spans="22:22" ht="15" x14ac:dyDescent="0.25">
      <c r="V73"/>
    </row>
    <row r="74" spans="22:22" ht="15" x14ac:dyDescent="0.25">
      <c r="V74"/>
    </row>
    <row r="75" spans="22:22" ht="15" x14ac:dyDescent="0.25">
      <c r="V75"/>
    </row>
    <row r="76" spans="22:22" ht="15" x14ac:dyDescent="0.25">
      <c r="V76"/>
    </row>
    <row r="77" spans="22:22" ht="15" x14ac:dyDescent="0.25">
      <c r="V77"/>
    </row>
    <row r="78" spans="22:22" ht="15" x14ac:dyDescent="0.25">
      <c r="V78"/>
    </row>
    <row r="79" spans="22:22" ht="15" x14ac:dyDescent="0.25">
      <c r="V79"/>
    </row>
    <row r="80" spans="22:22" ht="15" x14ac:dyDescent="0.25">
      <c r="V80"/>
    </row>
    <row r="81" spans="22:22" ht="15" x14ac:dyDescent="0.25">
      <c r="V81"/>
    </row>
    <row r="82" spans="22:22" ht="15" x14ac:dyDescent="0.25">
      <c r="V82"/>
    </row>
    <row r="83" spans="22:22" ht="15" x14ac:dyDescent="0.25">
      <c r="V83"/>
    </row>
    <row r="84" spans="22:22" ht="15" x14ac:dyDescent="0.25">
      <c r="V84"/>
    </row>
    <row r="85" spans="22:22" ht="15" x14ac:dyDescent="0.25">
      <c r="V85"/>
    </row>
    <row r="86" spans="22:22" ht="15" x14ac:dyDescent="0.25">
      <c r="V86"/>
    </row>
    <row r="87" spans="22:22" ht="15" x14ac:dyDescent="0.25">
      <c r="V87"/>
    </row>
    <row r="88" spans="22:22" ht="15" x14ac:dyDescent="0.25">
      <c r="V88"/>
    </row>
    <row r="89" spans="22:22" ht="15" x14ac:dyDescent="0.25">
      <c r="V89"/>
    </row>
    <row r="90" spans="22:22" ht="15" x14ac:dyDescent="0.25">
      <c r="V90"/>
    </row>
    <row r="91" spans="22:22" ht="15" x14ac:dyDescent="0.25">
      <c r="V91"/>
    </row>
    <row r="92" spans="22:22" ht="15" x14ac:dyDescent="0.25">
      <c r="V92"/>
    </row>
    <row r="93" spans="22:22" ht="15" x14ac:dyDescent="0.25">
      <c r="V93"/>
    </row>
    <row r="94" spans="22:22" ht="15" x14ac:dyDescent="0.25">
      <c r="V94"/>
    </row>
    <row r="95" spans="22:22" ht="15" x14ac:dyDescent="0.25">
      <c r="V95"/>
    </row>
    <row r="96" spans="22:22" ht="15" x14ac:dyDescent="0.25">
      <c r="V96"/>
    </row>
    <row r="97" spans="22:22" ht="15" x14ac:dyDescent="0.25">
      <c r="V97"/>
    </row>
    <row r="98" spans="22:22" ht="15" x14ac:dyDescent="0.25">
      <c r="V98"/>
    </row>
    <row r="99" spans="22:22" ht="15" x14ac:dyDescent="0.25">
      <c r="V99"/>
    </row>
    <row r="100" spans="22:22" ht="15" x14ac:dyDescent="0.25">
      <c r="V100"/>
    </row>
    <row r="101" spans="22:22" ht="15" x14ac:dyDescent="0.25">
      <c r="V101"/>
    </row>
    <row r="102" spans="22:22" ht="15" x14ac:dyDescent="0.25">
      <c r="V102"/>
    </row>
    <row r="103" spans="22:22" ht="15" x14ac:dyDescent="0.25">
      <c r="V103"/>
    </row>
    <row r="104" spans="22:22" ht="15" x14ac:dyDescent="0.25">
      <c r="V104"/>
    </row>
    <row r="105" spans="22:22" ht="15" x14ac:dyDescent="0.25">
      <c r="V105"/>
    </row>
    <row r="106" spans="22:22" ht="15" x14ac:dyDescent="0.25">
      <c r="V106"/>
    </row>
    <row r="107" spans="22:22" ht="15" x14ac:dyDescent="0.25">
      <c r="V107"/>
    </row>
    <row r="108" spans="22:22" ht="15" x14ac:dyDescent="0.25">
      <c r="V108"/>
    </row>
    <row r="109" spans="22:22" ht="15" x14ac:dyDescent="0.25">
      <c r="V109"/>
    </row>
    <row r="110" spans="22:22" ht="15" x14ac:dyDescent="0.25">
      <c r="V110"/>
    </row>
    <row r="111" spans="22:22" ht="15" x14ac:dyDescent="0.25">
      <c r="V111"/>
    </row>
    <row r="112" spans="22:22" ht="15" x14ac:dyDescent="0.25">
      <c r="V112"/>
    </row>
    <row r="113" spans="22:22" ht="15" x14ac:dyDescent="0.25">
      <c r="V113"/>
    </row>
    <row r="114" spans="22:22" ht="15" x14ac:dyDescent="0.25">
      <c r="V114"/>
    </row>
    <row r="115" spans="22:22" ht="15" x14ac:dyDescent="0.25">
      <c r="V115"/>
    </row>
    <row r="116" spans="22:22" ht="15" x14ac:dyDescent="0.25">
      <c r="V116"/>
    </row>
    <row r="117" spans="22:22" ht="15" x14ac:dyDescent="0.25">
      <c r="V117"/>
    </row>
    <row r="118" spans="22:22" ht="15" x14ac:dyDescent="0.25">
      <c r="V118"/>
    </row>
    <row r="119" spans="22:22" ht="15" x14ac:dyDescent="0.25">
      <c r="V119"/>
    </row>
    <row r="120" spans="22:22" ht="15" x14ac:dyDescent="0.25">
      <c r="V120"/>
    </row>
    <row r="121" spans="22:22" ht="15" x14ac:dyDescent="0.25">
      <c r="V121"/>
    </row>
    <row r="122" spans="22:22" ht="15" x14ac:dyDescent="0.25">
      <c r="V122"/>
    </row>
    <row r="123" spans="22:22" ht="15" x14ac:dyDescent="0.25">
      <c r="V123"/>
    </row>
    <row r="124" spans="22:22" ht="15" x14ac:dyDescent="0.25">
      <c r="V124"/>
    </row>
    <row r="125" spans="22:22" ht="15" x14ac:dyDescent="0.25">
      <c r="V125"/>
    </row>
    <row r="126" spans="22:22" ht="15" x14ac:dyDescent="0.25">
      <c r="V126"/>
    </row>
    <row r="127" spans="22:22" ht="15" x14ac:dyDescent="0.25">
      <c r="V127"/>
    </row>
    <row r="128" spans="22:22" ht="15" x14ac:dyDescent="0.25">
      <c r="V128"/>
    </row>
    <row r="129" spans="22:22" ht="15" x14ac:dyDescent="0.25">
      <c r="V129"/>
    </row>
    <row r="130" spans="22:22" ht="15" x14ac:dyDescent="0.25">
      <c r="V130"/>
    </row>
    <row r="131" spans="22:22" ht="15" x14ac:dyDescent="0.25">
      <c r="V131"/>
    </row>
    <row r="132" spans="22:22" ht="15" x14ac:dyDescent="0.25">
      <c r="V132"/>
    </row>
    <row r="133" spans="22:22" ht="15" x14ac:dyDescent="0.25">
      <c r="V133"/>
    </row>
    <row r="134" spans="22:22" ht="15" x14ac:dyDescent="0.25">
      <c r="V134"/>
    </row>
    <row r="135" spans="22:22" ht="15" x14ac:dyDescent="0.25">
      <c r="V135"/>
    </row>
    <row r="136" spans="22:22" ht="15" x14ac:dyDescent="0.25">
      <c r="V136"/>
    </row>
    <row r="137" spans="22:22" ht="15" x14ac:dyDescent="0.25">
      <c r="V137"/>
    </row>
    <row r="138" spans="22:22" ht="15" x14ac:dyDescent="0.25">
      <c r="V138"/>
    </row>
    <row r="139" spans="22:22" ht="15" x14ac:dyDescent="0.25">
      <c r="V139"/>
    </row>
    <row r="140" spans="22:22" ht="15" x14ac:dyDescent="0.25">
      <c r="V140"/>
    </row>
    <row r="141" spans="22:22" ht="15" x14ac:dyDescent="0.25">
      <c r="V141"/>
    </row>
    <row r="142" spans="22:22" ht="15" x14ac:dyDescent="0.25">
      <c r="V142"/>
    </row>
    <row r="143" spans="22:22" ht="15" x14ac:dyDescent="0.25">
      <c r="V143"/>
    </row>
    <row r="144" spans="22:22" ht="15" x14ac:dyDescent="0.25">
      <c r="V144"/>
    </row>
    <row r="145" spans="22:22" ht="15" x14ac:dyDescent="0.25">
      <c r="V145"/>
    </row>
    <row r="146" spans="22:22" ht="15" x14ac:dyDescent="0.25">
      <c r="V146"/>
    </row>
    <row r="147" spans="22:22" ht="15" x14ac:dyDescent="0.25">
      <c r="V147"/>
    </row>
    <row r="148" spans="22:22" ht="15" x14ac:dyDescent="0.25">
      <c r="V148"/>
    </row>
    <row r="149" spans="22:22" ht="15" x14ac:dyDescent="0.25">
      <c r="V149"/>
    </row>
    <row r="150" spans="22:22" ht="15" x14ac:dyDescent="0.25">
      <c r="V150"/>
    </row>
    <row r="151" spans="22:22" ht="15" x14ac:dyDescent="0.25">
      <c r="V151"/>
    </row>
    <row r="152" spans="22:22" ht="15" x14ac:dyDescent="0.25">
      <c r="V152"/>
    </row>
    <row r="153" spans="22:22" ht="15" x14ac:dyDescent="0.25">
      <c r="V153"/>
    </row>
    <row r="154" spans="22:22" ht="15" x14ac:dyDescent="0.25">
      <c r="V154"/>
    </row>
    <row r="155" spans="22:22" ht="15" x14ac:dyDescent="0.25">
      <c r="V155"/>
    </row>
    <row r="156" spans="22:22" ht="15" x14ac:dyDescent="0.25">
      <c r="V156"/>
    </row>
    <row r="157" spans="22:22" ht="15" x14ac:dyDescent="0.25">
      <c r="V157"/>
    </row>
    <row r="158" spans="22:22" ht="15" x14ac:dyDescent="0.25">
      <c r="V158"/>
    </row>
    <row r="159" spans="22:22" ht="15" x14ac:dyDescent="0.25">
      <c r="V159"/>
    </row>
    <row r="160" spans="22:22" ht="15" x14ac:dyDescent="0.25">
      <c r="V160"/>
    </row>
    <row r="161" spans="22:22" ht="15" x14ac:dyDescent="0.25">
      <c r="V161"/>
    </row>
    <row r="162" spans="22:22" ht="15" x14ac:dyDescent="0.25">
      <c r="V162"/>
    </row>
    <row r="163" spans="22:22" ht="15" x14ac:dyDescent="0.25">
      <c r="V163"/>
    </row>
    <row r="164" spans="22:22" ht="15" x14ac:dyDescent="0.25">
      <c r="V164"/>
    </row>
    <row r="165" spans="22:22" ht="15" x14ac:dyDescent="0.25">
      <c r="V165"/>
    </row>
    <row r="166" spans="22:22" ht="15" x14ac:dyDescent="0.25">
      <c r="V166"/>
    </row>
    <row r="167" spans="22:22" ht="15" x14ac:dyDescent="0.25">
      <c r="V167"/>
    </row>
    <row r="168" spans="22:22" ht="15" x14ac:dyDescent="0.25">
      <c r="V168"/>
    </row>
    <row r="169" spans="22:22" ht="15" x14ac:dyDescent="0.25">
      <c r="V169"/>
    </row>
    <row r="170" spans="22:22" ht="15" x14ac:dyDescent="0.25">
      <c r="V170"/>
    </row>
    <row r="171" spans="22:22" ht="15" x14ac:dyDescent="0.25">
      <c r="V171"/>
    </row>
    <row r="172" spans="22:22" ht="15" x14ac:dyDescent="0.25">
      <c r="V172"/>
    </row>
    <row r="173" spans="22:22" ht="15" x14ac:dyDescent="0.25">
      <c r="V173"/>
    </row>
    <row r="174" spans="22:22" ht="15" x14ac:dyDescent="0.25">
      <c r="V174"/>
    </row>
    <row r="175" spans="22:22" ht="15" x14ac:dyDescent="0.25">
      <c r="V175"/>
    </row>
    <row r="176" spans="22:22" ht="15" x14ac:dyDescent="0.25">
      <c r="V176"/>
    </row>
    <row r="177" spans="22:22" ht="15" x14ac:dyDescent="0.25">
      <c r="V177"/>
    </row>
    <row r="178" spans="22:22" ht="15" x14ac:dyDescent="0.25">
      <c r="V178"/>
    </row>
    <row r="179" spans="22:22" ht="15" x14ac:dyDescent="0.25">
      <c r="V179"/>
    </row>
    <row r="180" spans="22:22" ht="15" x14ac:dyDescent="0.25">
      <c r="V180"/>
    </row>
    <row r="181" spans="22:22" ht="15" x14ac:dyDescent="0.25">
      <c r="V181"/>
    </row>
    <row r="182" spans="22:22" ht="15" x14ac:dyDescent="0.25">
      <c r="V182"/>
    </row>
    <row r="183" spans="22:22" ht="15" x14ac:dyDescent="0.25">
      <c r="V183"/>
    </row>
    <row r="184" spans="22:22" ht="15" x14ac:dyDescent="0.25">
      <c r="V184"/>
    </row>
    <row r="185" spans="22:22" ht="15" x14ac:dyDescent="0.25">
      <c r="V185"/>
    </row>
    <row r="186" spans="22:22" ht="15" x14ac:dyDescent="0.25">
      <c r="V186"/>
    </row>
    <row r="187" spans="22:22" ht="15" x14ac:dyDescent="0.25">
      <c r="V187"/>
    </row>
    <row r="188" spans="22:22" ht="15" x14ac:dyDescent="0.25">
      <c r="V188"/>
    </row>
    <row r="189" spans="22:22" ht="15" x14ac:dyDescent="0.25">
      <c r="V189"/>
    </row>
    <row r="190" spans="22:22" ht="15" x14ac:dyDescent="0.25">
      <c r="V190"/>
    </row>
    <row r="191" spans="22:22" ht="15" x14ac:dyDescent="0.25">
      <c r="V191"/>
    </row>
    <row r="192" spans="22:22" ht="15" x14ac:dyDescent="0.25">
      <c r="V192"/>
    </row>
    <row r="193" spans="22:22" ht="15" x14ac:dyDescent="0.25">
      <c r="V193"/>
    </row>
    <row r="194" spans="22:22" ht="15" x14ac:dyDescent="0.25">
      <c r="V194"/>
    </row>
    <row r="195" spans="22:22" ht="15" x14ac:dyDescent="0.25">
      <c r="V195"/>
    </row>
    <row r="196" spans="22:22" ht="15" x14ac:dyDescent="0.25">
      <c r="V196"/>
    </row>
    <row r="197" spans="22:22" ht="15" x14ac:dyDescent="0.25">
      <c r="V197"/>
    </row>
    <row r="198" spans="22:22" ht="15" x14ac:dyDescent="0.25">
      <c r="V198"/>
    </row>
    <row r="199" spans="22:22" ht="15" x14ac:dyDescent="0.25">
      <c r="V199"/>
    </row>
    <row r="200" spans="22:22" ht="15" x14ac:dyDescent="0.25">
      <c r="V200"/>
    </row>
    <row r="201" spans="22:22" ht="15" x14ac:dyDescent="0.25">
      <c r="V201"/>
    </row>
    <row r="202" spans="22:22" ht="15" x14ac:dyDescent="0.25">
      <c r="V202"/>
    </row>
    <row r="203" spans="22:22" ht="15" x14ac:dyDescent="0.25">
      <c r="V203"/>
    </row>
    <row r="204" spans="22:22" ht="15" x14ac:dyDescent="0.25">
      <c r="V204"/>
    </row>
    <row r="205" spans="22:22" ht="15" x14ac:dyDescent="0.25">
      <c r="V205"/>
    </row>
    <row r="206" spans="22:22" ht="15" x14ac:dyDescent="0.25">
      <c r="V206"/>
    </row>
    <row r="207" spans="22:22" ht="15" x14ac:dyDescent="0.25">
      <c r="V207"/>
    </row>
    <row r="208" spans="22:22" ht="15" x14ac:dyDescent="0.25">
      <c r="V208"/>
    </row>
    <row r="209" spans="22:22" ht="15" x14ac:dyDescent="0.25">
      <c r="V209"/>
    </row>
    <row r="210" spans="22:22" ht="15" x14ac:dyDescent="0.25">
      <c r="V210"/>
    </row>
    <row r="211" spans="22:22" ht="15" x14ac:dyDescent="0.25">
      <c r="V211"/>
    </row>
    <row r="212" spans="22:22" ht="15" x14ac:dyDescent="0.25">
      <c r="V212"/>
    </row>
    <row r="213" spans="22:22" ht="15" x14ac:dyDescent="0.25">
      <c r="V213"/>
    </row>
    <row r="214" spans="22:22" ht="15" x14ac:dyDescent="0.25">
      <c r="V214"/>
    </row>
    <row r="215" spans="22:22" ht="15" x14ac:dyDescent="0.25">
      <c r="V215"/>
    </row>
    <row r="216" spans="22:22" ht="15" x14ac:dyDescent="0.25">
      <c r="V216"/>
    </row>
    <row r="217" spans="22:22" ht="15" x14ac:dyDescent="0.25">
      <c r="V217"/>
    </row>
    <row r="218" spans="22:22" ht="15" x14ac:dyDescent="0.25">
      <c r="V218"/>
    </row>
    <row r="219" spans="22:22" ht="15" x14ac:dyDescent="0.25">
      <c r="V219"/>
    </row>
    <row r="220" spans="22:22" ht="15" x14ac:dyDescent="0.25">
      <c r="V220"/>
    </row>
    <row r="221" spans="22:22" ht="15" x14ac:dyDescent="0.25">
      <c r="V221"/>
    </row>
    <row r="222" spans="22:22" ht="15" x14ac:dyDescent="0.25">
      <c r="V222"/>
    </row>
    <row r="223" spans="22:22" ht="15" x14ac:dyDescent="0.25">
      <c r="V223"/>
    </row>
    <row r="224" spans="22:22" ht="15" x14ac:dyDescent="0.25">
      <c r="V224"/>
    </row>
    <row r="225" spans="22:22" ht="15" x14ac:dyDescent="0.25">
      <c r="V225"/>
    </row>
    <row r="226" spans="22:22" ht="15" x14ac:dyDescent="0.25">
      <c r="V226"/>
    </row>
    <row r="227" spans="22:22" ht="15" x14ac:dyDescent="0.25">
      <c r="V227"/>
    </row>
    <row r="228" spans="22:22" ht="15" x14ac:dyDescent="0.25">
      <c r="V228"/>
    </row>
    <row r="229" spans="22:22" ht="15" x14ac:dyDescent="0.25">
      <c r="V229"/>
    </row>
    <row r="230" spans="22:22" ht="15" x14ac:dyDescent="0.25">
      <c r="V230"/>
    </row>
    <row r="231" spans="22:22" ht="15" x14ac:dyDescent="0.25">
      <c r="V231"/>
    </row>
    <row r="232" spans="22:22" ht="15" x14ac:dyDescent="0.25">
      <c r="V232"/>
    </row>
    <row r="233" spans="22:22" ht="15" x14ac:dyDescent="0.25">
      <c r="V233"/>
    </row>
    <row r="234" spans="22:22" ht="15" x14ac:dyDescent="0.25">
      <c r="V234"/>
    </row>
    <row r="235" spans="22:22" ht="15" x14ac:dyDescent="0.25">
      <c r="V235"/>
    </row>
    <row r="236" spans="22:22" ht="15" x14ac:dyDescent="0.25">
      <c r="V236"/>
    </row>
    <row r="237" spans="22:22" ht="15" x14ac:dyDescent="0.25">
      <c r="V237"/>
    </row>
    <row r="238" spans="22:22" ht="15" x14ac:dyDescent="0.25">
      <c r="V238"/>
    </row>
    <row r="239" spans="22:22" ht="15" x14ac:dyDescent="0.25">
      <c r="V239"/>
    </row>
    <row r="240" spans="22:22" ht="15" x14ac:dyDescent="0.25">
      <c r="V240"/>
    </row>
    <row r="241" spans="22:22" ht="15" x14ac:dyDescent="0.25">
      <c r="V241"/>
    </row>
    <row r="242" spans="22:22" ht="15" x14ac:dyDescent="0.25">
      <c r="V242"/>
    </row>
    <row r="243" spans="22:22" ht="15" x14ac:dyDescent="0.25">
      <c r="V243"/>
    </row>
    <row r="244" spans="22:22" ht="15" x14ac:dyDescent="0.25">
      <c r="V244"/>
    </row>
    <row r="245" spans="22:22" ht="15" x14ac:dyDescent="0.25">
      <c r="V245"/>
    </row>
    <row r="246" spans="22:22" ht="15" x14ac:dyDescent="0.25">
      <c r="V246"/>
    </row>
    <row r="247" spans="22:22" ht="15" x14ac:dyDescent="0.25">
      <c r="V247"/>
    </row>
    <row r="248" spans="22:22" ht="15" x14ac:dyDescent="0.25">
      <c r="V248"/>
    </row>
    <row r="249" spans="22:22" ht="15" x14ac:dyDescent="0.25">
      <c r="V249"/>
    </row>
    <row r="250" spans="22:22" ht="15" x14ac:dyDescent="0.25">
      <c r="V250"/>
    </row>
    <row r="251" spans="22:22" ht="15" x14ac:dyDescent="0.25">
      <c r="V251"/>
    </row>
    <row r="252" spans="22:22" ht="15" x14ac:dyDescent="0.25">
      <c r="V252"/>
    </row>
    <row r="253" spans="22:22" ht="15" x14ac:dyDescent="0.25">
      <c r="V253"/>
    </row>
    <row r="254" spans="22:22" ht="15" x14ac:dyDescent="0.25">
      <c r="V254"/>
    </row>
    <row r="255" spans="22:22" ht="15" x14ac:dyDescent="0.25">
      <c r="V255"/>
    </row>
    <row r="256" spans="22:22" ht="15" x14ac:dyDescent="0.25">
      <c r="V256"/>
    </row>
    <row r="257" spans="22:22" ht="15" x14ac:dyDescent="0.25">
      <c r="V257"/>
    </row>
    <row r="258" spans="22:22" ht="15" x14ac:dyDescent="0.25">
      <c r="V258"/>
    </row>
    <row r="259" spans="22:22" ht="15" x14ac:dyDescent="0.25">
      <c r="V259"/>
    </row>
    <row r="260" spans="22:22" ht="15" x14ac:dyDescent="0.25">
      <c r="V260"/>
    </row>
    <row r="261" spans="22:22" ht="15" x14ac:dyDescent="0.25">
      <c r="V261"/>
    </row>
    <row r="262" spans="22:22" ht="15" x14ac:dyDescent="0.25">
      <c r="V262"/>
    </row>
    <row r="263" spans="22:22" ht="15" x14ac:dyDescent="0.25">
      <c r="V263"/>
    </row>
    <row r="264" spans="22:22" ht="15" x14ac:dyDescent="0.25">
      <c r="V264"/>
    </row>
    <row r="265" spans="22:22" ht="15" x14ac:dyDescent="0.25">
      <c r="V265"/>
    </row>
    <row r="266" spans="22:22" ht="15" x14ac:dyDescent="0.25">
      <c r="V266"/>
    </row>
    <row r="267" spans="22:22" ht="15" x14ac:dyDescent="0.25">
      <c r="V267"/>
    </row>
    <row r="268" spans="22:22" ht="15" x14ac:dyDescent="0.25">
      <c r="V268"/>
    </row>
    <row r="269" spans="22:22" ht="15" x14ac:dyDescent="0.25">
      <c r="V269"/>
    </row>
    <row r="270" spans="22:22" ht="15" x14ac:dyDescent="0.25">
      <c r="V270"/>
    </row>
    <row r="271" spans="22:22" ht="15" x14ac:dyDescent="0.25">
      <c r="V271"/>
    </row>
    <row r="272" spans="22:22" ht="15" x14ac:dyDescent="0.25">
      <c r="V272"/>
    </row>
    <row r="273" spans="22:22" ht="15" x14ac:dyDescent="0.25">
      <c r="V273"/>
    </row>
    <row r="274" spans="22:22" ht="15" x14ac:dyDescent="0.25">
      <c r="V274"/>
    </row>
    <row r="275" spans="22:22" ht="15" x14ac:dyDescent="0.25">
      <c r="V275"/>
    </row>
    <row r="276" spans="22:22" ht="15" x14ac:dyDescent="0.25">
      <c r="V276"/>
    </row>
    <row r="277" spans="22:22" ht="15" x14ac:dyDescent="0.25">
      <c r="V277"/>
    </row>
    <row r="278" spans="22:22" ht="15" x14ac:dyDescent="0.25">
      <c r="V278"/>
    </row>
    <row r="279" spans="22:22" ht="15" x14ac:dyDescent="0.25">
      <c r="V279"/>
    </row>
    <row r="280" spans="22:22" ht="15" x14ac:dyDescent="0.25">
      <c r="V280"/>
    </row>
    <row r="281" spans="22:22" ht="15" x14ac:dyDescent="0.25">
      <c r="V281"/>
    </row>
    <row r="282" spans="22:22" ht="15" x14ac:dyDescent="0.25">
      <c r="V282"/>
    </row>
    <row r="283" spans="22:22" ht="15" x14ac:dyDescent="0.25">
      <c r="V283"/>
    </row>
    <row r="284" spans="22:22" ht="15" x14ac:dyDescent="0.25">
      <c r="V284"/>
    </row>
    <row r="285" spans="22:22" ht="15" x14ac:dyDescent="0.25">
      <c r="V285"/>
    </row>
    <row r="286" spans="22:22" ht="15" x14ac:dyDescent="0.25">
      <c r="V286"/>
    </row>
    <row r="287" spans="22:22" ht="15" x14ac:dyDescent="0.25">
      <c r="V287"/>
    </row>
    <row r="288" spans="22:22" ht="15" x14ac:dyDescent="0.25">
      <c r="V288"/>
    </row>
    <row r="289" spans="22:22" ht="15" x14ac:dyDescent="0.25">
      <c r="V289"/>
    </row>
    <row r="290" spans="22:22" ht="15" x14ac:dyDescent="0.25">
      <c r="V290"/>
    </row>
    <row r="291" spans="22:22" ht="15" x14ac:dyDescent="0.25">
      <c r="V291"/>
    </row>
    <row r="292" spans="22:22" ht="15" x14ac:dyDescent="0.25">
      <c r="V292"/>
    </row>
    <row r="293" spans="22:22" ht="15" x14ac:dyDescent="0.25">
      <c r="V293"/>
    </row>
    <row r="294" spans="22:22" ht="15" x14ac:dyDescent="0.25">
      <c r="V294"/>
    </row>
    <row r="295" spans="22:22" ht="15" x14ac:dyDescent="0.25">
      <c r="V295"/>
    </row>
    <row r="296" spans="22:22" ht="15" x14ac:dyDescent="0.25">
      <c r="V296"/>
    </row>
    <row r="297" spans="22:22" ht="15" x14ac:dyDescent="0.25">
      <c r="V297"/>
    </row>
    <row r="298" spans="22:22" ht="15" x14ac:dyDescent="0.25">
      <c r="V298"/>
    </row>
    <row r="299" spans="22:22" ht="15" x14ac:dyDescent="0.25">
      <c r="V299"/>
    </row>
    <row r="300" spans="22:22" ht="15" x14ac:dyDescent="0.25">
      <c r="V300"/>
    </row>
    <row r="301" spans="22:22" ht="15" x14ac:dyDescent="0.25">
      <c r="V301"/>
    </row>
    <row r="302" spans="22:22" ht="15" x14ac:dyDescent="0.25">
      <c r="V302"/>
    </row>
    <row r="303" spans="22:22" ht="15" x14ac:dyDescent="0.25">
      <c r="V303"/>
    </row>
    <row r="304" spans="22:22" ht="15" x14ac:dyDescent="0.25">
      <c r="V304"/>
    </row>
    <row r="305" spans="22:22" ht="15" x14ac:dyDescent="0.25">
      <c r="V305"/>
    </row>
    <row r="306" spans="22:22" ht="15" x14ac:dyDescent="0.25">
      <c r="V306"/>
    </row>
    <row r="307" spans="22:22" ht="15" x14ac:dyDescent="0.25">
      <c r="V307"/>
    </row>
    <row r="308" spans="22:22" ht="15" x14ac:dyDescent="0.25">
      <c r="V308"/>
    </row>
    <row r="309" spans="22:22" ht="15" x14ac:dyDescent="0.25">
      <c r="V309"/>
    </row>
    <row r="310" spans="22:22" ht="15" x14ac:dyDescent="0.25">
      <c r="V310"/>
    </row>
    <row r="311" spans="22:22" ht="15" x14ac:dyDescent="0.25">
      <c r="V311"/>
    </row>
    <row r="312" spans="22:22" ht="15" x14ac:dyDescent="0.25">
      <c r="V312"/>
    </row>
    <row r="313" spans="22:22" ht="15" x14ac:dyDescent="0.25">
      <c r="V313"/>
    </row>
    <row r="314" spans="22:22" ht="15" x14ac:dyDescent="0.25">
      <c r="V314"/>
    </row>
    <row r="315" spans="22:22" ht="15" x14ac:dyDescent="0.25">
      <c r="V315"/>
    </row>
    <row r="316" spans="22:22" ht="15" x14ac:dyDescent="0.25">
      <c r="V316"/>
    </row>
    <row r="317" spans="22:22" ht="15" x14ac:dyDescent="0.25">
      <c r="V317"/>
    </row>
    <row r="318" spans="22:22" ht="15" x14ac:dyDescent="0.25">
      <c r="V318"/>
    </row>
    <row r="319" spans="22:22" ht="15" x14ac:dyDescent="0.25">
      <c r="V319"/>
    </row>
    <row r="320" spans="22:22" ht="15" x14ac:dyDescent="0.25">
      <c r="V320"/>
    </row>
    <row r="321" spans="22:22" ht="15" x14ac:dyDescent="0.25">
      <c r="V321"/>
    </row>
    <row r="322" spans="22:22" ht="15" x14ac:dyDescent="0.25">
      <c r="V322"/>
    </row>
    <row r="323" spans="22:22" ht="15" x14ac:dyDescent="0.25">
      <c r="V323"/>
    </row>
    <row r="324" spans="22:22" ht="15" x14ac:dyDescent="0.25">
      <c r="V324"/>
    </row>
    <row r="325" spans="22:22" ht="15" x14ac:dyDescent="0.25">
      <c r="V325"/>
    </row>
    <row r="326" spans="22:22" ht="15" x14ac:dyDescent="0.25">
      <c r="V326"/>
    </row>
    <row r="327" spans="22:22" ht="15" x14ac:dyDescent="0.25">
      <c r="V327"/>
    </row>
    <row r="328" spans="22:22" ht="15" x14ac:dyDescent="0.25">
      <c r="V328"/>
    </row>
    <row r="329" spans="22:22" ht="15" x14ac:dyDescent="0.25">
      <c r="V329"/>
    </row>
    <row r="330" spans="22:22" ht="15" x14ac:dyDescent="0.25">
      <c r="V330"/>
    </row>
    <row r="331" spans="22:22" ht="15" x14ac:dyDescent="0.25">
      <c r="V331"/>
    </row>
    <row r="332" spans="22:22" ht="15" x14ac:dyDescent="0.25">
      <c r="V332"/>
    </row>
    <row r="333" spans="22:22" ht="15" x14ac:dyDescent="0.25">
      <c r="V333"/>
    </row>
    <row r="334" spans="22:22" ht="15" x14ac:dyDescent="0.25">
      <c r="V334"/>
    </row>
    <row r="335" spans="22:22" ht="15" x14ac:dyDescent="0.25">
      <c r="V335"/>
    </row>
    <row r="336" spans="22:22" ht="15" x14ac:dyDescent="0.25">
      <c r="V336"/>
    </row>
    <row r="337" spans="22:22" ht="15" x14ac:dyDescent="0.25">
      <c r="V337"/>
    </row>
    <row r="338" spans="22:22" ht="15" x14ac:dyDescent="0.25">
      <c r="V338"/>
    </row>
    <row r="339" spans="22:22" ht="15" x14ac:dyDescent="0.25">
      <c r="V339"/>
    </row>
    <row r="340" spans="22:22" ht="15" x14ac:dyDescent="0.25">
      <c r="V340"/>
    </row>
    <row r="341" spans="22:22" ht="15" x14ac:dyDescent="0.25">
      <c r="V341"/>
    </row>
    <row r="342" spans="22:22" ht="15" x14ac:dyDescent="0.25">
      <c r="V342"/>
    </row>
    <row r="343" spans="22:22" ht="15" x14ac:dyDescent="0.25">
      <c r="V343"/>
    </row>
    <row r="344" spans="22:22" ht="15" x14ac:dyDescent="0.25">
      <c r="V344"/>
    </row>
    <row r="345" spans="22:22" ht="15" x14ac:dyDescent="0.25">
      <c r="V345"/>
    </row>
    <row r="346" spans="22:22" ht="15" x14ac:dyDescent="0.25">
      <c r="V346"/>
    </row>
    <row r="347" spans="22:22" ht="15" x14ac:dyDescent="0.25">
      <c r="V347"/>
    </row>
    <row r="348" spans="22:22" ht="15" x14ac:dyDescent="0.25">
      <c r="V348"/>
    </row>
    <row r="349" spans="22:22" ht="15" x14ac:dyDescent="0.25">
      <c r="V349"/>
    </row>
    <row r="350" spans="22:22" ht="15" x14ac:dyDescent="0.25">
      <c r="V350"/>
    </row>
    <row r="351" spans="22:22" ht="15" x14ac:dyDescent="0.25">
      <c r="V351"/>
    </row>
    <row r="352" spans="22:22" ht="15" x14ac:dyDescent="0.25">
      <c r="V352"/>
    </row>
    <row r="353" spans="22:22" ht="15" x14ac:dyDescent="0.25">
      <c r="V353"/>
    </row>
    <row r="354" spans="22:22" ht="15" x14ac:dyDescent="0.25">
      <c r="V354"/>
    </row>
    <row r="355" spans="22:22" ht="15" x14ac:dyDescent="0.25">
      <c r="V355"/>
    </row>
    <row r="356" spans="22:22" ht="15" x14ac:dyDescent="0.25">
      <c r="V356"/>
    </row>
    <row r="357" spans="22:22" ht="15" x14ac:dyDescent="0.25">
      <c r="V357"/>
    </row>
    <row r="358" spans="22:22" ht="15" x14ac:dyDescent="0.25">
      <c r="V358"/>
    </row>
    <row r="359" spans="22:22" ht="15" x14ac:dyDescent="0.25">
      <c r="V359"/>
    </row>
    <row r="360" spans="22:22" ht="15" x14ac:dyDescent="0.25">
      <c r="V360"/>
    </row>
    <row r="361" spans="22:22" ht="15" x14ac:dyDescent="0.25">
      <c r="V361"/>
    </row>
    <row r="362" spans="22:22" ht="15" x14ac:dyDescent="0.25">
      <c r="V362"/>
    </row>
    <row r="363" spans="22:22" ht="15" x14ac:dyDescent="0.25">
      <c r="V363"/>
    </row>
    <row r="364" spans="22:22" ht="15" x14ac:dyDescent="0.25">
      <c r="V364"/>
    </row>
    <row r="365" spans="22:22" ht="15" x14ac:dyDescent="0.25">
      <c r="V365"/>
    </row>
    <row r="366" spans="22:22" ht="15" x14ac:dyDescent="0.25">
      <c r="V366"/>
    </row>
    <row r="367" spans="22:22" ht="15" x14ac:dyDescent="0.25">
      <c r="V367"/>
    </row>
    <row r="368" spans="22:22" ht="15" x14ac:dyDescent="0.25">
      <c r="V368"/>
    </row>
    <row r="369" spans="22:22" ht="15" x14ac:dyDescent="0.25">
      <c r="V369"/>
    </row>
    <row r="370" spans="22:22" ht="15" x14ac:dyDescent="0.25">
      <c r="V370"/>
    </row>
    <row r="371" spans="22:22" ht="15" x14ac:dyDescent="0.25">
      <c r="V371"/>
    </row>
    <row r="372" spans="22:22" ht="15" x14ac:dyDescent="0.25">
      <c r="V372"/>
    </row>
    <row r="373" spans="22:22" ht="15" x14ac:dyDescent="0.25">
      <c r="V373"/>
    </row>
    <row r="374" spans="22:22" ht="15" x14ac:dyDescent="0.25">
      <c r="V374"/>
    </row>
    <row r="375" spans="22:22" ht="15" x14ac:dyDescent="0.25">
      <c r="V375"/>
    </row>
    <row r="376" spans="22:22" ht="15" x14ac:dyDescent="0.25">
      <c r="V376"/>
    </row>
    <row r="377" spans="22:22" ht="15" x14ac:dyDescent="0.25">
      <c r="V377"/>
    </row>
    <row r="378" spans="22:22" ht="15" x14ac:dyDescent="0.25">
      <c r="V378"/>
    </row>
    <row r="379" spans="22:22" ht="15" x14ac:dyDescent="0.25">
      <c r="V379"/>
    </row>
    <row r="380" spans="22:22" ht="15" x14ac:dyDescent="0.25">
      <c r="V380"/>
    </row>
    <row r="381" spans="22:22" ht="15" x14ac:dyDescent="0.25">
      <c r="V381"/>
    </row>
    <row r="382" spans="22:22" ht="15" x14ac:dyDescent="0.25">
      <c r="V382"/>
    </row>
    <row r="383" spans="22:22" ht="15" x14ac:dyDescent="0.25">
      <c r="V383"/>
    </row>
    <row r="384" spans="22:22" ht="15" x14ac:dyDescent="0.25">
      <c r="V384"/>
    </row>
    <row r="385" spans="22:22" ht="15" x14ac:dyDescent="0.25">
      <c r="V385"/>
    </row>
    <row r="386" spans="22:22" ht="15" x14ac:dyDescent="0.25">
      <c r="V386"/>
    </row>
    <row r="387" spans="22:22" ht="15" x14ac:dyDescent="0.25">
      <c r="V387"/>
    </row>
    <row r="388" spans="22:22" ht="15" x14ac:dyDescent="0.25">
      <c r="V388"/>
    </row>
    <row r="389" spans="22:22" ht="15" x14ac:dyDescent="0.25">
      <c r="V389"/>
    </row>
    <row r="390" spans="22:22" ht="15" x14ac:dyDescent="0.25">
      <c r="V390"/>
    </row>
    <row r="391" spans="22:22" ht="15" x14ac:dyDescent="0.25">
      <c r="V391"/>
    </row>
    <row r="392" spans="22:22" ht="15" x14ac:dyDescent="0.25">
      <c r="V392"/>
    </row>
    <row r="393" spans="22:22" ht="15" x14ac:dyDescent="0.25">
      <c r="V393"/>
    </row>
    <row r="394" spans="22:22" ht="15" x14ac:dyDescent="0.25">
      <c r="V394"/>
    </row>
    <row r="395" spans="22:22" ht="15" x14ac:dyDescent="0.25">
      <c r="V395"/>
    </row>
    <row r="396" spans="22:22" ht="15" x14ac:dyDescent="0.25">
      <c r="V396"/>
    </row>
    <row r="397" spans="22:22" ht="15" x14ac:dyDescent="0.25">
      <c r="V397"/>
    </row>
    <row r="398" spans="22:22" ht="15" x14ac:dyDescent="0.25">
      <c r="V398"/>
    </row>
    <row r="399" spans="22:22" ht="15" x14ac:dyDescent="0.25">
      <c r="V399"/>
    </row>
    <row r="400" spans="22:22" ht="15" x14ac:dyDescent="0.25">
      <c r="V400"/>
    </row>
    <row r="401" spans="22:22" ht="15" x14ac:dyDescent="0.25">
      <c r="V401"/>
    </row>
    <row r="402" spans="22:22" ht="15" x14ac:dyDescent="0.25">
      <c r="V402"/>
    </row>
    <row r="403" spans="22:22" ht="15" x14ac:dyDescent="0.25">
      <c r="V403"/>
    </row>
    <row r="404" spans="22:22" ht="15" x14ac:dyDescent="0.25">
      <c r="V404"/>
    </row>
    <row r="405" spans="22:22" ht="15" x14ac:dyDescent="0.25">
      <c r="V405"/>
    </row>
    <row r="406" spans="22:22" ht="15" x14ac:dyDescent="0.25">
      <c r="V406"/>
    </row>
    <row r="407" spans="22:22" ht="15" x14ac:dyDescent="0.25">
      <c r="V407"/>
    </row>
    <row r="408" spans="22:22" ht="15" x14ac:dyDescent="0.25">
      <c r="V408"/>
    </row>
    <row r="409" spans="22:22" ht="15" x14ac:dyDescent="0.25">
      <c r="V409"/>
    </row>
    <row r="410" spans="22:22" ht="15" x14ac:dyDescent="0.25">
      <c r="V410"/>
    </row>
    <row r="411" spans="22:22" ht="15" x14ac:dyDescent="0.25">
      <c r="V411"/>
    </row>
    <row r="412" spans="22:22" ht="15" x14ac:dyDescent="0.25">
      <c r="V412"/>
    </row>
    <row r="413" spans="22:22" ht="15" x14ac:dyDescent="0.25">
      <c r="V413"/>
    </row>
    <row r="414" spans="22:22" ht="15" x14ac:dyDescent="0.25">
      <c r="V414"/>
    </row>
    <row r="415" spans="22:22" ht="15" x14ac:dyDescent="0.25">
      <c r="V415"/>
    </row>
    <row r="416" spans="22:22" ht="15" x14ac:dyDescent="0.25">
      <c r="V416"/>
    </row>
    <row r="417" spans="22:22" ht="15" x14ac:dyDescent="0.25">
      <c r="V417"/>
    </row>
    <row r="418" spans="22:22" ht="15" x14ac:dyDescent="0.25">
      <c r="V418"/>
    </row>
    <row r="419" spans="22:22" ht="15" x14ac:dyDescent="0.25">
      <c r="V419"/>
    </row>
    <row r="420" spans="22:22" ht="15" x14ac:dyDescent="0.25">
      <c r="V420"/>
    </row>
    <row r="421" spans="22:22" ht="15" x14ac:dyDescent="0.25">
      <c r="V421"/>
    </row>
    <row r="422" spans="22:22" ht="15" x14ac:dyDescent="0.25">
      <c r="V422"/>
    </row>
    <row r="423" spans="22:22" ht="15" x14ac:dyDescent="0.25">
      <c r="V423"/>
    </row>
    <row r="424" spans="22:22" ht="15" x14ac:dyDescent="0.25">
      <c r="V424"/>
    </row>
    <row r="425" spans="22:22" ht="15" x14ac:dyDescent="0.25">
      <c r="V425"/>
    </row>
    <row r="426" spans="22:22" ht="15" x14ac:dyDescent="0.25">
      <c r="V426"/>
    </row>
    <row r="427" spans="22:22" ht="15" x14ac:dyDescent="0.25">
      <c r="V427"/>
    </row>
    <row r="428" spans="22:22" ht="15" x14ac:dyDescent="0.25">
      <c r="V428"/>
    </row>
    <row r="429" spans="22:22" ht="15" x14ac:dyDescent="0.25">
      <c r="V429"/>
    </row>
    <row r="430" spans="22:22" ht="15" x14ac:dyDescent="0.25">
      <c r="V430"/>
    </row>
    <row r="431" spans="22:22" ht="15" x14ac:dyDescent="0.25">
      <c r="V431"/>
    </row>
    <row r="432" spans="22:22" ht="15" x14ac:dyDescent="0.25">
      <c r="V432"/>
    </row>
    <row r="433" spans="22:22" ht="15" x14ac:dyDescent="0.25">
      <c r="V433"/>
    </row>
    <row r="434" spans="22:22" ht="15" x14ac:dyDescent="0.25">
      <c r="V434"/>
    </row>
    <row r="435" spans="22:22" ht="15" x14ac:dyDescent="0.25">
      <c r="V435"/>
    </row>
    <row r="436" spans="22:22" ht="15" x14ac:dyDescent="0.25">
      <c r="V436"/>
    </row>
    <row r="437" spans="22:22" ht="15" x14ac:dyDescent="0.25">
      <c r="V437"/>
    </row>
    <row r="438" spans="22:22" ht="15" x14ac:dyDescent="0.25">
      <c r="V438"/>
    </row>
    <row r="439" spans="22:22" ht="15" x14ac:dyDescent="0.25">
      <c r="V439"/>
    </row>
    <row r="440" spans="22:22" ht="15" x14ac:dyDescent="0.25">
      <c r="V440"/>
    </row>
    <row r="441" spans="22:22" ht="15" x14ac:dyDescent="0.25">
      <c r="V441"/>
    </row>
    <row r="442" spans="22:22" ht="15" x14ac:dyDescent="0.25">
      <c r="V442"/>
    </row>
    <row r="443" spans="22:22" ht="15" x14ac:dyDescent="0.25">
      <c r="V443"/>
    </row>
    <row r="444" spans="22:22" ht="15" x14ac:dyDescent="0.25">
      <c r="V444"/>
    </row>
    <row r="445" spans="22:22" ht="15" x14ac:dyDescent="0.25">
      <c r="V445"/>
    </row>
    <row r="446" spans="22:22" ht="15" x14ac:dyDescent="0.25">
      <c r="V446"/>
    </row>
    <row r="447" spans="22:22" ht="15" x14ac:dyDescent="0.25">
      <c r="V447"/>
    </row>
    <row r="448" spans="22:22" ht="15" x14ac:dyDescent="0.25">
      <c r="V448"/>
    </row>
    <row r="449" spans="22:22" ht="15" x14ac:dyDescent="0.25">
      <c r="V449"/>
    </row>
    <row r="450" spans="22:22" ht="15" x14ac:dyDescent="0.25">
      <c r="V450"/>
    </row>
    <row r="451" spans="22:22" ht="15" x14ac:dyDescent="0.25">
      <c r="V451"/>
    </row>
    <row r="452" spans="22:22" ht="15" x14ac:dyDescent="0.25">
      <c r="V452"/>
    </row>
    <row r="453" spans="22:22" ht="15" x14ac:dyDescent="0.25">
      <c r="V453"/>
    </row>
    <row r="454" spans="22:22" ht="15" x14ac:dyDescent="0.25">
      <c r="V454"/>
    </row>
    <row r="455" spans="22:22" ht="15" x14ac:dyDescent="0.25">
      <c r="V455"/>
    </row>
    <row r="456" spans="22:22" ht="15" x14ac:dyDescent="0.25">
      <c r="V456"/>
    </row>
    <row r="457" spans="22:22" ht="15" x14ac:dyDescent="0.25">
      <c r="V457"/>
    </row>
    <row r="458" spans="22:22" ht="15" x14ac:dyDescent="0.25">
      <c r="V458"/>
    </row>
    <row r="459" spans="22:22" ht="15" x14ac:dyDescent="0.25">
      <c r="V459"/>
    </row>
    <row r="460" spans="22:22" ht="15" x14ac:dyDescent="0.25">
      <c r="V460"/>
    </row>
    <row r="461" spans="22:22" ht="15" x14ac:dyDescent="0.25">
      <c r="V461"/>
    </row>
    <row r="462" spans="22:22" ht="15" x14ac:dyDescent="0.25">
      <c r="V462"/>
    </row>
    <row r="463" spans="22:22" ht="15" x14ac:dyDescent="0.25">
      <c r="V463"/>
    </row>
    <row r="464" spans="22:22" ht="15" x14ac:dyDescent="0.25">
      <c r="V464"/>
    </row>
    <row r="465" spans="22:22" ht="15" x14ac:dyDescent="0.25">
      <c r="V465"/>
    </row>
    <row r="466" spans="22:22" ht="15" x14ac:dyDescent="0.25">
      <c r="V466"/>
    </row>
    <row r="467" spans="22:22" ht="15" x14ac:dyDescent="0.25">
      <c r="V467"/>
    </row>
    <row r="468" spans="22:22" ht="15" x14ac:dyDescent="0.25">
      <c r="V468"/>
    </row>
    <row r="469" spans="22:22" ht="15" x14ac:dyDescent="0.25">
      <c r="V469"/>
    </row>
    <row r="470" spans="22:22" ht="15" x14ac:dyDescent="0.25">
      <c r="V470"/>
    </row>
    <row r="471" spans="22:22" ht="15" x14ac:dyDescent="0.25">
      <c r="V471"/>
    </row>
    <row r="472" spans="22:22" ht="15" x14ac:dyDescent="0.25">
      <c r="V472"/>
    </row>
    <row r="473" spans="22:22" ht="15" x14ac:dyDescent="0.25">
      <c r="V473"/>
    </row>
    <row r="474" spans="22:22" ht="15" x14ac:dyDescent="0.25">
      <c r="V474"/>
    </row>
    <row r="475" spans="22:22" ht="15" x14ac:dyDescent="0.25">
      <c r="V475"/>
    </row>
    <row r="476" spans="22:22" ht="15" x14ac:dyDescent="0.25">
      <c r="V476"/>
    </row>
    <row r="477" spans="22:22" ht="15" x14ac:dyDescent="0.25">
      <c r="V477"/>
    </row>
    <row r="478" spans="22:22" ht="15" x14ac:dyDescent="0.25">
      <c r="V478"/>
    </row>
    <row r="479" spans="22:22" ht="15" x14ac:dyDescent="0.25">
      <c r="V479"/>
    </row>
    <row r="480" spans="22:22" ht="15" x14ac:dyDescent="0.25">
      <c r="V480"/>
    </row>
    <row r="481" spans="22:22" ht="15" x14ac:dyDescent="0.25">
      <c r="V481"/>
    </row>
    <row r="482" spans="22:22" ht="15" x14ac:dyDescent="0.25">
      <c r="V482"/>
    </row>
    <row r="483" spans="22:22" ht="15" x14ac:dyDescent="0.25">
      <c r="V483"/>
    </row>
    <row r="484" spans="22:22" ht="15" x14ac:dyDescent="0.25">
      <c r="V484"/>
    </row>
    <row r="485" spans="22:22" ht="15" x14ac:dyDescent="0.25">
      <c r="V485"/>
    </row>
    <row r="486" spans="22:22" ht="15" x14ac:dyDescent="0.25">
      <c r="V486"/>
    </row>
    <row r="487" spans="22:22" ht="15" x14ac:dyDescent="0.25">
      <c r="V487"/>
    </row>
    <row r="488" spans="22:22" ht="15" x14ac:dyDescent="0.25">
      <c r="V488"/>
    </row>
    <row r="489" spans="22:22" ht="15" x14ac:dyDescent="0.25">
      <c r="V489"/>
    </row>
    <row r="490" spans="22:22" ht="15" x14ac:dyDescent="0.25">
      <c r="V490"/>
    </row>
    <row r="491" spans="22:22" ht="15" x14ac:dyDescent="0.25">
      <c r="V491"/>
    </row>
    <row r="492" spans="22:22" ht="15" x14ac:dyDescent="0.25">
      <c r="V492"/>
    </row>
    <row r="493" spans="22:22" ht="15" x14ac:dyDescent="0.25">
      <c r="V493"/>
    </row>
    <row r="494" spans="22:22" ht="15" x14ac:dyDescent="0.25">
      <c r="V494"/>
    </row>
    <row r="495" spans="22:22" ht="15" x14ac:dyDescent="0.25">
      <c r="V495"/>
    </row>
    <row r="496" spans="22:22" ht="15" x14ac:dyDescent="0.25">
      <c r="V496"/>
    </row>
    <row r="497" spans="22:22" ht="15" x14ac:dyDescent="0.25">
      <c r="V497"/>
    </row>
    <row r="498" spans="22:22" ht="15" x14ac:dyDescent="0.25">
      <c r="V498"/>
    </row>
    <row r="499" spans="22:22" ht="15" x14ac:dyDescent="0.25">
      <c r="V499"/>
    </row>
    <row r="500" spans="22:22" ht="15" x14ac:dyDescent="0.25">
      <c r="V500"/>
    </row>
    <row r="501" spans="22:22" ht="15" x14ac:dyDescent="0.25">
      <c r="V501"/>
    </row>
    <row r="502" spans="22:22" ht="15" x14ac:dyDescent="0.25">
      <c r="V502"/>
    </row>
    <row r="503" spans="22:22" ht="15" x14ac:dyDescent="0.25">
      <c r="V503"/>
    </row>
    <row r="504" spans="22:22" ht="15" x14ac:dyDescent="0.25">
      <c r="V504"/>
    </row>
    <row r="505" spans="22:22" ht="15" x14ac:dyDescent="0.25">
      <c r="V505"/>
    </row>
    <row r="506" spans="22:22" ht="15" x14ac:dyDescent="0.25">
      <c r="V506"/>
    </row>
    <row r="507" spans="22:22" ht="15" x14ac:dyDescent="0.25">
      <c r="V507"/>
    </row>
    <row r="508" spans="22:22" ht="15" x14ac:dyDescent="0.25">
      <c r="V508"/>
    </row>
    <row r="509" spans="22:22" ht="15" x14ac:dyDescent="0.25">
      <c r="V509"/>
    </row>
    <row r="510" spans="22:22" ht="15" x14ac:dyDescent="0.25">
      <c r="V510"/>
    </row>
    <row r="511" spans="22:22" ht="15" x14ac:dyDescent="0.25">
      <c r="V511"/>
    </row>
    <row r="512" spans="22:22" ht="15" x14ac:dyDescent="0.25">
      <c r="V512"/>
    </row>
    <row r="513" spans="22:22" ht="15" x14ac:dyDescent="0.25">
      <c r="V513"/>
    </row>
    <row r="514" spans="22:22" ht="15" x14ac:dyDescent="0.25">
      <c r="V514"/>
    </row>
    <row r="515" spans="22:22" ht="15" x14ac:dyDescent="0.25">
      <c r="V515"/>
    </row>
    <row r="516" spans="22:22" ht="15" x14ac:dyDescent="0.25">
      <c r="V516"/>
    </row>
    <row r="517" spans="22:22" ht="15" x14ac:dyDescent="0.25">
      <c r="V517"/>
    </row>
    <row r="518" spans="22:22" ht="15" x14ac:dyDescent="0.25">
      <c r="V518"/>
    </row>
    <row r="519" spans="22:22" ht="15" x14ac:dyDescent="0.25">
      <c r="V519"/>
    </row>
    <row r="520" spans="22:22" ht="15" x14ac:dyDescent="0.25">
      <c r="V520"/>
    </row>
    <row r="521" spans="22:22" ht="15" x14ac:dyDescent="0.25">
      <c r="V521"/>
    </row>
    <row r="522" spans="22:22" ht="15" x14ac:dyDescent="0.25">
      <c r="V522"/>
    </row>
    <row r="523" spans="22:22" ht="15" x14ac:dyDescent="0.25">
      <c r="V523"/>
    </row>
    <row r="524" spans="22:22" ht="15" x14ac:dyDescent="0.25">
      <c r="V524"/>
    </row>
    <row r="525" spans="22:22" ht="15" x14ac:dyDescent="0.25">
      <c r="V525"/>
    </row>
    <row r="526" spans="22:22" ht="15" x14ac:dyDescent="0.25">
      <c r="V526"/>
    </row>
    <row r="527" spans="22:22" ht="15" x14ac:dyDescent="0.25">
      <c r="V527"/>
    </row>
    <row r="528" spans="22:22" ht="15" x14ac:dyDescent="0.25">
      <c r="V528"/>
    </row>
    <row r="529" spans="22:22" ht="15" x14ac:dyDescent="0.25">
      <c r="V529"/>
    </row>
    <row r="530" spans="22:22" ht="15" x14ac:dyDescent="0.25">
      <c r="V530"/>
    </row>
    <row r="531" spans="22:22" ht="15" x14ac:dyDescent="0.25">
      <c r="V531"/>
    </row>
    <row r="532" spans="22:22" ht="15" x14ac:dyDescent="0.25">
      <c r="V532"/>
    </row>
    <row r="533" spans="22:22" ht="15" x14ac:dyDescent="0.25">
      <c r="V533"/>
    </row>
    <row r="534" spans="22:22" ht="15" x14ac:dyDescent="0.25">
      <c r="V534"/>
    </row>
    <row r="535" spans="22:22" ht="15" x14ac:dyDescent="0.25">
      <c r="V535"/>
    </row>
    <row r="536" spans="22:22" ht="15" x14ac:dyDescent="0.25">
      <c r="V536"/>
    </row>
    <row r="537" spans="22:22" ht="15" x14ac:dyDescent="0.25">
      <c r="V537"/>
    </row>
    <row r="538" spans="22:22" ht="15" x14ac:dyDescent="0.25">
      <c r="V538"/>
    </row>
    <row r="539" spans="22:22" ht="15" x14ac:dyDescent="0.25">
      <c r="V539"/>
    </row>
    <row r="540" spans="22:22" ht="15" x14ac:dyDescent="0.25">
      <c r="V540"/>
    </row>
    <row r="541" spans="22:22" ht="15" x14ac:dyDescent="0.25">
      <c r="V541"/>
    </row>
    <row r="542" spans="22:22" ht="15" x14ac:dyDescent="0.25">
      <c r="V542"/>
    </row>
    <row r="543" spans="22:22" ht="15" x14ac:dyDescent="0.25">
      <c r="V543"/>
    </row>
    <row r="544" spans="22:22" ht="15" x14ac:dyDescent="0.25">
      <c r="V544"/>
    </row>
    <row r="545" spans="22:22" ht="15" x14ac:dyDescent="0.25">
      <c r="V545"/>
    </row>
    <row r="546" spans="22:22" ht="15" x14ac:dyDescent="0.25">
      <c r="V546"/>
    </row>
    <row r="547" spans="22:22" ht="15" x14ac:dyDescent="0.25">
      <c r="V547"/>
    </row>
    <row r="548" spans="22:22" ht="15" x14ac:dyDescent="0.25">
      <c r="V548"/>
    </row>
    <row r="549" spans="22:22" ht="15" x14ac:dyDescent="0.25">
      <c r="V549"/>
    </row>
    <row r="550" spans="22:22" ht="15" x14ac:dyDescent="0.25">
      <c r="V550"/>
    </row>
    <row r="551" spans="22:22" ht="15" x14ac:dyDescent="0.25">
      <c r="V551"/>
    </row>
    <row r="552" spans="22:22" ht="15" x14ac:dyDescent="0.25">
      <c r="V552"/>
    </row>
    <row r="553" spans="22:22" ht="15" x14ac:dyDescent="0.25">
      <c r="V553"/>
    </row>
    <row r="554" spans="22:22" ht="15" x14ac:dyDescent="0.25">
      <c r="V554"/>
    </row>
    <row r="555" spans="22:22" ht="15" x14ac:dyDescent="0.25">
      <c r="V555"/>
    </row>
    <row r="556" spans="22:22" ht="15" x14ac:dyDescent="0.25">
      <c r="V556"/>
    </row>
    <row r="557" spans="22:22" ht="15" x14ac:dyDescent="0.25">
      <c r="V557"/>
    </row>
    <row r="558" spans="22:22" ht="15" x14ac:dyDescent="0.25">
      <c r="V558"/>
    </row>
    <row r="559" spans="22:22" ht="15" x14ac:dyDescent="0.25">
      <c r="V559"/>
    </row>
    <row r="560" spans="22:22" ht="15" x14ac:dyDescent="0.25">
      <c r="V560"/>
    </row>
    <row r="561" spans="22:22" ht="15" x14ac:dyDescent="0.25">
      <c r="V561"/>
    </row>
    <row r="562" spans="22:22" ht="15" x14ac:dyDescent="0.25">
      <c r="V562"/>
    </row>
    <row r="563" spans="22:22" ht="15" x14ac:dyDescent="0.25">
      <c r="V563"/>
    </row>
    <row r="564" spans="22:22" ht="15" x14ac:dyDescent="0.25">
      <c r="V564"/>
    </row>
    <row r="565" spans="22:22" ht="15" x14ac:dyDescent="0.25">
      <c r="V565"/>
    </row>
    <row r="566" spans="22:22" ht="15" x14ac:dyDescent="0.25">
      <c r="V566"/>
    </row>
    <row r="567" spans="22:22" ht="15" x14ac:dyDescent="0.25">
      <c r="V567"/>
    </row>
    <row r="568" spans="22:22" ht="15" x14ac:dyDescent="0.25">
      <c r="V568"/>
    </row>
    <row r="569" spans="22:22" ht="15" x14ac:dyDescent="0.25">
      <c r="V569"/>
    </row>
    <row r="570" spans="22:22" ht="15" x14ac:dyDescent="0.25">
      <c r="V570"/>
    </row>
    <row r="571" spans="22:22" ht="15" x14ac:dyDescent="0.25">
      <c r="V571"/>
    </row>
    <row r="572" spans="22:22" ht="15" x14ac:dyDescent="0.25">
      <c r="V572"/>
    </row>
    <row r="573" spans="22:22" ht="15" x14ac:dyDescent="0.25">
      <c r="V573"/>
    </row>
    <row r="574" spans="22:22" ht="15" x14ac:dyDescent="0.25">
      <c r="V574"/>
    </row>
    <row r="575" spans="22:22" ht="15" x14ac:dyDescent="0.25">
      <c r="V575"/>
    </row>
    <row r="576" spans="22:22" ht="15" x14ac:dyDescent="0.25">
      <c r="V576"/>
    </row>
    <row r="577" spans="22:22" ht="15" x14ac:dyDescent="0.25">
      <c r="V577"/>
    </row>
    <row r="578" spans="22:22" ht="15" x14ac:dyDescent="0.25">
      <c r="V578"/>
    </row>
    <row r="579" spans="22:22" ht="15" x14ac:dyDescent="0.25">
      <c r="V579"/>
    </row>
    <row r="580" spans="22:22" ht="15" x14ac:dyDescent="0.25">
      <c r="V580"/>
    </row>
    <row r="581" spans="22:22" ht="15" x14ac:dyDescent="0.25">
      <c r="V581"/>
    </row>
    <row r="582" spans="22:22" ht="15" x14ac:dyDescent="0.25">
      <c r="V582"/>
    </row>
    <row r="583" spans="22:22" ht="15" x14ac:dyDescent="0.25">
      <c r="V583"/>
    </row>
    <row r="584" spans="22:22" ht="15" x14ac:dyDescent="0.25">
      <c r="V584"/>
    </row>
    <row r="585" spans="22:22" ht="15" x14ac:dyDescent="0.25">
      <c r="V585"/>
    </row>
    <row r="586" spans="22:22" ht="15" x14ac:dyDescent="0.25">
      <c r="V586"/>
    </row>
    <row r="587" spans="22:22" ht="15" x14ac:dyDescent="0.25">
      <c r="V587"/>
    </row>
    <row r="588" spans="22:22" ht="15" x14ac:dyDescent="0.25">
      <c r="V588"/>
    </row>
    <row r="589" spans="22:22" ht="15" x14ac:dyDescent="0.25">
      <c r="V589"/>
    </row>
    <row r="590" spans="22:22" ht="15" x14ac:dyDescent="0.25">
      <c r="V590"/>
    </row>
    <row r="591" spans="22:22" ht="15" x14ac:dyDescent="0.25">
      <c r="V591"/>
    </row>
    <row r="592" spans="22:22" ht="15" x14ac:dyDescent="0.25">
      <c r="V592"/>
    </row>
    <row r="593" spans="22:22" ht="15" x14ac:dyDescent="0.25">
      <c r="V593"/>
    </row>
    <row r="594" spans="22:22" ht="15" x14ac:dyDescent="0.25">
      <c r="V594"/>
    </row>
    <row r="595" spans="22:22" ht="15" x14ac:dyDescent="0.25">
      <c r="V595"/>
    </row>
    <row r="596" spans="22:22" ht="15" x14ac:dyDescent="0.25">
      <c r="V596"/>
    </row>
    <row r="597" spans="22:22" ht="15" x14ac:dyDescent="0.25">
      <c r="V597"/>
    </row>
    <row r="598" spans="22:22" ht="15" x14ac:dyDescent="0.25">
      <c r="V598"/>
    </row>
    <row r="599" spans="22:22" ht="15" x14ac:dyDescent="0.25">
      <c r="V599"/>
    </row>
    <row r="600" spans="22:22" ht="15" x14ac:dyDescent="0.25">
      <c r="V600"/>
    </row>
    <row r="601" spans="22:22" ht="15" x14ac:dyDescent="0.25">
      <c r="V601"/>
    </row>
    <row r="602" spans="22:22" ht="15" x14ac:dyDescent="0.25">
      <c r="V602"/>
    </row>
    <row r="603" spans="22:22" ht="15" x14ac:dyDescent="0.25">
      <c r="V603"/>
    </row>
    <row r="604" spans="22:22" ht="15" x14ac:dyDescent="0.25">
      <c r="V604"/>
    </row>
    <row r="605" spans="22:22" ht="15" x14ac:dyDescent="0.25">
      <c r="V605"/>
    </row>
    <row r="606" spans="22:22" ht="15" x14ac:dyDescent="0.25">
      <c r="V606"/>
    </row>
    <row r="607" spans="22:22" ht="15" x14ac:dyDescent="0.25">
      <c r="V607"/>
    </row>
    <row r="608" spans="22:22" ht="15" x14ac:dyDescent="0.25">
      <c r="V608"/>
    </row>
    <row r="609" spans="22:22" ht="15" x14ac:dyDescent="0.25">
      <c r="V609"/>
    </row>
    <row r="610" spans="22:22" ht="15" x14ac:dyDescent="0.25">
      <c r="V610"/>
    </row>
    <row r="611" spans="22:22" ht="15" x14ac:dyDescent="0.25">
      <c r="V611"/>
    </row>
    <row r="612" spans="22:22" ht="15" x14ac:dyDescent="0.25">
      <c r="V612"/>
    </row>
    <row r="613" spans="22:22" ht="15" x14ac:dyDescent="0.25">
      <c r="V613"/>
    </row>
    <row r="614" spans="22:22" ht="15" x14ac:dyDescent="0.25">
      <c r="V614"/>
    </row>
    <row r="615" spans="22:22" ht="15" x14ac:dyDescent="0.25">
      <c r="V615"/>
    </row>
    <row r="616" spans="22:22" ht="15" x14ac:dyDescent="0.25">
      <c r="V616"/>
    </row>
    <row r="617" spans="22:22" ht="15" x14ac:dyDescent="0.25">
      <c r="V617"/>
    </row>
    <row r="618" spans="22:22" ht="15" x14ac:dyDescent="0.25">
      <c r="V618"/>
    </row>
    <row r="619" spans="22:22" ht="15" x14ac:dyDescent="0.25">
      <c r="V619"/>
    </row>
    <row r="620" spans="22:22" ht="15" x14ac:dyDescent="0.25">
      <c r="V620"/>
    </row>
    <row r="621" spans="22:22" ht="15" x14ac:dyDescent="0.25">
      <c r="V621"/>
    </row>
    <row r="622" spans="22:22" ht="15" x14ac:dyDescent="0.25">
      <c r="V622"/>
    </row>
    <row r="623" spans="22:22" ht="15" x14ac:dyDescent="0.25">
      <c r="V623"/>
    </row>
    <row r="624" spans="22:22" ht="15" x14ac:dyDescent="0.25">
      <c r="V624"/>
    </row>
    <row r="625" spans="22:22" ht="15" x14ac:dyDescent="0.25">
      <c r="V625"/>
    </row>
    <row r="626" spans="22:22" ht="15" x14ac:dyDescent="0.25">
      <c r="V626"/>
    </row>
    <row r="627" spans="22:22" ht="15" x14ac:dyDescent="0.25">
      <c r="V627"/>
    </row>
    <row r="628" spans="22:22" ht="15" x14ac:dyDescent="0.25">
      <c r="V628"/>
    </row>
    <row r="629" spans="22:22" ht="15" x14ac:dyDescent="0.25">
      <c r="V629"/>
    </row>
    <row r="630" spans="22:22" ht="15" x14ac:dyDescent="0.25">
      <c r="V630"/>
    </row>
    <row r="631" spans="22:22" ht="15" x14ac:dyDescent="0.25">
      <c r="V631"/>
    </row>
    <row r="632" spans="22:22" ht="15" x14ac:dyDescent="0.25">
      <c r="V632"/>
    </row>
    <row r="633" spans="22:22" ht="15" x14ac:dyDescent="0.25">
      <c r="V633"/>
    </row>
    <row r="634" spans="22:22" ht="15" x14ac:dyDescent="0.25">
      <c r="V634"/>
    </row>
    <row r="635" spans="22:22" ht="15" x14ac:dyDescent="0.25">
      <c r="V635"/>
    </row>
    <row r="636" spans="22:22" ht="15" x14ac:dyDescent="0.25">
      <c r="V636"/>
    </row>
    <row r="637" spans="22:22" ht="15" x14ac:dyDescent="0.25">
      <c r="V637"/>
    </row>
    <row r="638" spans="22:22" ht="15" x14ac:dyDescent="0.25">
      <c r="V638"/>
    </row>
    <row r="639" spans="22:22" ht="15" x14ac:dyDescent="0.25">
      <c r="V639"/>
    </row>
    <row r="640" spans="22:22" ht="15" x14ac:dyDescent="0.25">
      <c r="V640"/>
    </row>
    <row r="641" spans="22:22" ht="15" x14ac:dyDescent="0.25">
      <c r="V641"/>
    </row>
    <row r="642" spans="22:22" ht="15" x14ac:dyDescent="0.25">
      <c r="V642"/>
    </row>
    <row r="643" spans="22:22" ht="15" x14ac:dyDescent="0.25">
      <c r="V643"/>
    </row>
    <row r="644" spans="22:22" ht="15" x14ac:dyDescent="0.25">
      <c r="V644"/>
    </row>
    <row r="645" spans="22:22" ht="15" x14ac:dyDescent="0.25">
      <c r="V645"/>
    </row>
    <row r="646" spans="22:22" ht="15" x14ac:dyDescent="0.25">
      <c r="V646"/>
    </row>
    <row r="647" spans="22:22" ht="15" x14ac:dyDescent="0.25">
      <c r="V647"/>
    </row>
    <row r="648" spans="22:22" ht="15" x14ac:dyDescent="0.25">
      <c r="V648"/>
    </row>
    <row r="649" spans="22:22" ht="15" x14ac:dyDescent="0.25">
      <c r="V649"/>
    </row>
    <row r="650" spans="22:22" ht="15" x14ac:dyDescent="0.25">
      <c r="V650"/>
    </row>
    <row r="651" spans="22:22" ht="15" x14ac:dyDescent="0.25">
      <c r="V651"/>
    </row>
    <row r="652" spans="22:22" ht="15" x14ac:dyDescent="0.25">
      <c r="V652"/>
    </row>
    <row r="653" spans="22:22" ht="15" x14ac:dyDescent="0.25">
      <c r="V653"/>
    </row>
    <row r="654" spans="22:22" ht="15" x14ac:dyDescent="0.25">
      <c r="V654"/>
    </row>
    <row r="655" spans="22:22" ht="15" x14ac:dyDescent="0.25">
      <c r="V655"/>
    </row>
    <row r="656" spans="22:22" ht="15" x14ac:dyDescent="0.25">
      <c r="V656"/>
    </row>
    <row r="657" spans="22:22" ht="15" x14ac:dyDescent="0.25">
      <c r="V657"/>
    </row>
    <row r="658" spans="22:22" ht="15" x14ac:dyDescent="0.25">
      <c r="V658"/>
    </row>
    <row r="659" spans="22:22" ht="15" x14ac:dyDescent="0.25">
      <c r="V659"/>
    </row>
    <row r="660" spans="22:22" ht="15" x14ac:dyDescent="0.25">
      <c r="V660"/>
    </row>
    <row r="661" spans="22:22" ht="15" x14ac:dyDescent="0.25">
      <c r="V661"/>
    </row>
    <row r="662" spans="22:22" ht="15" x14ac:dyDescent="0.25">
      <c r="V662"/>
    </row>
    <row r="663" spans="22:22" ht="15" x14ac:dyDescent="0.25">
      <c r="V663"/>
    </row>
    <row r="664" spans="22:22" ht="15" x14ac:dyDescent="0.25">
      <c r="V664"/>
    </row>
    <row r="665" spans="22:22" ht="15" x14ac:dyDescent="0.25">
      <c r="V665"/>
    </row>
    <row r="666" spans="22:22" ht="15" x14ac:dyDescent="0.25">
      <c r="V666"/>
    </row>
    <row r="667" spans="22:22" ht="15" x14ac:dyDescent="0.25">
      <c r="V667"/>
    </row>
    <row r="668" spans="22:22" ht="15" x14ac:dyDescent="0.25">
      <c r="V668"/>
    </row>
    <row r="669" spans="22:22" ht="15" x14ac:dyDescent="0.25">
      <c r="V669"/>
    </row>
    <row r="670" spans="22:22" ht="15" x14ac:dyDescent="0.25">
      <c r="V670"/>
    </row>
    <row r="671" spans="22:22" ht="15" x14ac:dyDescent="0.25">
      <c r="V671"/>
    </row>
    <row r="672" spans="22:22" ht="15" x14ac:dyDescent="0.25">
      <c r="V672"/>
    </row>
    <row r="673" spans="22:22" ht="15" x14ac:dyDescent="0.25">
      <c r="V673"/>
    </row>
    <row r="674" spans="22:22" ht="15" x14ac:dyDescent="0.25">
      <c r="V674"/>
    </row>
    <row r="675" spans="22:22" ht="15" x14ac:dyDescent="0.25">
      <c r="V675"/>
    </row>
    <row r="676" spans="22:22" ht="15" x14ac:dyDescent="0.25">
      <c r="V676"/>
    </row>
    <row r="677" spans="22:22" ht="15" x14ac:dyDescent="0.25">
      <c r="V677"/>
    </row>
    <row r="678" spans="22:22" ht="15" x14ac:dyDescent="0.25">
      <c r="V678"/>
    </row>
    <row r="679" spans="22:22" ht="15" x14ac:dyDescent="0.25">
      <c r="V679"/>
    </row>
    <row r="680" spans="22:22" ht="15" x14ac:dyDescent="0.25">
      <c r="V680"/>
    </row>
    <row r="681" spans="22:22" ht="15" x14ac:dyDescent="0.25">
      <c r="V681"/>
    </row>
    <row r="682" spans="22:22" ht="15" x14ac:dyDescent="0.25">
      <c r="V682"/>
    </row>
    <row r="683" spans="22:22" ht="15" x14ac:dyDescent="0.25">
      <c r="V683"/>
    </row>
    <row r="684" spans="22:22" ht="15" x14ac:dyDescent="0.25">
      <c r="V684"/>
    </row>
    <row r="685" spans="22:22" ht="15" x14ac:dyDescent="0.25">
      <c r="V685"/>
    </row>
    <row r="686" spans="22:22" ht="15" x14ac:dyDescent="0.25">
      <c r="V686"/>
    </row>
    <row r="687" spans="22:22" ht="15" x14ac:dyDescent="0.25">
      <c r="V687"/>
    </row>
    <row r="688" spans="22:22" ht="15" x14ac:dyDescent="0.25">
      <c r="V688"/>
    </row>
    <row r="689" spans="22:22" ht="15" x14ac:dyDescent="0.25">
      <c r="V689"/>
    </row>
    <row r="690" spans="22:22" ht="15" x14ac:dyDescent="0.25">
      <c r="V690"/>
    </row>
    <row r="691" spans="22:22" ht="15" x14ac:dyDescent="0.25">
      <c r="V691"/>
    </row>
    <row r="692" spans="22:22" ht="15" x14ac:dyDescent="0.25">
      <c r="V692"/>
    </row>
    <row r="693" spans="22:22" ht="15" x14ac:dyDescent="0.25">
      <c r="V693"/>
    </row>
    <row r="694" spans="22:22" ht="15" x14ac:dyDescent="0.25">
      <c r="V694"/>
    </row>
    <row r="695" spans="22:22" ht="15" x14ac:dyDescent="0.25">
      <c r="V695"/>
    </row>
    <row r="696" spans="22:22" ht="15" x14ac:dyDescent="0.25">
      <c r="V696"/>
    </row>
    <row r="697" spans="22:22" ht="15" x14ac:dyDescent="0.25">
      <c r="V697"/>
    </row>
    <row r="698" spans="22:22" ht="15" x14ac:dyDescent="0.25">
      <c r="V698"/>
    </row>
    <row r="699" spans="22:22" ht="15" x14ac:dyDescent="0.25">
      <c r="V699"/>
    </row>
    <row r="700" spans="22:22" ht="15" x14ac:dyDescent="0.25">
      <c r="V700"/>
    </row>
    <row r="701" spans="22:22" ht="15" x14ac:dyDescent="0.25">
      <c r="V701"/>
    </row>
    <row r="702" spans="22:22" ht="15" x14ac:dyDescent="0.25">
      <c r="V702"/>
    </row>
    <row r="703" spans="22:22" ht="15" x14ac:dyDescent="0.25">
      <c r="V703"/>
    </row>
    <row r="704" spans="22:22" ht="15" x14ac:dyDescent="0.25">
      <c r="V704"/>
    </row>
    <row r="705" spans="22:22" ht="15" x14ac:dyDescent="0.25">
      <c r="V705"/>
    </row>
    <row r="706" spans="22:22" ht="15" x14ac:dyDescent="0.25">
      <c r="V706"/>
    </row>
    <row r="707" spans="22:22" ht="15" x14ac:dyDescent="0.25">
      <c r="V707"/>
    </row>
    <row r="708" spans="22:22" ht="15" x14ac:dyDescent="0.25">
      <c r="V708"/>
    </row>
    <row r="709" spans="22:22" ht="15" x14ac:dyDescent="0.25">
      <c r="V709"/>
    </row>
    <row r="710" spans="22:22" ht="15" x14ac:dyDescent="0.25">
      <c r="V710"/>
    </row>
    <row r="711" spans="22:22" ht="15" x14ac:dyDescent="0.25">
      <c r="V711"/>
    </row>
    <row r="712" spans="22:22" ht="15" x14ac:dyDescent="0.25">
      <c r="V712"/>
    </row>
    <row r="713" spans="22:22" ht="15" x14ac:dyDescent="0.25">
      <c r="V713"/>
    </row>
    <row r="714" spans="22:22" ht="15" x14ac:dyDescent="0.25">
      <c r="V714"/>
    </row>
    <row r="715" spans="22:22" ht="15" x14ac:dyDescent="0.25">
      <c r="V715"/>
    </row>
    <row r="716" spans="22:22" ht="15" x14ac:dyDescent="0.25">
      <c r="V716"/>
    </row>
    <row r="717" spans="22:22" ht="15" x14ac:dyDescent="0.25">
      <c r="V717"/>
    </row>
    <row r="718" spans="22:22" ht="15" x14ac:dyDescent="0.25">
      <c r="V718"/>
    </row>
    <row r="719" spans="22:22" ht="15" x14ac:dyDescent="0.25">
      <c r="V719"/>
    </row>
    <row r="720" spans="22:22" ht="15" x14ac:dyDescent="0.25">
      <c r="V720"/>
    </row>
    <row r="721" spans="22:22" ht="15" x14ac:dyDescent="0.25">
      <c r="V721"/>
    </row>
    <row r="722" spans="22:22" ht="15" x14ac:dyDescent="0.25">
      <c r="V722"/>
    </row>
    <row r="723" spans="22:22" ht="15" x14ac:dyDescent="0.25">
      <c r="V723"/>
    </row>
    <row r="724" spans="22:22" ht="15" x14ac:dyDescent="0.25">
      <c r="V724"/>
    </row>
    <row r="725" spans="22:22" ht="15" x14ac:dyDescent="0.25">
      <c r="V725"/>
    </row>
    <row r="726" spans="22:22" ht="15" x14ac:dyDescent="0.25">
      <c r="V726"/>
    </row>
    <row r="727" spans="22:22" ht="15" x14ac:dyDescent="0.25">
      <c r="V727"/>
    </row>
    <row r="728" spans="22:22" ht="15" x14ac:dyDescent="0.25">
      <c r="V728"/>
    </row>
    <row r="729" spans="22:22" ht="15" x14ac:dyDescent="0.25">
      <c r="V729"/>
    </row>
    <row r="730" spans="22:22" ht="15" x14ac:dyDescent="0.25">
      <c r="V730"/>
    </row>
    <row r="731" spans="22:22" ht="15" x14ac:dyDescent="0.25">
      <c r="V731"/>
    </row>
    <row r="732" spans="22:22" ht="15" x14ac:dyDescent="0.25">
      <c r="V732"/>
    </row>
    <row r="733" spans="22:22" ht="15" x14ac:dyDescent="0.25">
      <c r="V733"/>
    </row>
    <row r="734" spans="22:22" ht="15" x14ac:dyDescent="0.25">
      <c r="V734"/>
    </row>
    <row r="735" spans="22:22" ht="15" x14ac:dyDescent="0.25">
      <c r="V735"/>
    </row>
    <row r="736" spans="22:22" ht="15" x14ac:dyDescent="0.25">
      <c r="V736"/>
    </row>
    <row r="737" spans="22:22" ht="15" x14ac:dyDescent="0.25">
      <c r="V737"/>
    </row>
    <row r="738" spans="22:22" ht="15" x14ac:dyDescent="0.25">
      <c r="V738"/>
    </row>
    <row r="739" spans="22:22" ht="15" x14ac:dyDescent="0.25">
      <c r="V739"/>
    </row>
    <row r="740" spans="22:22" ht="15" x14ac:dyDescent="0.25">
      <c r="V740"/>
    </row>
    <row r="741" spans="22:22" ht="15" x14ac:dyDescent="0.25">
      <c r="V741"/>
    </row>
    <row r="742" spans="22:22" ht="15" x14ac:dyDescent="0.25">
      <c r="V742"/>
    </row>
    <row r="743" spans="22:22" ht="15" x14ac:dyDescent="0.25">
      <c r="V743"/>
    </row>
    <row r="744" spans="22:22" ht="15" x14ac:dyDescent="0.25">
      <c r="V744"/>
    </row>
    <row r="745" spans="22:22" ht="15" x14ac:dyDescent="0.25">
      <c r="V745"/>
    </row>
    <row r="746" spans="22:22" ht="15" x14ac:dyDescent="0.25">
      <c r="V746"/>
    </row>
    <row r="747" spans="22:22" ht="15" x14ac:dyDescent="0.25">
      <c r="V747"/>
    </row>
    <row r="748" spans="22:22" ht="15" x14ac:dyDescent="0.25">
      <c r="V748"/>
    </row>
    <row r="749" spans="22:22" ht="15" x14ac:dyDescent="0.25">
      <c r="V749"/>
    </row>
    <row r="750" spans="22:22" ht="15" x14ac:dyDescent="0.25">
      <c r="V750"/>
    </row>
    <row r="751" spans="22:22" ht="15" x14ac:dyDescent="0.25">
      <c r="V751"/>
    </row>
    <row r="752" spans="22:22" ht="15" x14ac:dyDescent="0.25">
      <c r="V752"/>
    </row>
    <row r="753" spans="22:22" ht="15" x14ac:dyDescent="0.25">
      <c r="V753"/>
    </row>
    <row r="754" spans="22:22" ht="15" x14ac:dyDescent="0.25">
      <c r="V754"/>
    </row>
    <row r="755" spans="22:22" ht="15" x14ac:dyDescent="0.25">
      <c r="V755"/>
    </row>
    <row r="756" spans="22:22" ht="15" x14ac:dyDescent="0.25">
      <c r="V756"/>
    </row>
    <row r="757" spans="22:22" ht="15" x14ac:dyDescent="0.25">
      <c r="V757"/>
    </row>
    <row r="758" spans="22:22" ht="15" x14ac:dyDescent="0.25">
      <c r="V758"/>
    </row>
    <row r="759" spans="22:22" ht="15" x14ac:dyDescent="0.25">
      <c r="V759"/>
    </row>
    <row r="760" spans="22:22" ht="15" x14ac:dyDescent="0.25">
      <c r="V760"/>
    </row>
    <row r="761" spans="22:22" ht="15" x14ac:dyDescent="0.25">
      <c r="V761"/>
    </row>
    <row r="762" spans="22:22" ht="15" x14ac:dyDescent="0.25">
      <c r="V762"/>
    </row>
    <row r="763" spans="22:22" ht="15" x14ac:dyDescent="0.25">
      <c r="V763"/>
    </row>
    <row r="764" spans="22:22" ht="15" x14ac:dyDescent="0.25">
      <c r="V764"/>
    </row>
    <row r="765" spans="22:22" ht="15" x14ac:dyDescent="0.25">
      <c r="V765"/>
    </row>
    <row r="766" spans="22:22" ht="15" x14ac:dyDescent="0.25">
      <c r="V766"/>
    </row>
    <row r="767" spans="22:22" ht="15" x14ac:dyDescent="0.25">
      <c r="V767"/>
    </row>
    <row r="768" spans="22:22" ht="15" x14ac:dyDescent="0.25">
      <c r="V768"/>
    </row>
    <row r="769" spans="22:22" ht="15" x14ac:dyDescent="0.25">
      <c r="V769"/>
    </row>
    <row r="770" spans="22:22" ht="15" x14ac:dyDescent="0.25">
      <c r="V770"/>
    </row>
    <row r="771" spans="22:22" ht="15" x14ac:dyDescent="0.25">
      <c r="V771"/>
    </row>
    <row r="772" spans="22:22" ht="15" x14ac:dyDescent="0.25">
      <c r="V772"/>
    </row>
    <row r="773" spans="22:22" ht="15" x14ac:dyDescent="0.25">
      <c r="V773"/>
    </row>
    <row r="774" spans="22:22" ht="15" x14ac:dyDescent="0.25">
      <c r="V774"/>
    </row>
    <row r="775" spans="22:22" ht="15" x14ac:dyDescent="0.25">
      <c r="V775"/>
    </row>
    <row r="776" spans="22:22" ht="15" x14ac:dyDescent="0.25">
      <c r="V776"/>
    </row>
    <row r="777" spans="22:22" ht="15" x14ac:dyDescent="0.25">
      <c r="V777"/>
    </row>
    <row r="778" spans="22:22" ht="15" x14ac:dyDescent="0.25">
      <c r="V778"/>
    </row>
    <row r="779" spans="22:22" ht="15" x14ac:dyDescent="0.25">
      <c r="V779"/>
    </row>
    <row r="780" spans="22:22" ht="15" x14ac:dyDescent="0.25">
      <c r="V780"/>
    </row>
    <row r="781" spans="22:22" ht="15" x14ac:dyDescent="0.25">
      <c r="V781"/>
    </row>
    <row r="782" spans="22:22" ht="15" x14ac:dyDescent="0.25">
      <c r="V782"/>
    </row>
    <row r="783" spans="22:22" ht="15" x14ac:dyDescent="0.25">
      <c r="V783"/>
    </row>
    <row r="784" spans="22:22" ht="15" x14ac:dyDescent="0.25">
      <c r="V784"/>
    </row>
    <row r="785" spans="22:22" ht="15" x14ac:dyDescent="0.25">
      <c r="V785"/>
    </row>
    <row r="786" spans="22:22" ht="15" x14ac:dyDescent="0.25">
      <c r="V786"/>
    </row>
    <row r="787" spans="22:22" ht="15" x14ac:dyDescent="0.25">
      <c r="V787"/>
    </row>
    <row r="788" spans="22:22" ht="15" x14ac:dyDescent="0.25">
      <c r="V788"/>
    </row>
    <row r="789" spans="22:22" ht="15" x14ac:dyDescent="0.25">
      <c r="V789"/>
    </row>
    <row r="790" spans="22:22" ht="15" x14ac:dyDescent="0.25">
      <c r="V790"/>
    </row>
    <row r="791" spans="22:22" ht="15" x14ac:dyDescent="0.25">
      <c r="V791"/>
    </row>
    <row r="792" spans="22:22" ht="15" x14ac:dyDescent="0.25">
      <c r="V792"/>
    </row>
    <row r="793" spans="22:22" ht="15" x14ac:dyDescent="0.25">
      <c r="V793"/>
    </row>
    <row r="794" spans="22:22" ht="15" x14ac:dyDescent="0.25">
      <c r="V794"/>
    </row>
    <row r="795" spans="22:22" ht="15" x14ac:dyDescent="0.25">
      <c r="V795"/>
    </row>
    <row r="796" spans="22:22" ht="15" x14ac:dyDescent="0.25">
      <c r="V796"/>
    </row>
    <row r="797" spans="22:22" ht="15" x14ac:dyDescent="0.25">
      <c r="V797"/>
    </row>
    <row r="798" spans="22:22" ht="15" x14ac:dyDescent="0.25">
      <c r="V798"/>
    </row>
    <row r="799" spans="22:22" ht="15" x14ac:dyDescent="0.25">
      <c r="V799"/>
    </row>
    <row r="800" spans="22:22" ht="15" x14ac:dyDescent="0.25">
      <c r="V800"/>
    </row>
    <row r="801" spans="22:22" ht="15" x14ac:dyDescent="0.25">
      <c r="V801"/>
    </row>
    <row r="802" spans="22:22" ht="15" x14ac:dyDescent="0.25">
      <c r="V802"/>
    </row>
    <row r="803" spans="22:22" ht="15" x14ac:dyDescent="0.25">
      <c r="V803"/>
    </row>
    <row r="804" spans="22:22" ht="15" x14ac:dyDescent="0.25">
      <c r="V804"/>
    </row>
    <row r="805" spans="22:22" ht="15" x14ac:dyDescent="0.25">
      <c r="V805"/>
    </row>
    <row r="806" spans="22:22" ht="15" x14ac:dyDescent="0.25">
      <c r="V806"/>
    </row>
    <row r="807" spans="22:22" ht="15" x14ac:dyDescent="0.25">
      <c r="V807"/>
    </row>
    <row r="808" spans="22:22" ht="15" x14ac:dyDescent="0.25">
      <c r="V808"/>
    </row>
    <row r="809" spans="22:22" ht="15" x14ac:dyDescent="0.25">
      <c r="V809"/>
    </row>
    <row r="810" spans="22:22" ht="15" x14ac:dyDescent="0.25">
      <c r="V810"/>
    </row>
    <row r="811" spans="22:22" ht="15" x14ac:dyDescent="0.25">
      <c r="V811"/>
    </row>
    <row r="812" spans="22:22" ht="15" x14ac:dyDescent="0.25">
      <c r="V812"/>
    </row>
    <row r="813" spans="22:22" ht="15" x14ac:dyDescent="0.25">
      <c r="V813"/>
    </row>
    <row r="814" spans="22:22" ht="15" x14ac:dyDescent="0.25">
      <c r="V814"/>
    </row>
    <row r="815" spans="22:22" ht="15" x14ac:dyDescent="0.25">
      <c r="V815"/>
    </row>
    <row r="816" spans="22:22" ht="15" x14ac:dyDescent="0.25">
      <c r="V816"/>
    </row>
    <row r="817" spans="22:22" ht="15" x14ac:dyDescent="0.25">
      <c r="V817"/>
    </row>
    <row r="818" spans="22:22" ht="15" x14ac:dyDescent="0.25">
      <c r="V818"/>
    </row>
    <row r="819" spans="22:22" ht="15" x14ac:dyDescent="0.25">
      <c r="V819"/>
    </row>
    <row r="820" spans="22:22" ht="15" x14ac:dyDescent="0.25">
      <c r="V820"/>
    </row>
    <row r="821" spans="22:22" ht="15" x14ac:dyDescent="0.25">
      <c r="V821"/>
    </row>
    <row r="822" spans="22:22" ht="15" x14ac:dyDescent="0.25">
      <c r="V822"/>
    </row>
    <row r="823" spans="22:22" ht="15" x14ac:dyDescent="0.25">
      <c r="V823"/>
    </row>
    <row r="824" spans="22:22" ht="15" x14ac:dyDescent="0.25">
      <c r="V824"/>
    </row>
    <row r="825" spans="22:22" ht="15" x14ac:dyDescent="0.25">
      <c r="V825"/>
    </row>
    <row r="826" spans="22:22" ht="15" x14ac:dyDescent="0.25">
      <c r="V826"/>
    </row>
    <row r="827" spans="22:22" ht="15" x14ac:dyDescent="0.25">
      <c r="V827"/>
    </row>
    <row r="828" spans="22:22" ht="15" x14ac:dyDescent="0.25">
      <c r="V828"/>
    </row>
    <row r="829" spans="22:22" ht="15" x14ac:dyDescent="0.25">
      <c r="V829"/>
    </row>
    <row r="830" spans="22:22" ht="15" x14ac:dyDescent="0.25">
      <c r="V830"/>
    </row>
    <row r="831" spans="22:22" ht="15" x14ac:dyDescent="0.25">
      <c r="V831"/>
    </row>
    <row r="832" spans="22:22" ht="15" x14ac:dyDescent="0.25">
      <c r="V832"/>
    </row>
    <row r="833" spans="22:22" ht="15" x14ac:dyDescent="0.25">
      <c r="V833"/>
    </row>
    <row r="834" spans="22:22" ht="15" x14ac:dyDescent="0.25">
      <c r="V834"/>
    </row>
    <row r="835" spans="22:22" ht="15" x14ac:dyDescent="0.25">
      <c r="V835"/>
    </row>
    <row r="836" spans="22:22" ht="15" x14ac:dyDescent="0.25">
      <c r="V836"/>
    </row>
    <row r="837" spans="22:22" ht="15" x14ac:dyDescent="0.25">
      <c r="V837"/>
    </row>
    <row r="838" spans="22:22" ht="15" x14ac:dyDescent="0.25">
      <c r="V838"/>
    </row>
    <row r="839" spans="22:22" ht="15" x14ac:dyDescent="0.25">
      <c r="V839"/>
    </row>
    <row r="840" spans="22:22" ht="15" x14ac:dyDescent="0.25">
      <c r="V840"/>
    </row>
    <row r="841" spans="22:22" ht="15" x14ac:dyDescent="0.25">
      <c r="V841"/>
    </row>
    <row r="842" spans="22:22" ht="15" x14ac:dyDescent="0.25">
      <c r="V842"/>
    </row>
    <row r="843" spans="22:22" ht="15" x14ac:dyDescent="0.25">
      <c r="V843"/>
    </row>
    <row r="844" spans="22:22" ht="15" x14ac:dyDescent="0.25">
      <c r="V844"/>
    </row>
    <row r="845" spans="22:22" ht="15" x14ac:dyDescent="0.25">
      <c r="V845"/>
    </row>
    <row r="846" spans="22:22" ht="15" x14ac:dyDescent="0.25">
      <c r="V846"/>
    </row>
    <row r="847" spans="22:22" ht="15" x14ac:dyDescent="0.25">
      <c r="V847"/>
    </row>
    <row r="848" spans="22:22" ht="15" x14ac:dyDescent="0.25">
      <c r="V848"/>
    </row>
    <row r="849" spans="22:22" ht="15" x14ac:dyDescent="0.25">
      <c r="V849"/>
    </row>
    <row r="850" spans="22:22" ht="15" x14ac:dyDescent="0.25">
      <c r="V850"/>
    </row>
    <row r="851" spans="22:22" ht="15" x14ac:dyDescent="0.25">
      <c r="V851"/>
    </row>
    <row r="852" spans="22:22" ht="15" x14ac:dyDescent="0.25">
      <c r="V852"/>
    </row>
    <row r="853" spans="22:22" ht="15" x14ac:dyDescent="0.25">
      <c r="V853"/>
    </row>
    <row r="854" spans="22:22" ht="15" x14ac:dyDescent="0.25">
      <c r="V854"/>
    </row>
    <row r="855" spans="22:22" ht="15" x14ac:dyDescent="0.25">
      <c r="V855"/>
    </row>
    <row r="856" spans="22:22" ht="15" x14ac:dyDescent="0.25">
      <c r="V856"/>
    </row>
    <row r="857" spans="22:22" ht="15" x14ac:dyDescent="0.25">
      <c r="V857"/>
    </row>
    <row r="858" spans="22:22" ht="15" x14ac:dyDescent="0.25">
      <c r="V858"/>
    </row>
    <row r="859" spans="22:22" ht="15" x14ac:dyDescent="0.25">
      <c r="V859"/>
    </row>
    <row r="860" spans="22:22" ht="15" x14ac:dyDescent="0.25">
      <c r="V860"/>
    </row>
    <row r="861" spans="22:22" ht="15" x14ac:dyDescent="0.25">
      <c r="V861"/>
    </row>
    <row r="862" spans="22:22" ht="15" x14ac:dyDescent="0.25">
      <c r="V862"/>
    </row>
    <row r="863" spans="22:22" ht="15" x14ac:dyDescent="0.25">
      <c r="V863"/>
    </row>
    <row r="864" spans="22:22" ht="15" x14ac:dyDescent="0.25">
      <c r="V864"/>
    </row>
    <row r="865" spans="22:22" ht="15" x14ac:dyDescent="0.25">
      <c r="V865"/>
    </row>
    <row r="866" spans="22:22" ht="15" x14ac:dyDescent="0.25">
      <c r="V866"/>
    </row>
    <row r="867" spans="22:22" ht="15" x14ac:dyDescent="0.25">
      <c r="V867"/>
    </row>
    <row r="868" spans="22:22" ht="15" x14ac:dyDescent="0.25">
      <c r="V868"/>
    </row>
    <row r="869" spans="22:22" ht="15" x14ac:dyDescent="0.25">
      <c r="V869"/>
    </row>
    <row r="870" spans="22:22" ht="15" x14ac:dyDescent="0.25">
      <c r="V870"/>
    </row>
    <row r="871" spans="22:22" ht="15" x14ac:dyDescent="0.25">
      <c r="V871"/>
    </row>
    <row r="872" spans="22:22" ht="15" x14ac:dyDescent="0.25">
      <c r="V872"/>
    </row>
    <row r="873" spans="22:22" ht="15" x14ac:dyDescent="0.25">
      <c r="V873"/>
    </row>
    <row r="874" spans="22:22" ht="15" x14ac:dyDescent="0.25">
      <c r="V874"/>
    </row>
    <row r="875" spans="22:22" ht="15" x14ac:dyDescent="0.25">
      <c r="V875"/>
    </row>
    <row r="876" spans="22:22" ht="15" x14ac:dyDescent="0.25">
      <c r="V876"/>
    </row>
    <row r="877" spans="22:22" ht="15" x14ac:dyDescent="0.25">
      <c r="V877"/>
    </row>
    <row r="878" spans="22:22" ht="15" x14ac:dyDescent="0.25">
      <c r="V878"/>
    </row>
    <row r="879" spans="22:22" ht="15" x14ac:dyDescent="0.25">
      <c r="V879"/>
    </row>
    <row r="880" spans="22:22" ht="15" x14ac:dyDescent="0.25">
      <c r="V880"/>
    </row>
    <row r="881" spans="22:22" ht="15" x14ac:dyDescent="0.25">
      <c r="V881"/>
    </row>
    <row r="882" spans="22:22" ht="15" x14ac:dyDescent="0.25">
      <c r="V882"/>
    </row>
    <row r="883" spans="22:22" ht="15" x14ac:dyDescent="0.25">
      <c r="V883"/>
    </row>
    <row r="884" spans="22:22" ht="15" x14ac:dyDescent="0.25">
      <c r="V884"/>
    </row>
    <row r="885" spans="22:22" ht="15" x14ac:dyDescent="0.25">
      <c r="V885"/>
    </row>
    <row r="886" spans="22:22" ht="15" x14ac:dyDescent="0.25">
      <c r="V886"/>
    </row>
    <row r="887" spans="22:22" ht="15" x14ac:dyDescent="0.25">
      <c r="V887"/>
    </row>
    <row r="888" spans="22:22" ht="15" x14ac:dyDescent="0.25">
      <c r="V888"/>
    </row>
    <row r="889" spans="22:22" ht="15" x14ac:dyDescent="0.25">
      <c r="V889"/>
    </row>
    <row r="890" spans="22:22" ht="15" x14ac:dyDescent="0.25">
      <c r="V890"/>
    </row>
    <row r="891" spans="22:22" ht="15" x14ac:dyDescent="0.25">
      <c r="V891"/>
    </row>
    <row r="892" spans="22:22" ht="15" x14ac:dyDescent="0.25">
      <c r="V892"/>
    </row>
    <row r="893" spans="22:22" ht="15" x14ac:dyDescent="0.25">
      <c r="V893"/>
    </row>
    <row r="894" spans="22:22" ht="15" x14ac:dyDescent="0.25">
      <c r="V894"/>
    </row>
    <row r="895" spans="22:22" ht="15" x14ac:dyDescent="0.25">
      <c r="V895"/>
    </row>
    <row r="896" spans="22:22" ht="15" x14ac:dyDescent="0.25">
      <c r="V896"/>
    </row>
    <row r="897" spans="22:22" ht="15" x14ac:dyDescent="0.25">
      <c r="V897"/>
    </row>
    <row r="898" spans="22:22" ht="15" x14ac:dyDescent="0.25">
      <c r="V898"/>
    </row>
    <row r="899" spans="22:22" ht="15" x14ac:dyDescent="0.25">
      <c r="V899"/>
    </row>
    <row r="900" spans="22:22" ht="15" x14ac:dyDescent="0.25">
      <c r="V900"/>
    </row>
    <row r="901" spans="22:22" ht="15" x14ac:dyDescent="0.25">
      <c r="V901"/>
    </row>
    <row r="902" spans="22:22" ht="15" x14ac:dyDescent="0.25">
      <c r="V902"/>
    </row>
    <row r="903" spans="22:22" ht="15" x14ac:dyDescent="0.25">
      <c r="V903"/>
    </row>
    <row r="904" spans="22:22" ht="15" x14ac:dyDescent="0.25">
      <c r="V904"/>
    </row>
    <row r="905" spans="22:22" ht="15" x14ac:dyDescent="0.25">
      <c r="V905"/>
    </row>
    <row r="906" spans="22:22" ht="15" x14ac:dyDescent="0.25">
      <c r="V906"/>
    </row>
    <row r="907" spans="22:22" ht="15" x14ac:dyDescent="0.25">
      <c r="V907"/>
    </row>
    <row r="908" spans="22:22" ht="15" x14ac:dyDescent="0.25">
      <c r="V908"/>
    </row>
    <row r="909" spans="22:22" ht="15" x14ac:dyDescent="0.25">
      <c r="V909"/>
    </row>
    <row r="910" spans="22:22" ht="15" x14ac:dyDescent="0.25">
      <c r="V910"/>
    </row>
    <row r="911" spans="22:22" ht="15" x14ac:dyDescent="0.25">
      <c r="V911"/>
    </row>
    <row r="912" spans="22:22" ht="15" x14ac:dyDescent="0.25">
      <c r="V912"/>
    </row>
    <row r="913" spans="22:22" ht="15" x14ac:dyDescent="0.25">
      <c r="V913"/>
    </row>
    <row r="914" spans="22:22" ht="15" x14ac:dyDescent="0.25">
      <c r="V914"/>
    </row>
    <row r="915" spans="22:22" ht="15" x14ac:dyDescent="0.25">
      <c r="V915"/>
    </row>
    <row r="916" spans="22:22" ht="15" x14ac:dyDescent="0.25">
      <c r="V916"/>
    </row>
    <row r="917" spans="22:22" ht="15" x14ac:dyDescent="0.25">
      <c r="V917"/>
    </row>
    <row r="918" spans="22:22" ht="15" x14ac:dyDescent="0.25">
      <c r="V918"/>
    </row>
    <row r="919" spans="22:22" ht="15" x14ac:dyDescent="0.25">
      <c r="V919"/>
    </row>
    <row r="920" spans="22:22" ht="15" x14ac:dyDescent="0.25">
      <c r="V920"/>
    </row>
    <row r="921" spans="22:22" ht="15" x14ac:dyDescent="0.25">
      <c r="V921"/>
    </row>
    <row r="922" spans="22:22" ht="15" x14ac:dyDescent="0.25">
      <c r="V922"/>
    </row>
    <row r="923" spans="22:22" ht="15" x14ac:dyDescent="0.25">
      <c r="V923"/>
    </row>
    <row r="924" spans="22:22" ht="15" x14ac:dyDescent="0.25">
      <c r="V924"/>
    </row>
    <row r="925" spans="22:22" ht="15" x14ac:dyDescent="0.25">
      <c r="V925"/>
    </row>
    <row r="926" spans="22:22" ht="15" x14ac:dyDescent="0.25">
      <c r="V926"/>
    </row>
    <row r="927" spans="22:22" ht="15" x14ac:dyDescent="0.25">
      <c r="V927"/>
    </row>
    <row r="928" spans="22:22" ht="15" x14ac:dyDescent="0.25">
      <c r="V928"/>
    </row>
    <row r="929" spans="22:22" ht="15" x14ac:dyDescent="0.25">
      <c r="V929"/>
    </row>
    <row r="930" spans="22:22" ht="15" x14ac:dyDescent="0.25">
      <c r="V930"/>
    </row>
    <row r="931" spans="22:22" ht="15" x14ac:dyDescent="0.25">
      <c r="V931"/>
    </row>
    <row r="932" spans="22:22" ht="15" x14ac:dyDescent="0.25">
      <c r="V932"/>
    </row>
    <row r="933" spans="22:22" ht="15" x14ac:dyDescent="0.25">
      <c r="V933"/>
    </row>
    <row r="934" spans="22:22" ht="15" x14ac:dyDescent="0.25">
      <c r="V934"/>
    </row>
    <row r="935" spans="22:22" ht="15" x14ac:dyDescent="0.25">
      <c r="V935"/>
    </row>
    <row r="936" spans="22:22" ht="15" x14ac:dyDescent="0.25">
      <c r="V936"/>
    </row>
    <row r="937" spans="22:22" ht="15" x14ac:dyDescent="0.25">
      <c r="V937"/>
    </row>
    <row r="938" spans="22:22" ht="15" x14ac:dyDescent="0.25">
      <c r="V938"/>
    </row>
    <row r="939" spans="22:22" ht="15" x14ac:dyDescent="0.25">
      <c r="V939"/>
    </row>
    <row r="940" spans="22:22" ht="15" x14ac:dyDescent="0.25">
      <c r="V940"/>
    </row>
    <row r="941" spans="22:22" ht="15" x14ac:dyDescent="0.25">
      <c r="V941"/>
    </row>
    <row r="942" spans="22:22" ht="15" x14ac:dyDescent="0.25">
      <c r="V942"/>
    </row>
    <row r="943" spans="22:22" ht="15" x14ac:dyDescent="0.25">
      <c r="V943"/>
    </row>
    <row r="944" spans="22:22" ht="15" x14ac:dyDescent="0.25">
      <c r="V944"/>
    </row>
    <row r="945" spans="22:22" ht="15" x14ac:dyDescent="0.25">
      <c r="V945"/>
    </row>
    <row r="946" spans="22:22" ht="15" x14ac:dyDescent="0.25">
      <c r="V946"/>
    </row>
    <row r="947" spans="22:22" ht="15" x14ac:dyDescent="0.25">
      <c r="V947"/>
    </row>
    <row r="948" spans="22:22" ht="15" x14ac:dyDescent="0.25">
      <c r="V948"/>
    </row>
    <row r="949" spans="22:22" ht="15" x14ac:dyDescent="0.25">
      <c r="V949"/>
    </row>
    <row r="950" spans="22:22" ht="15" x14ac:dyDescent="0.25">
      <c r="V950"/>
    </row>
    <row r="951" spans="22:22" ht="15" x14ac:dyDescent="0.25">
      <c r="V951"/>
    </row>
    <row r="952" spans="22:22" ht="15" x14ac:dyDescent="0.25">
      <c r="V952"/>
    </row>
    <row r="953" spans="22:22" ht="15" x14ac:dyDescent="0.25">
      <c r="V953"/>
    </row>
    <row r="954" spans="22:22" ht="15" x14ac:dyDescent="0.25">
      <c r="V954"/>
    </row>
    <row r="955" spans="22:22" ht="15" x14ac:dyDescent="0.25">
      <c r="V955"/>
    </row>
    <row r="956" spans="22:22" ht="15" x14ac:dyDescent="0.25">
      <c r="V956"/>
    </row>
    <row r="957" spans="22:22" ht="15" x14ac:dyDescent="0.25">
      <c r="V957"/>
    </row>
    <row r="958" spans="22:22" ht="15" x14ac:dyDescent="0.25">
      <c r="V958"/>
    </row>
    <row r="959" spans="22:22" ht="15" x14ac:dyDescent="0.25">
      <c r="V959"/>
    </row>
    <row r="960" spans="22:22" ht="15" x14ac:dyDescent="0.25">
      <c r="V960"/>
    </row>
    <row r="961" spans="22:22" ht="15" x14ac:dyDescent="0.25">
      <c r="V961"/>
    </row>
    <row r="962" spans="22:22" ht="15" x14ac:dyDescent="0.25">
      <c r="V962"/>
    </row>
    <row r="963" spans="22:22" ht="15" x14ac:dyDescent="0.25">
      <c r="V963"/>
    </row>
    <row r="964" spans="22:22" ht="15" x14ac:dyDescent="0.25">
      <c r="V964"/>
    </row>
    <row r="965" spans="22:22" ht="15" x14ac:dyDescent="0.25">
      <c r="V965"/>
    </row>
    <row r="966" spans="22:22" ht="15" x14ac:dyDescent="0.25">
      <c r="V966"/>
    </row>
    <row r="967" spans="22:22" ht="15" x14ac:dyDescent="0.25">
      <c r="V967"/>
    </row>
    <row r="968" spans="22:22" ht="15" x14ac:dyDescent="0.25">
      <c r="V968"/>
    </row>
    <row r="969" spans="22:22" ht="15" x14ac:dyDescent="0.25">
      <c r="V969"/>
    </row>
    <row r="970" spans="22:22" ht="15" x14ac:dyDescent="0.25">
      <c r="V970"/>
    </row>
    <row r="971" spans="22:22" ht="15" x14ac:dyDescent="0.25">
      <c r="V971"/>
    </row>
    <row r="972" spans="22:22" ht="15" x14ac:dyDescent="0.25">
      <c r="V972"/>
    </row>
    <row r="973" spans="22:22" ht="15" x14ac:dyDescent="0.25">
      <c r="V973"/>
    </row>
    <row r="974" spans="22:22" ht="15" x14ac:dyDescent="0.25">
      <c r="V974"/>
    </row>
    <row r="975" spans="22:22" ht="15" x14ac:dyDescent="0.25">
      <c r="V975"/>
    </row>
    <row r="976" spans="22:22" ht="15" x14ac:dyDescent="0.25">
      <c r="V976"/>
    </row>
    <row r="977" spans="22:22" ht="15" x14ac:dyDescent="0.25">
      <c r="V977"/>
    </row>
    <row r="978" spans="22:22" ht="15" x14ac:dyDescent="0.25">
      <c r="V978"/>
    </row>
    <row r="979" spans="22:22" ht="15" x14ac:dyDescent="0.25">
      <c r="V979"/>
    </row>
    <row r="980" spans="22:22" ht="15" x14ac:dyDescent="0.25">
      <c r="V980"/>
    </row>
    <row r="981" spans="22:22" ht="15" x14ac:dyDescent="0.25">
      <c r="V981"/>
    </row>
    <row r="982" spans="22:22" ht="15" x14ac:dyDescent="0.25">
      <c r="V982"/>
    </row>
    <row r="983" spans="22:22" ht="15" x14ac:dyDescent="0.25">
      <c r="V983"/>
    </row>
    <row r="984" spans="22:22" ht="15" x14ac:dyDescent="0.25">
      <c r="V984"/>
    </row>
    <row r="985" spans="22:22" ht="15" x14ac:dyDescent="0.25">
      <c r="V985"/>
    </row>
    <row r="986" spans="22:22" ht="15" x14ac:dyDescent="0.25">
      <c r="V986"/>
    </row>
    <row r="987" spans="22:22" ht="15" x14ac:dyDescent="0.25">
      <c r="V987"/>
    </row>
    <row r="988" spans="22:22" ht="15" x14ac:dyDescent="0.25">
      <c r="V988"/>
    </row>
    <row r="989" spans="22:22" ht="15" x14ac:dyDescent="0.25">
      <c r="V989"/>
    </row>
    <row r="990" spans="22:22" ht="15" x14ac:dyDescent="0.25">
      <c r="V990"/>
    </row>
    <row r="991" spans="22:22" ht="15" x14ac:dyDescent="0.25">
      <c r="V991"/>
    </row>
    <row r="992" spans="22:22" ht="15" x14ac:dyDescent="0.25">
      <c r="V992"/>
    </row>
    <row r="993" spans="22:22" ht="15" x14ac:dyDescent="0.25">
      <c r="V993"/>
    </row>
    <row r="994" spans="22:22" ht="15" x14ac:dyDescent="0.25">
      <c r="V994"/>
    </row>
    <row r="995" spans="22:22" ht="15" x14ac:dyDescent="0.25">
      <c r="V995"/>
    </row>
    <row r="996" spans="22:22" ht="15" x14ac:dyDescent="0.25">
      <c r="V996"/>
    </row>
    <row r="997" spans="22:22" ht="15" x14ac:dyDescent="0.25">
      <c r="V997"/>
    </row>
    <row r="998" spans="22:22" ht="15" x14ac:dyDescent="0.25">
      <c r="V998"/>
    </row>
    <row r="999" spans="22:22" ht="15" x14ac:dyDescent="0.25">
      <c r="V999"/>
    </row>
    <row r="1000" spans="22:22" ht="15" x14ac:dyDescent="0.25">
      <c r="V1000"/>
    </row>
    <row r="1001" spans="22:22" ht="15" x14ac:dyDescent="0.25">
      <c r="V1001"/>
    </row>
    <row r="1002" spans="22:22" ht="15" x14ac:dyDescent="0.25">
      <c r="V1002"/>
    </row>
    <row r="1003" spans="22:22" ht="15" x14ac:dyDescent="0.25">
      <c r="V1003"/>
    </row>
    <row r="1004" spans="22:22" ht="15" x14ac:dyDescent="0.25">
      <c r="V1004"/>
    </row>
    <row r="1005" spans="22:22" ht="15" x14ac:dyDescent="0.25">
      <c r="V1005"/>
    </row>
    <row r="1006" spans="22:22" ht="15" x14ac:dyDescent="0.25">
      <c r="V1006"/>
    </row>
    <row r="1007" spans="22:22" ht="15" x14ac:dyDescent="0.25">
      <c r="V1007"/>
    </row>
    <row r="1008" spans="22:22" ht="15" x14ac:dyDescent="0.25">
      <c r="V1008"/>
    </row>
    <row r="1009" spans="22:22" ht="15" x14ac:dyDescent="0.25">
      <c r="V1009"/>
    </row>
    <row r="1010" spans="22:22" ht="15" x14ac:dyDescent="0.25">
      <c r="V1010"/>
    </row>
    <row r="1011" spans="22:22" ht="15" x14ac:dyDescent="0.25">
      <c r="V1011"/>
    </row>
    <row r="1012" spans="22:22" ht="15" x14ac:dyDescent="0.25">
      <c r="V1012"/>
    </row>
    <row r="1013" spans="22:22" ht="15" x14ac:dyDescent="0.25">
      <c r="V1013"/>
    </row>
    <row r="1014" spans="22:22" ht="15" x14ac:dyDescent="0.25">
      <c r="V1014"/>
    </row>
    <row r="1015" spans="22:22" ht="15" x14ac:dyDescent="0.25">
      <c r="V1015"/>
    </row>
    <row r="1016" spans="22:22" ht="15" x14ac:dyDescent="0.25">
      <c r="V1016"/>
    </row>
    <row r="1017" spans="22:22" ht="15" x14ac:dyDescent="0.25">
      <c r="V1017"/>
    </row>
    <row r="1018" spans="22:22" ht="15" x14ac:dyDescent="0.25">
      <c r="V1018"/>
    </row>
    <row r="1019" spans="22:22" ht="15" x14ac:dyDescent="0.25">
      <c r="V1019"/>
    </row>
    <row r="1020" spans="22:22" ht="15" x14ac:dyDescent="0.25">
      <c r="V1020"/>
    </row>
    <row r="1021" spans="22:22" ht="15" x14ac:dyDescent="0.25">
      <c r="V1021"/>
    </row>
    <row r="1022" spans="22:22" ht="15" x14ac:dyDescent="0.25">
      <c r="V1022"/>
    </row>
    <row r="1023" spans="22:22" ht="15" x14ac:dyDescent="0.25">
      <c r="V1023"/>
    </row>
    <row r="1024" spans="22:22" ht="15" x14ac:dyDescent="0.25">
      <c r="V1024"/>
    </row>
    <row r="1025" spans="22:22" ht="15" x14ac:dyDescent="0.25">
      <c r="V1025"/>
    </row>
    <row r="1026" spans="22:22" ht="15" x14ac:dyDescent="0.25">
      <c r="V1026"/>
    </row>
    <row r="1027" spans="22:22" ht="15" x14ac:dyDescent="0.25">
      <c r="V1027"/>
    </row>
    <row r="1028" spans="22:22" ht="15" x14ac:dyDescent="0.25">
      <c r="V1028"/>
    </row>
    <row r="1029" spans="22:22" ht="15" x14ac:dyDescent="0.25">
      <c r="V1029"/>
    </row>
    <row r="1030" spans="22:22" ht="15" x14ac:dyDescent="0.25">
      <c r="V1030"/>
    </row>
    <row r="1031" spans="22:22" ht="15" x14ac:dyDescent="0.25">
      <c r="V1031"/>
    </row>
    <row r="1032" spans="22:22" ht="15" x14ac:dyDescent="0.25">
      <c r="V1032"/>
    </row>
    <row r="1033" spans="22:22" ht="15" x14ac:dyDescent="0.25">
      <c r="V1033"/>
    </row>
    <row r="1034" spans="22:22" ht="15" x14ac:dyDescent="0.25">
      <c r="V1034"/>
    </row>
    <row r="1035" spans="22:22" ht="15" x14ac:dyDescent="0.25">
      <c r="V1035"/>
    </row>
    <row r="1036" spans="22:22" ht="15" x14ac:dyDescent="0.25">
      <c r="V1036"/>
    </row>
    <row r="1037" spans="22:22" ht="15" x14ac:dyDescent="0.25">
      <c r="V1037"/>
    </row>
    <row r="1038" spans="22:22" ht="15" x14ac:dyDescent="0.25">
      <c r="V1038"/>
    </row>
    <row r="1039" spans="22:22" ht="15" x14ac:dyDescent="0.25">
      <c r="V1039"/>
    </row>
    <row r="1040" spans="22:22" ht="15" x14ac:dyDescent="0.25">
      <c r="V1040"/>
    </row>
    <row r="1041" spans="22:22" ht="15" x14ac:dyDescent="0.25">
      <c r="V1041"/>
    </row>
    <row r="1042" spans="22:22" ht="15" x14ac:dyDescent="0.25">
      <c r="V1042"/>
    </row>
    <row r="1043" spans="22:22" ht="15" x14ac:dyDescent="0.25">
      <c r="V1043"/>
    </row>
    <row r="1044" spans="22:22" ht="15" x14ac:dyDescent="0.25">
      <c r="V1044"/>
    </row>
    <row r="1045" spans="22:22" ht="15" x14ac:dyDescent="0.25">
      <c r="V1045"/>
    </row>
    <row r="1046" spans="22:22" ht="15" x14ac:dyDescent="0.25">
      <c r="V1046"/>
    </row>
    <row r="1047" spans="22:22" ht="15" x14ac:dyDescent="0.25">
      <c r="V1047"/>
    </row>
    <row r="1048" spans="22:22" ht="15" x14ac:dyDescent="0.25">
      <c r="V1048"/>
    </row>
    <row r="1049" spans="22:22" ht="15" x14ac:dyDescent="0.25">
      <c r="V1049"/>
    </row>
    <row r="1050" spans="22:22" ht="15" x14ac:dyDescent="0.25">
      <c r="V1050"/>
    </row>
    <row r="1051" spans="22:22" ht="15" x14ac:dyDescent="0.25">
      <c r="V1051"/>
    </row>
    <row r="1052" spans="22:22" ht="15" x14ac:dyDescent="0.25">
      <c r="V1052"/>
    </row>
    <row r="1053" spans="22:22" ht="15" x14ac:dyDescent="0.25">
      <c r="V1053"/>
    </row>
    <row r="1054" spans="22:22" ht="15" x14ac:dyDescent="0.25">
      <c r="V1054"/>
    </row>
    <row r="1055" spans="22:22" ht="15" x14ac:dyDescent="0.25">
      <c r="V1055"/>
    </row>
    <row r="1056" spans="22:22" ht="15" x14ac:dyDescent="0.25">
      <c r="V1056"/>
    </row>
    <row r="1057" spans="22:22" ht="15" x14ac:dyDescent="0.25">
      <c r="V1057"/>
    </row>
    <row r="1058" spans="22:22" ht="15" x14ac:dyDescent="0.25">
      <c r="V1058"/>
    </row>
    <row r="1059" spans="22:22" ht="15" x14ac:dyDescent="0.25">
      <c r="V1059"/>
    </row>
    <row r="1060" spans="22:22" ht="15" x14ac:dyDescent="0.25">
      <c r="V1060"/>
    </row>
    <row r="1061" spans="22:22" ht="15" x14ac:dyDescent="0.25">
      <c r="V1061"/>
    </row>
    <row r="1062" spans="22:22" ht="15" x14ac:dyDescent="0.25">
      <c r="V1062"/>
    </row>
    <row r="1063" spans="22:22" ht="15" x14ac:dyDescent="0.25">
      <c r="V1063"/>
    </row>
    <row r="1064" spans="22:22" ht="15" x14ac:dyDescent="0.25">
      <c r="V1064"/>
    </row>
    <row r="1065" spans="22:22" ht="15" x14ac:dyDescent="0.25">
      <c r="V1065"/>
    </row>
    <row r="1066" spans="22:22" ht="15" x14ac:dyDescent="0.25">
      <c r="V1066"/>
    </row>
    <row r="1067" spans="22:22" ht="15" x14ac:dyDescent="0.25">
      <c r="V1067"/>
    </row>
    <row r="1068" spans="22:22" ht="15" x14ac:dyDescent="0.25">
      <c r="V1068"/>
    </row>
    <row r="1069" spans="22:22" ht="15" x14ac:dyDescent="0.25">
      <c r="V1069"/>
    </row>
    <row r="1070" spans="22:22" ht="15" x14ac:dyDescent="0.25">
      <c r="V1070"/>
    </row>
    <row r="1071" spans="22:22" ht="15" x14ac:dyDescent="0.25">
      <c r="V1071"/>
    </row>
    <row r="1072" spans="22:22" ht="15" x14ac:dyDescent="0.25">
      <c r="V1072"/>
    </row>
    <row r="1073" spans="22:22" ht="15" x14ac:dyDescent="0.25">
      <c r="V1073"/>
    </row>
    <row r="1074" spans="22:22" ht="15" x14ac:dyDescent="0.25">
      <c r="V1074"/>
    </row>
    <row r="1075" spans="22:22" ht="15" x14ac:dyDescent="0.25">
      <c r="V1075"/>
    </row>
    <row r="1076" spans="22:22" ht="15" x14ac:dyDescent="0.25">
      <c r="V1076"/>
    </row>
    <row r="1077" spans="22:22" ht="15" x14ac:dyDescent="0.25">
      <c r="V1077"/>
    </row>
    <row r="1078" spans="22:22" ht="15" x14ac:dyDescent="0.25">
      <c r="V1078"/>
    </row>
    <row r="1079" spans="22:22" ht="15" x14ac:dyDescent="0.25">
      <c r="V1079"/>
    </row>
    <row r="1080" spans="22:22" ht="15" x14ac:dyDescent="0.25">
      <c r="V1080"/>
    </row>
    <row r="1081" spans="22:22" ht="15" x14ac:dyDescent="0.25">
      <c r="V1081"/>
    </row>
    <row r="1082" spans="22:22" ht="15" x14ac:dyDescent="0.25">
      <c r="V1082"/>
    </row>
    <row r="1083" spans="22:22" ht="15" x14ac:dyDescent="0.25">
      <c r="V1083"/>
    </row>
    <row r="1084" spans="22:22" ht="15" x14ac:dyDescent="0.25">
      <c r="V1084"/>
    </row>
    <row r="1085" spans="22:22" ht="15" x14ac:dyDescent="0.25">
      <c r="V1085"/>
    </row>
    <row r="1086" spans="22:22" ht="15" x14ac:dyDescent="0.25">
      <c r="V1086"/>
    </row>
    <row r="1087" spans="22:22" ht="15" x14ac:dyDescent="0.25">
      <c r="V1087"/>
    </row>
    <row r="1088" spans="22:22" ht="15" x14ac:dyDescent="0.25">
      <c r="V1088"/>
    </row>
    <row r="1089" spans="22:22" ht="15" x14ac:dyDescent="0.25">
      <c r="V1089"/>
    </row>
    <row r="1090" spans="22:22" ht="15" x14ac:dyDescent="0.25">
      <c r="V1090"/>
    </row>
    <row r="1091" spans="22:22" ht="15" x14ac:dyDescent="0.25">
      <c r="V1091"/>
    </row>
    <row r="1092" spans="22:22" ht="15" x14ac:dyDescent="0.25">
      <c r="V1092"/>
    </row>
    <row r="1093" spans="22:22" ht="15" x14ac:dyDescent="0.25">
      <c r="V1093"/>
    </row>
    <row r="1094" spans="22:22" ht="15" x14ac:dyDescent="0.25">
      <c r="V1094"/>
    </row>
    <row r="1095" spans="22:22" ht="15" x14ac:dyDescent="0.25">
      <c r="V1095"/>
    </row>
    <row r="1096" spans="22:22" ht="15" x14ac:dyDescent="0.25">
      <c r="V1096"/>
    </row>
    <row r="1097" spans="22:22" ht="15" x14ac:dyDescent="0.25">
      <c r="V1097"/>
    </row>
    <row r="1098" spans="22:22" ht="15" x14ac:dyDescent="0.25">
      <c r="V1098"/>
    </row>
    <row r="1099" spans="22:22" ht="15" x14ac:dyDescent="0.25">
      <c r="V1099"/>
    </row>
    <row r="1100" spans="22:22" ht="15" x14ac:dyDescent="0.25">
      <c r="V1100"/>
    </row>
    <row r="1101" spans="22:22" ht="15" x14ac:dyDescent="0.25">
      <c r="V1101"/>
    </row>
    <row r="1102" spans="22:22" ht="15" x14ac:dyDescent="0.25">
      <c r="V1102"/>
    </row>
    <row r="1103" spans="22:22" ht="15" x14ac:dyDescent="0.25">
      <c r="V1103"/>
    </row>
    <row r="1104" spans="22:22" ht="15" x14ac:dyDescent="0.25">
      <c r="V1104"/>
    </row>
    <row r="1105" spans="22:22" ht="15" x14ac:dyDescent="0.25">
      <c r="V1105"/>
    </row>
    <row r="1106" spans="22:22" ht="15" x14ac:dyDescent="0.25">
      <c r="V1106"/>
    </row>
    <row r="1107" spans="22:22" ht="15" x14ac:dyDescent="0.25">
      <c r="V1107"/>
    </row>
    <row r="1108" spans="22:22" ht="15" x14ac:dyDescent="0.25">
      <c r="V1108"/>
    </row>
    <row r="1109" spans="22:22" ht="15" x14ac:dyDescent="0.25">
      <c r="V1109"/>
    </row>
    <row r="1110" spans="22:22" ht="15" x14ac:dyDescent="0.25">
      <c r="V1110"/>
    </row>
    <row r="1111" spans="22:22" ht="15" x14ac:dyDescent="0.25">
      <c r="V1111"/>
    </row>
    <row r="1112" spans="22:22" ht="15" x14ac:dyDescent="0.25">
      <c r="V1112"/>
    </row>
    <row r="1113" spans="22:22" ht="15" x14ac:dyDescent="0.25">
      <c r="V1113"/>
    </row>
    <row r="1114" spans="22:22" ht="15" x14ac:dyDescent="0.25">
      <c r="V1114"/>
    </row>
    <row r="1115" spans="22:22" ht="15" x14ac:dyDescent="0.25">
      <c r="V1115"/>
    </row>
    <row r="1116" spans="22:22" ht="15" x14ac:dyDescent="0.25">
      <c r="V1116"/>
    </row>
    <row r="1117" spans="22:22" ht="15" x14ac:dyDescent="0.25">
      <c r="V1117"/>
    </row>
    <row r="1118" spans="22:22" ht="15" x14ac:dyDescent="0.25">
      <c r="V1118"/>
    </row>
    <row r="1119" spans="22:22" ht="15" x14ac:dyDescent="0.25">
      <c r="V1119"/>
    </row>
    <row r="1120" spans="22:22" ht="15" x14ac:dyDescent="0.25">
      <c r="V1120"/>
    </row>
    <row r="1121" spans="22:22" ht="15" x14ac:dyDescent="0.25">
      <c r="V1121"/>
    </row>
    <row r="1122" spans="22:22" ht="15" x14ac:dyDescent="0.25">
      <c r="V1122"/>
    </row>
    <row r="1123" spans="22:22" ht="15" x14ac:dyDescent="0.25">
      <c r="V1123"/>
    </row>
    <row r="1124" spans="22:22" ht="15" x14ac:dyDescent="0.25">
      <c r="V1124"/>
    </row>
    <row r="1125" spans="22:22" ht="15" x14ac:dyDescent="0.25">
      <c r="V1125"/>
    </row>
    <row r="1126" spans="22:22" ht="15" x14ac:dyDescent="0.25">
      <c r="V1126"/>
    </row>
    <row r="1127" spans="22:22" ht="15" x14ac:dyDescent="0.25">
      <c r="V1127"/>
    </row>
    <row r="1128" spans="22:22" ht="15" x14ac:dyDescent="0.25">
      <c r="V1128"/>
    </row>
    <row r="1129" spans="22:22" ht="15" x14ac:dyDescent="0.25">
      <c r="V1129"/>
    </row>
    <row r="1130" spans="22:22" ht="15" x14ac:dyDescent="0.25">
      <c r="V1130"/>
    </row>
    <row r="1131" spans="22:22" ht="15" x14ac:dyDescent="0.25">
      <c r="V1131"/>
    </row>
    <row r="1132" spans="22:22" ht="15" x14ac:dyDescent="0.25">
      <c r="V1132"/>
    </row>
    <row r="1133" spans="22:22" ht="15" x14ac:dyDescent="0.25">
      <c r="V1133"/>
    </row>
    <row r="1134" spans="22:22" ht="15" x14ac:dyDescent="0.25">
      <c r="V1134"/>
    </row>
    <row r="1135" spans="22:22" ht="15" x14ac:dyDescent="0.25">
      <c r="V1135"/>
    </row>
    <row r="1136" spans="22:22" ht="15" x14ac:dyDescent="0.25">
      <c r="V1136"/>
    </row>
    <row r="1137" spans="22:22" ht="15" x14ac:dyDescent="0.25">
      <c r="V1137"/>
    </row>
    <row r="1138" spans="22:22" ht="15" x14ac:dyDescent="0.25">
      <c r="V1138"/>
    </row>
    <row r="1139" spans="22:22" ht="15" x14ac:dyDescent="0.25">
      <c r="V1139"/>
    </row>
    <row r="1140" spans="22:22" ht="15" x14ac:dyDescent="0.25">
      <c r="V1140"/>
    </row>
    <row r="1141" spans="22:22" ht="15" x14ac:dyDescent="0.25">
      <c r="V1141"/>
    </row>
    <row r="1142" spans="22:22" ht="15" x14ac:dyDescent="0.25">
      <c r="V1142"/>
    </row>
    <row r="1143" spans="22:22" ht="15" x14ac:dyDescent="0.25">
      <c r="V1143"/>
    </row>
    <row r="1144" spans="22:22" ht="15" x14ac:dyDescent="0.25">
      <c r="V1144"/>
    </row>
    <row r="1145" spans="22:22" ht="15" x14ac:dyDescent="0.25">
      <c r="V1145"/>
    </row>
    <row r="1146" spans="22:22" ht="15" x14ac:dyDescent="0.25">
      <c r="V1146"/>
    </row>
    <row r="1147" spans="22:22" ht="15" x14ac:dyDescent="0.25">
      <c r="V1147"/>
    </row>
    <row r="1148" spans="22:22" ht="15" x14ac:dyDescent="0.25">
      <c r="V1148"/>
    </row>
    <row r="1149" spans="22:22" ht="15" x14ac:dyDescent="0.25">
      <c r="V1149"/>
    </row>
    <row r="1150" spans="22:22" ht="15" x14ac:dyDescent="0.25">
      <c r="V1150"/>
    </row>
    <row r="1151" spans="22:22" ht="15" x14ac:dyDescent="0.25">
      <c r="V1151"/>
    </row>
    <row r="1152" spans="22:22" ht="15" x14ac:dyDescent="0.25">
      <c r="V1152"/>
    </row>
    <row r="1153" spans="22:22" ht="15" x14ac:dyDescent="0.25">
      <c r="V1153"/>
    </row>
    <row r="1154" spans="22:22" ht="15" x14ac:dyDescent="0.25">
      <c r="V1154"/>
    </row>
    <row r="1155" spans="22:22" ht="15" x14ac:dyDescent="0.25">
      <c r="V1155"/>
    </row>
    <row r="1156" spans="22:22" ht="15" x14ac:dyDescent="0.25">
      <c r="V1156"/>
    </row>
    <row r="1157" spans="22:22" ht="15" x14ac:dyDescent="0.25">
      <c r="V1157"/>
    </row>
    <row r="1158" spans="22:22" ht="15" x14ac:dyDescent="0.25">
      <c r="V1158"/>
    </row>
    <row r="1159" spans="22:22" ht="15" x14ac:dyDescent="0.25">
      <c r="V1159"/>
    </row>
    <row r="1160" spans="22:22" ht="15" x14ac:dyDescent="0.25">
      <c r="V1160"/>
    </row>
    <row r="1161" spans="22:22" ht="15" x14ac:dyDescent="0.25">
      <c r="V1161"/>
    </row>
    <row r="1162" spans="22:22" ht="15" x14ac:dyDescent="0.25">
      <c r="V1162"/>
    </row>
    <row r="1163" spans="22:22" ht="15" x14ac:dyDescent="0.25">
      <c r="V1163"/>
    </row>
    <row r="1164" spans="22:22" ht="15" x14ac:dyDescent="0.25">
      <c r="V1164"/>
    </row>
    <row r="1165" spans="22:22" ht="15" x14ac:dyDescent="0.25">
      <c r="V1165"/>
    </row>
    <row r="1166" spans="22:22" ht="15" x14ac:dyDescent="0.25">
      <c r="V1166"/>
    </row>
    <row r="1167" spans="22:22" ht="15" x14ac:dyDescent="0.25">
      <c r="V1167"/>
    </row>
    <row r="1168" spans="22:22" ht="15" x14ac:dyDescent="0.25">
      <c r="V1168"/>
    </row>
    <row r="1169" spans="22:22" ht="15" x14ac:dyDescent="0.25">
      <c r="V1169"/>
    </row>
    <row r="1170" spans="22:22" ht="15" x14ac:dyDescent="0.25">
      <c r="V1170"/>
    </row>
    <row r="1171" spans="22:22" ht="15" x14ac:dyDescent="0.25">
      <c r="V1171"/>
    </row>
    <row r="1172" spans="22:22" ht="15" x14ac:dyDescent="0.25">
      <c r="V1172"/>
    </row>
    <row r="1173" spans="22:22" ht="15" x14ac:dyDescent="0.25">
      <c r="V1173"/>
    </row>
    <row r="1174" spans="22:22" ht="15" x14ac:dyDescent="0.25">
      <c r="V1174"/>
    </row>
    <row r="1175" spans="22:22" ht="15" x14ac:dyDescent="0.25">
      <c r="V1175"/>
    </row>
    <row r="1176" spans="22:22" ht="15" x14ac:dyDescent="0.25">
      <c r="V1176"/>
    </row>
    <row r="1177" spans="22:22" ht="15" x14ac:dyDescent="0.25">
      <c r="V1177"/>
    </row>
    <row r="1178" spans="22:22" ht="15" x14ac:dyDescent="0.25">
      <c r="V1178"/>
    </row>
    <row r="1179" spans="22:22" ht="15" x14ac:dyDescent="0.25">
      <c r="V1179"/>
    </row>
    <row r="1180" spans="22:22" ht="15" x14ac:dyDescent="0.25">
      <c r="V1180"/>
    </row>
    <row r="1181" spans="22:22" ht="15" x14ac:dyDescent="0.25">
      <c r="V1181"/>
    </row>
    <row r="1182" spans="22:22" ht="15" x14ac:dyDescent="0.25">
      <c r="V1182"/>
    </row>
    <row r="1183" spans="22:22" ht="15" x14ac:dyDescent="0.25">
      <c r="V1183"/>
    </row>
    <row r="1184" spans="22:22" ht="15" x14ac:dyDescent="0.25">
      <c r="V1184"/>
    </row>
    <row r="1185" spans="22:22" ht="15" x14ac:dyDescent="0.25">
      <c r="V1185"/>
    </row>
    <row r="1186" spans="22:22" ht="15" x14ac:dyDescent="0.25">
      <c r="V1186"/>
    </row>
    <row r="1187" spans="22:22" ht="15" x14ac:dyDescent="0.25">
      <c r="V1187"/>
    </row>
    <row r="1188" spans="22:22" ht="15" x14ac:dyDescent="0.25">
      <c r="V1188"/>
    </row>
    <row r="1189" spans="22:22" ht="15" x14ac:dyDescent="0.25">
      <c r="V1189"/>
    </row>
    <row r="1190" spans="22:22" ht="15" x14ac:dyDescent="0.25">
      <c r="V1190"/>
    </row>
    <row r="1191" spans="22:22" ht="15" x14ac:dyDescent="0.25">
      <c r="V1191"/>
    </row>
    <row r="1192" spans="22:22" ht="15" x14ac:dyDescent="0.25">
      <c r="V1192"/>
    </row>
    <row r="1193" spans="22:22" ht="15" x14ac:dyDescent="0.25">
      <c r="V1193"/>
    </row>
    <row r="1194" spans="22:22" ht="15" x14ac:dyDescent="0.25">
      <c r="V1194"/>
    </row>
    <row r="1195" spans="22:22" ht="15" x14ac:dyDescent="0.25">
      <c r="V1195"/>
    </row>
    <row r="1196" spans="22:22" ht="15" x14ac:dyDescent="0.25">
      <c r="V1196"/>
    </row>
    <row r="1197" spans="22:22" ht="15" x14ac:dyDescent="0.25">
      <c r="V1197"/>
    </row>
    <row r="1198" spans="22:22" ht="15" x14ac:dyDescent="0.25">
      <c r="V1198"/>
    </row>
    <row r="1199" spans="22:22" ht="15" x14ac:dyDescent="0.25">
      <c r="V1199"/>
    </row>
    <row r="1200" spans="22:22" ht="15" x14ac:dyDescent="0.25">
      <c r="V1200"/>
    </row>
    <row r="1201" spans="22:22" ht="15" x14ac:dyDescent="0.25">
      <c r="V1201"/>
    </row>
    <row r="1202" spans="22:22" ht="15" x14ac:dyDescent="0.25">
      <c r="V1202"/>
    </row>
    <row r="1203" spans="22:22" ht="15" x14ac:dyDescent="0.25">
      <c r="V1203"/>
    </row>
    <row r="1204" spans="22:22" ht="15" x14ac:dyDescent="0.25">
      <c r="V1204"/>
    </row>
    <row r="1205" spans="22:22" ht="15" x14ac:dyDescent="0.25">
      <c r="V1205"/>
    </row>
    <row r="1206" spans="22:22" ht="15" x14ac:dyDescent="0.25">
      <c r="V1206"/>
    </row>
    <row r="1207" spans="22:22" ht="15" x14ac:dyDescent="0.25">
      <c r="V1207"/>
    </row>
    <row r="1208" spans="22:22" ht="15" x14ac:dyDescent="0.25">
      <c r="V1208"/>
    </row>
    <row r="1209" spans="22:22" ht="15" x14ac:dyDescent="0.25">
      <c r="V1209"/>
    </row>
    <row r="1210" spans="22:22" ht="15" x14ac:dyDescent="0.25">
      <c r="V1210"/>
    </row>
    <row r="1211" spans="22:22" ht="15" x14ac:dyDescent="0.25">
      <c r="V1211"/>
    </row>
    <row r="1212" spans="22:22" ht="15" x14ac:dyDescent="0.25">
      <c r="V1212"/>
    </row>
    <row r="1213" spans="22:22" ht="15" x14ac:dyDescent="0.25">
      <c r="V1213"/>
    </row>
    <row r="1214" spans="22:22" ht="15" x14ac:dyDescent="0.25">
      <c r="V1214"/>
    </row>
    <row r="1215" spans="22:22" ht="15" x14ac:dyDescent="0.25">
      <c r="V1215"/>
    </row>
    <row r="1216" spans="22:22" ht="15" x14ac:dyDescent="0.25">
      <c r="V1216"/>
    </row>
    <row r="1217" spans="22:22" ht="15" x14ac:dyDescent="0.25">
      <c r="V1217"/>
    </row>
    <row r="1218" spans="22:22" ht="15" x14ac:dyDescent="0.25">
      <c r="V1218"/>
    </row>
    <row r="1219" spans="22:22" ht="15" x14ac:dyDescent="0.25">
      <c r="V1219"/>
    </row>
    <row r="1220" spans="22:22" ht="15" x14ac:dyDescent="0.25">
      <c r="V1220"/>
    </row>
    <row r="1221" spans="22:22" ht="15" x14ac:dyDescent="0.25">
      <c r="V1221"/>
    </row>
    <row r="1222" spans="22:22" ht="15" x14ac:dyDescent="0.25">
      <c r="V1222"/>
    </row>
    <row r="1223" spans="22:22" ht="15" x14ac:dyDescent="0.25">
      <c r="V1223"/>
    </row>
    <row r="1224" spans="22:22" ht="15" x14ac:dyDescent="0.25">
      <c r="V1224"/>
    </row>
    <row r="1225" spans="22:22" ht="15" x14ac:dyDescent="0.25">
      <c r="V1225"/>
    </row>
    <row r="1226" spans="22:22" ht="15" x14ac:dyDescent="0.25">
      <c r="V1226"/>
    </row>
    <row r="1227" spans="22:22" ht="15" x14ac:dyDescent="0.25">
      <c r="V1227"/>
    </row>
    <row r="1228" spans="22:22" ht="15" x14ac:dyDescent="0.25">
      <c r="V1228"/>
    </row>
    <row r="1229" spans="22:22" ht="15" x14ac:dyDescent="0.25">
      <c r="V1229"/>
    </row>
    <row r="1230" spans="22:22" ht="15" x14ac:dyDescent="0.25">
      <c r="V1230"/>
    </row>
    <row r="1231" spans="22:22" ht="15" x14ac:dyDescent="0.25">
      <c r="V1231"/>
    </row>
    <row r="1232" spans="22:22" ht="15" x14ac:dyDescent="0.25">
      <c r="V1232"/>
    </row>
    <row r="1233" spans="22:22" ht="15" x14ac:dyDescent="0.25">
      <c r="V1233"/>
    </row>
    <row r="1234" spans="22:22" ht="15" x14ac:dyDescent="0.25">
      <c r="V1234"/>
    </row>
    <row r="1235" spans="22:22" ht="15" x14ac:dyDescent="0.25">
      <c r="V1235"/>
    </row>
    <row r="1236" spans="22:22" ht="15" x14ac:dyDescent="0.25">
      <c r="V1236"/>
    </row>
    <row r="1237" spans="22:22" ht="15" x14ac:dyDescent="0.25">
      <c r="V1237"/>
    </row>
    <row r="1238" spans="22:22" ht="15" x14ac:dyDescent="0.25">
      <c r="V1238"/>
    </row>
    <row r="1239" spans="22:22" ht="15" x14ac:dyDescent="0.25">
      <c r="V1239"/>
    </row>
    <row r="1240" spans="22:22" ht="15" x14ac:dyDescent="0.25">
      <c r="V1240"/>
    </row>
    <row r="1241" spans="22:22" ht="15" x14ac:dyDescent="0.25">
      <c r="V1241"/>
    </row>
    <row r="1242" spans="22:22" ht="15" x14ac:dyDescent="0.25">
      <c r="V1242"/>
    </row>
    <row r="1243" spans="22:22" ht="15" x14ac:dyDescent="0.25">
      <c r="V1243"/>
    </row>
    <row r="1244" spans="22:22" ht="15" x14ac:dyDescent="0.25">
      <c r="V1244"/>
    </row>
    <row r="1245" spans="22:22" ht="15" x14ac:dyDescent="0.25">
      <c r="V1245"/>
    </row>
    <row r="1246" spans="22:22" ht="15" x14ac:dyDescent="0.25">
      <c r="V1246"/>
    </row>
    <row r="1247" spans="22:22" ht="15" x14ac:dyDescent="0.25">
      <c r="V1247"/>
    </row>
    <row r="1248" spans="22:22" ht="15" x14ac:dyDescent="0.25">
      <c r="V1248"/>
    </row>
    <row r="1249" spans="22:22" ht="15" x14ac:dyDescent="0.25">
      <c r="V1249"/>
    </row>
    <row r="1250" spans="22:22" ht="15" x14ac:dyDescent="0.25">
      <c r="V1250"/>
    </row>
    <row r="1251" spans="22:22" ht="15" x14ac:dyDescent="0.25">
      <c r="V1251"/>
    </row>
    <row r="1252" spans="22:22" ht="15" x14ac:dyDescent="0.25">
      <c r="V1252"/>
    </row>
    <row r="1253" spans="22:22" ht="15" x14ac:dyDescent="0.25">
      <c r="V1253"/>
    </row>
    <row r="1254" spans="22:22" ht="15" x14ac:dyDescent="0.25">
      <c r="V1254"/>
    </row>
    <row r="1255" spans="22:22" ht="15" x14ac:dyDescent="0.25">
      <c r="V1255"/>
    </row>
    <row r="1256" spans="22:22" ht="15" x14ac:dyDescent="0.25">
      <c r="V1256"/>
    </row>
    <row r="1257" spans="22:22" ht="15" x14ac:dyDescent="0.25">
      <c r="V1257"/>
    </row>
    <row r="1258" spans="22:22" ht="15" x14ac:dyDescent="0.25">
      <c r="V1258"/>
    </row>
    <row r="1259" spans="22:22" ht="15" x14ac:dyDescent="0.25">
      <c r="V1259"/>
    </row>
    <row r="1260" spans="22:22" ht="15" x14ac:dyDescent="0.25">
      <c r="V1260"/>
    </row>
    <row r="1261" spans="22:22" ht="15" x14ac:dyDescent="0.25">
      <c r="V1261"/>
    </row>
    <row r="1262" spans="22:22" ht="15" x14ac:dyDescent="0.25">
      <c r="V1262"/>
    </row>
    <row r="1263" spans="22:22" ht="15" x14ac:dyDescent="0.25">
      <c r="V1263"/>
    </row>
    <row r="1264" spans="22:22" ht="15" x14ac:dyDescent="0.25">
      <c r="V1264"/>
    </row>
    <row r="1265" spans="22:22" ht="15" x14ac:dyDescent="0.25">
      <c r="V1265"/>
    </row>
    <row r="1266" spans="22:22" ht="15" x14ac:dyDescent="0.25">
      <c r="V1266"/>
    </row>
    <row r="1267" spans="22:22" ht="15" x14ac:dyDescent="0.25">
      <c r="V1267"/>
    </row>
    <row r="1268" spans="22:22" ht="15" x14ac:dyDescent="0.25">
      <c r="V1268"/>
    </row>
    <row r="1269" spans="22:22" ht="15" x14ac:dyDescent="0.25">
      <c r="V1269"/>
    </row>
    <row r="1270" spans="22:22" ht="15" x14ac:dyDescent="0.25">
      <c r="V1270"/>
    </row>
    <row r="1271" spans="22:22" ht="15" x14ac:dyDescent="0.25">
      <c r="V1271"/>
    </row>
    <row r="1272" spans="22:22" ht="15" x14ac:dyDescent="0.25">
      <c r="V1272"/>
    </row>
    <row r="1273" spans="22:22" ht="15" x14ac:dyDescent="0.25">
      <c r="V1273"/>
    </row>
    <row r="1274" spans="22:22" ht="15" x14ac:dyDescent="0.25">
      <c r="V1274"/>
    </row>
    <row r="1275" spans="22:22" ht="15" x14ac:dyDescent="0.25">
      <c r="V1275"/>
    </row>
    <row r="1276" spans="22:22" ht="15" x14ac:dyDescent="0.25">
      <c r="V1276"/>
    </row>
    <row r="1277" spans="22:22" ht="15" x14ac:dyDescent="0.25">
      <c r="V1277"/>
    </row>
    <row r="1278" spans="22:22" ht="15" x14ac:dyDescent="0.25">
      <c r="V1278"/>
    </row>
    <row r="1279" spans="22:22" ht="15" x14ac:dyDescent="0.25">
      <c r="V1279"/>
    </row>
    <row r="1280" spans="22:22" ht="15" x14ac:dyDescent="0.25">
      <c r="V1280"/>
    </row>
    <row r="1281" spans="22:22" ht="15" x14ac:dyDescent="0.25">
      <c r="V1281"/>
    </row>
    <row r="1282" spans="22:22" ht="15" x14ac:dyDescent="0.25">
      <c r="V1282"/>
    </row>
    <row r="1283" spans="22:22" ht="15" x14ac:dyDescent="0.25">
      <c r="V1283"/>
    </row>
    <row r="1284" spans="22:22" ht="15" x14ac:dyDescent="0.25">
      <c r="V1284"/>
    </row>
    <row r="1285" spans="22:22" ht="15" x14ac:dyDescent="0.25">
      <c r="V1285"/>
    </row>
    <row r="1286" spans="22:22" ht="15" x14ac:dyDescent="0.25">
      <c r="V1286"/>
    </row>
    <row r="1287" spans="22:22" ht="15" x14ac:dyDescent="0.25">
      <c r="V1287"/>
    </row>
    <row r="1288" spans="22:22" ht="15" x14ac:dyDescent="0.25">
      <c r="V1288"/>
    </row>
    <row r="1289" spans="22:22" ht="15" x14ac:dyDescent="0.25">
      <c r="V1289"/>
    </row>
    <row r="1290" spans="22:22" ht="15" x14ac:dyDescent="0.25">
      <c r="V1290"/>
    </row>
    <row r="1291" spans="22:22" ht="15" x14ac:dyDescent="0.25">
      <c r="V1291"/>
    </row>
    <row r="1292" spans="22:22" ht="15" x14ac:dyDescent="0.25">
      <c r="V1292"/>
    </row>
    <row r="1293" spans="22:22" ht="15" x14ac:dyDescent="0.25">
      <c r="V1293"/>
    </row>
    <row r="1294" spans="22:22" ht="15" x14ac:dyDescent="0.25">
      <c r="V1294"/>
    </row>
    <row r="1295" spans="22:22" ht="15" x14ac:dyDescent="0.25">
      <c r="V1295"/>
    </row>
    <row r="1296" spans="22:22" ht="15" x14ac:dyDescent="0.25">
      <c r="V1296"/>
    </row>
    <row r="1297" spans="22:22" ht="15" x14ac:dyDescent="0.25">
      <c r="V1297"/>
    </row>
    <row r="1298" spans="22:22" ht="15" x14ac:dyDescent="0.25">
      <c r="V1298"/>
    </row>
    <row r="1299" spans="22:22" ht="15" x14ac:dyDescent="0.25">
      <c r="V1299"/>
    </row>
    <row r="1300" spans="22:22" ht="15" x14ac:dyDescent="0.25">
      <c r="V1300"/>
    </row>
    <row r="1301" spans="22:22" ht="15" x14ac:dyDescent="0.25">
      <c r="V1301"/>
    </row>
    <row r="1302" spans="22:22" ht="15" x14ac:dyDescent="0.25">
      <c r="V1302"/>
    </row>
    <row r="1303" spans="22:22" ht="15" x14ac:dyDescent="0.25">
      <c r="V1303"/>
    </row>
    <row r="1304" spans="22:22" ht="15" x14ac:dyDescent="0.25">
      <c r="V1304"/>
    </row>
    <row r="1305" spans="22:22" ht="15" x14ac:dyDescent="0.25">
      <c r="V1305"/>
    </row>
    <row r="1306" spans="22:22" ht="15" x14ac:dyDescent="0.25">
      <c r="V1306"/>
    </row>
    <row r="1307" spans="22:22" ht="15" x14ac:dyDescent="0.25">
      <c r="V1307"/>
    </row>
    <row r="1308" spans="22:22" ht="15" x14ac:dyDescent="0.25">
      <c r="V1308"/>
    </row>
    <row r="1309" spans="22:22" ht="15" x14ac:dyDescent="0.25">
      <c r="V1309"/>
    </row>
    <row r="1310" spans="22:22" ht="15" x14ac:dyDescent="0.25">
      <c r="V1310"/>
    </row>
    <row r="1311" spans="22:22" ht="15" x14ac:dyDescent="0.25">
      <c r="V1311"/>
    </row>
    <row r="1312" spans="22:22" ht="15" x14ac:dyDescent="0.25">
      <c r="V1312"/>
    </row>
    <row r="1313" spans="22:22" ht="15" x14ac:dyDescent="0.25">
      <c r="V1313"/>
    </row>
    <row r="1314" spans="22:22" ht="15" x14ac:dyDescent="0.25">
      <c r="V1314"/>
    </row>
    <row r="1315" spans="22:22" ht="15" x14ac:dyDescent="0.25">
      <c r="V1315"/>
    </row>
    <row r="1316" spans="22:22" ht="15" x14ac:dyDescent="0.25">
      <c r="V1316"/>
    </row>
    <row r="1317" spans="22:22" ht="15" x14ac:dyDescent="0.25">
      <c r="V1317"/>
    </row>
    <row r="1318" spans="22:22" ht="15" x14ac:dyDescent="0.25">
      <c r="V1318"/>
    </row>
    <row r="1319" spans="22:22" ht="15" x14ac:dyDescent="0.25">
      <c r="V1319"/>
    </row>
    <row r="1320" spans="22:22" ht="15" x14ac:dyDescent="0.25">
      <c r="V1320"/>
    </row>
    <row r="1321" spans="22:22" ht="15" x14ac:dyDescent="0.25">
      <c r="V1321"/>
    </row>
    <row r="1322" spans="22:22" ht="15" x14ac:dyDescent="0.25">
      <c r="V1322"/>
    </row>
    <row r="1323" spans="22:22" ht="15" x14ac:dyDescent="0.25">
      <c r="V1323"/>
    </row>
    <row r="1324" spans="22:22" ht="15" x14ac:dyDescent="0.25">
      <c r="V1324"/>
    </row>
    <row r="1325" spans="22:22" ht="15" x14ac:dyDescent="0.25">
      <c r="V1325"/>
    </row>
    <row r="1326" spans="22:22" ht="15" x14ac:dyDescent="0.25">
      <c r="V1326"/>
    </row>
    <row r="1327" spans="22:22" ht="15" x14ac:dyDescent="0.25">
      <c r="V1327"/>
    </row>
    <row r="1328" spans="22:22" ht="15" x14ac:dyDescent="0.25">
      <c r="V1328"/>
    </row>
    <row r="1329" spans="22:22" ht="15" x14ac:dyDescent="0.25">
      <c r="V1329"/>
    </row>
    <row r="1330" spans="22:22" ht="15" x14ac:dyDescent="0.25">
      <c r="V1330"/>
    </row>
    <row r="1331" spans="22:22" ht="15" x14ac:dyDescent="0.25">
      <c r="V1331"/>
    </row>
    <row r="1332" spans="22:22" ht="15" x14ac:dyDescent="0.25">
      <c r="V1332"/>
    </row>
    <row r="1333" spans="22:22" ht="15" x14ac:dyDescent="0.25">
      <c r="V1333"/>
    </row>
    <row r="1334" spans="22:22" ht="15" x14ac:dyDescent="0.25">
      <c r="V1334"/>
    </row>
    <row r="1335" spans="22:22" ht="15" x14ac:dyDescent="0.25">
      <c r="V1335"/>
    </row>
    <row r="1336" spans="22:22" ht="15" x14ac:dyDescent="0.25">
      <c r="V1336"/>
    </row>
    <row r="1337" spans="22:22" ht="15" x14ac:dyDescent="0.25">
      <c r="V1337"/>
    </row>
    <row r="1338" spans="22:22" ht="15" x14ac:dyDescent="0.25">
      <c r="V1338"/>
    </row>
    <row r="1339" spans="22:22" ht="15" x14ac:dyDescent="0.25">
      <c r="V1339"/>
    </row>
    <row r="1340" spans="22:22" ht="15" x14ac:dyDescent="0.25">
      <c r="V1340"/>
    </row>
    <row r="1341" spans="22:22" ht="15" x14ac:dyDescent="0.25">
      <c r="V1341"/>
    </row>
    <row r="1342" spans="22:22" ht="15" x14ac:dyDescent="0.25">
      <c r="V1342"/>
    </row>
    <row r="1343" spans="22:22" ht="15" x14ac:dyDescent="0.25">
      <c r="V1343"/>
    </row>
    <row r="1344" spans="22:22" ht="15" x14ac:dyDescent="0.25">
      <c r="V1344"/>
    </row>
    <row r="1345" spans="22:22" ht="15" x14ac:dyDescent="0.25">
      <c r="V1345"/>
    </row>
    <row r="1346" spans="22:22" ht="15" x14ac:dyDescent="0.25">
      <c r="V1346"/>
    </row>
    <row r="1347" spans="22:22" ht="15" x14ac:dyDescent="0.25">
      <c r="V1347"/>
    </row>
    <row r="1348" spans="22:22" ht="15" x14ac:dyDescent="0.25">
      <c r="V1348"/>
    </row>
    <row r="1349" spans="22:22" ht="15" x14ac:dyDescent="0.25">
      <c r="V1349"/>
    </row>
    <row r="1350" spans="22:22" ht="15" x14ac:dyDescent="0.25">
      <c r="V1350"/>
    </row>
    <row r="1351" spans="22:22" ht="15" x14ac:dyDescent="0.25">
      <c r="V1351"/>
    </row>
    <row r="1352" spans="22:22" ht="15" x14ac:dyDescent="0.25">
      <c r="V1352"/>
    </row>
    <row r="1353" spans="22:22" ht="15" x14ac:dyDescent="0.25">
      <c r="V1353"/>
    </row>
    <row r="1354" spans="22:22" ht="15" x14ac:dyDescent="0.25">
      <c r="V1354"/>
    </row>
    <row r="1355" spans="22:22" ht="15" x14ac:dyDescent="0.25">
      <c r="V1355"/>
    </row>
    <row r="1356" spans="22:22" ht="15" x14ac:dyDescent="0.25">
      <c r="V1356"/>
    </row>
    <row r="1357" spans="22:22" ht="15" x14ac:dyDescent="0.25">
      <c r="V1357"/>
    </row>
    <row r="1358" spans="22:22" ht="15" x14ac:dyDescent="0.25">
      <c r="V1358"/>
    </row>
    <row r="1359" spans="22:22" ht="15" x14ac:dyDescent="0.25">
      <c r="V1359"/>
    </row>
    <row r="1360" spans="22:22" ht="15" x14ac:dyDescent="0.25">
      <c r="V1360"/>
    </row>
    <row r="1361" spans="22:22" ht="15" x14ac:dyDescent="0.25">
      <c r="V1361"/>
    </row>
    <row r="1362" spans="22:22" ht="15" x14ac:dyDescent="0.25">
      <c r="V1362"/>
    </row>
    <row r="1363" spans="22:22" ht="15" x14ac:dyDescent="0.25">
      <c r="V1363"/>
    </row>
    <row r="1364" spans="22:22" ht="15" x14ac:dyDescent="0.25">
      <c r="V1364"/>
    </row>
    <row r="1365" spans="22:22" ht="15" x14ac:dyDescent="0.25">
      <c r="V1365"/>
    </row>
    <row r="1366" spans="22:22" ht="15" x14ac:dyDescent="0.25">
      <c r="V1366"/>
    </row>
    <row r="1367" spans="22:22" ht="15" x14ac:dyDescent="0.25">
      <c r="V1367"/>
    </row>
    <row r="1368" spans="22:22" ht="15" x14ac:dyDescent="0.25">
      <c r="V1368"/>
    </row>
    <row r="1369" spans="22:22" ht="15" x14ac:dyDescent="0.25">
      <c r="V1369"/>
    </row>
    <row r="1370" spans="22:22" ht="15" x14ac:dyDescent="0.25">
      <c r="V1370"/>
    </row>
    <row r="1371" spans="22:22" ht="15" x14ac:dyDescent="0.25">
      <c r="V1371"/>
    </row>
    <row r="1372" spans="22:22" ht="15" x14ac:dyDescent="0.25">
      <c r="V1372"/>
    </row>
    <row r="1373" spans="22:22" ht="15" x14ac:dyDescent="0.25">
      <c r="V1373"/>
    </row>
    <row r="1374" spans="22:22" ht="15" x14ac:dyDescent="0.25">
      <c r="V1374"/>
    </row>
    <row r="1375" spans="22:22" ht="15" x14ac:dyDescent="0.25">
      <c r="V1375"/>
    </row>
    <row r="1376" spans="22:22" ht="15" x14ac:dyDescent="0.25">
      <c r="V1376"/>
    </row>
    <row r="1377" spans="22:22" ht="15" x14ac:dyDescent="0.25">
      <c r="V1377"/>
    </row>
    <row r="1378" spans="22:22" ht="15" x14ac:dyDescent="0.25">
      <c r="V1378"/>
    </row>
    <row r="1379" spans="22:22" ht="15" x14ac:dyDescent="0.25">
      <c r="V1379"/>
    </row>
    <row r="1380" spans="22:22" ht="15" x14ac:dyDescent="0.25">
      <c r="V1380"/>
    </row>
    <row r="1381" spans="22:22" ht="15" x14ac:dyDescent="0.25">
      <c r="V1381"/>
    </row>
    <row r="1382" spans="22:22" ht="15" x14ac:dyDescent="0.25">
      <c r="V1382"/>
    </row>
    <row r="1383" spans="22:22" ht="15" x14ac:dyDescent="0.25">
      <c r="V1383"/>
    </row>
    <row r="1384" spans="22:22" ht="15" x14ac:dyDescent="0.25">
      <c r="V1384"/>
    </row>
    <row r="1385" spans="22:22" ht="15" x14ac:dyDescent="0.25">
      <c r="V1385"/>
    </row>
    <row r="1386" spans="22:22" ht="15" x14ac:dyDescent="0.25">
      <c r="V1386"/>
    </row>
    <row r="1387" spans="22:22" ht="15" x14ac:dyDescent="0.25">
      <c r="V1387"/>
    </row>
    <row r="1388" spans="22:22" ht="15" x14ac:dyDescent="0.25">
      <c r="V1388"/>
    </row>
    <row r="1389" spans="22:22" ht="15" x14ac:dyDescent="0.25">
      <c r="V1389"/>
    </row>
    <row r="1390" spans="22:22" ht="15" x14ac:dyDescent="0.25">
      <c r="V1390"/>
    </row>
    <row r="1391" spans="22:22" ht="15" x14ac:dyDescent="0.25">
      <c r="V1391"/>
    </row>
    <row r="1392" spans="22:22" ht="15" x14ac:dyDescent="0.25">
      <c r="V1392"/>
    </row>
    <row r="1393" spans="22:22" ht="15" x14ac:dyDescent="0.25">
      <c r="V1393"/>
    </row>
    <row r="1394" spans="22:22" ht="15" x14ac:dyDescent="0.25">
      <c r="V1394"/>
    </row>
    <row r="1395" spans="22:22" ht="15" x14ac:dyDescent="0.25">
      <c r="V1395"/>
    </row>
    <row r="1396" spans="22:22" ht="15" x14ac:dyDescent="0.25">
      <c r="V1396"/>
    </row>
    <row r="1397" spans="22:22" ht="15" x14ac:dyDescent="0.25">
      <c r="V1397"/>
    </row>
    <row r="1398" spans="22:22" ht="15" x14ac:dyDescent="0.25">
      <c r="V1398"/>
    </row>
    <row r="1399" spans="22:22" ht="15" x14ac:dyDescent="0.25">
      <c r="V1399"/>
    </row>
    <row r="1400" spans="22:22" ht="15" x14ac:dyDescent="0.25">
      <c r="V1400"/>
    </row>
    <row r="1401" spans="22:22" ht="15" x14ac:dyDescent="0.25">
      <c r="V1401"/>
    </row>
    <row r="1402" spans="22:22" ht="15" x14ac:dyDescent="0.25">
      <c r="V1402"/>
    </row>
    <row r="1403" spans="22:22" ht="15" x14ac:dyDescent="0.25">
      <c r="V1403"/>
    </row>
    <row r="1404" spans="22:22" ht="15" x14ac:dyDescent="0.25">
      <c r="V1404"/>
    </row>
    <row r="1405" spans="22:22" ht="15" x14ac:dyDescent="0.25">
      <c r="V1405"/>
    </row>
    <row r="1406" spans="22:22" ht="15" x14ac:dyDescent="0.25">
      <c r="V1406"/>
    </row>
    <row r="1407" spans="22:22" ht="15" x14ac:dyDescent="0.25">
      <c r="V1407"/>
    </row>
    <row r="1408" spans="22:22" ht="15" x14ac:dyDescent="0.25">
      <c r="V1408"/>
    </row>
    <row r="1409" spans="22:22" ht="15" x14ac:dyDescent="0.25">
      <c r="V1409"/>
    </row>
    <row r="1410" spans="22:22" ht="15" x14ac:dyDescent="0.25">
      <c r="V1410"/>
    </row>
    <row r="1411" spans="22:22" ht="15" x14ac:dyDescent="0.25">
      <c r="V1411"/>
    </row>
    <row r="1412" spans="22:22" ht="15" x14ac:dyDescent="0.25">
      <c r="V1412"/>
    </row>
    <row r="1413" spans="22:22" ht="15" x14ac:dyDescent="0.25">
      <c r="V1413"/>
    </row>
    <row r="1414" spans="22:22" ht="15" x14ac:dyDescent="0.25">
      <c r="V1414"/>
    </row>
    <row r="1415" spans="22:22" ht="15" x14ac:dyDescent="0.25">
      <c r="V1415"/>
    </row>
    <row r="1416" spans="22:22" ht="15" x14ac:dyDescent="0.25">
      <c r="V1416"/>
    </row>
    <row r="1417" spans="22:22" ht="15" x14ac:dyDescent="0.25">
      <c r="V1417"/>
    </row>
    <row r="1418" spans="22:22" ht="15" x14ac:dyDescent="0.25">
      <c r="V1418"/>
    </row>
    <row r="1419" spans="22:22" ht="15" x14ac:dyDescent="0.25">
      <c r="V1419"/>
    </row>
    <row r="1420" spans="22:22" ht="15" x14ac:dyDescent="0.25">
      <c r="V1420"/>
    </row>
    <row r="1421" spans="22:22" ht="15" x14ac:dyDescent="0.25">
      <c r="V1421"/>
    </row>
    <row r="1422" spans="22:22" ht="15" x14ac:dyDescent="0.25">
      <c r="V1422"/>
    </row>
    <row r="1423" spans="22:22" ht="15" x14ac:dyDescent="0.25">
      <c r="V1423"/>
    </row>
    <row r="1424" spans="22:22" ht="15" x14ac:dyDescent="0.25">
      <c r="V1424"/>
    </row>
    <row r="1425" spans="22:22" ht="15" x14ac:dyDescent="0.25">
      <c r="V1425"/>
    </row>
    <row r="1426" spans="22:22" ht="15" x14ac:dyDescent="0.25">
      <c r="V1426"/>
    </row>
    <row r="1427" spans="22:22" ht="15" x14ac:dyDescent="0.25">
      <c r="V1427"/>
    </row>
    <row r="1428" spans="22:22" ht="15" x14ac:dyDescent="0.25">
      <c r="V1428"/>
    </row>
    <row r="1429" spans="22:22" ht="15" x14ac:dyDescent="0.25">
      <c r="V1429"/>
    </row>
    <row r="1430" spans="22:22" ht="15" x14ac:dyDescent="0.25">
      <c r="V1430"/>
    </row>
    <row r="1431" spans="22:22" ht="15" x14ac:dyDescent="0.25">
      <c r="V1431"/>
    </row>
    <row r="1432" spans="22:22" ht="15" x14ac:dyDescent="0.25">
      <c r="V1432"/>
    </row>
    <row r="1433" spans="22:22" ht="15" x14ac:dyDescent="0.25">
      <c r="V1433"/>
    </row>
    <row r="1434" spans="22:22" ht="15" x14ac:dyDescent="0.25">
      <c r="V1434"/>
    </row>
    <row r="1435" spans="22:22" ht="15" x14ac:dyDescent="0.25">
      <c r="V1435"/>
    </row>
    <row r="1436" spans="22:22" ht="15" x14ac:dyDescent="0.25">
      <c r="V1436"/>
    </row>
    <row r="1437" spans="22:22" ht="15" x14ac:dyDescent="0.25">
      <c r="V1437"/>
    </row>
    <row r="1438" spans="22:22" ht="15" x14ac:dyDescent="0.25">
      <c r="V1438"/>
    </row>
    <row r="1439" spans="22:22" ht="15" x14ac:dyDescent="0.25">
      <c r="V1439"/>
    </row>
    <row r="1440" spans="22:22" ht="15" x14ac:dyDescent="0.25">
      <c r="V1440"/>
    </row>
    <row r="1441" spans="22:22" ht="15" x14ac:dyDescent="0.25">
      <c r="V1441"/>
    </row>
    <row r="1442" spans="22:22" ht="15" x14ac:dyDescent="0.25">
      <c r="V1442"/>
    </row>
    <row r="1443" spans="22:22" ht="15" x14ac:dyDescent="0.25">
      <c r="V1443"/>
    </row>
    <row r="1444" spans="22:22" ht="15" x14ac:dyDescent="0.25">
      <c r="V1444"/>
    </row>
    <row r="1445" spans="22:22" ht="15" x14ac:dyDescent="0.25">
      <c r="V1445"/>
    </row>
    <row r="1446" spans="22:22" ht="15" x14ac:dyDescent="0.25">
      <c r="V1446"/>
    </row>
    <row r="1447" spans="22:22" ht="15" x14ac:dyDescent="0.25">
      <c r="V1447"/>
    </row>
    <row r="1448" spans="22:22" ht="15" x14ac:dyDescent="0.25">
      <c r="V1448"/>
    </row>
    <row r="1449" spans="22:22" ht="15" x14ac:dyDescent="0.25">
      <c r="V1449"/>
    </row>
    <row r="1450" spans="22:22" ht="15" x14ac:dyDescent="0.25">
      <c r="V1450"/>
    </row>
    <row r="1451" spans="22:22" ht="15" x14ac:dyDescent="0.25">
      <c r="V1451"/>
    </row>
    <row r="1452" spans="22:22" ht="15" x14ac:dyDescent="0.25">
      <c r="V1452"/>
    </row>
    <row r="1453" spans="22:22" ht="15" x14ac:dyDescent="0.25">
      <c r="V1453"/>
    </row>
    <row r="1454" spans="22:22" ht="15" x14ac:dyDescent="0.25">
      <c r="V1454"/>
    </row>
    <row r="1455" spans="22:22" ht="15" x14ac:dyDescent="0.25">
      <c r="V1455"/>
    </row>
    <row r="1456" spans="22:22" ht="15" x14ac:dyDescent="0.25">
      <c r="V1456"/>
    </row>
    <row r="1457" spans="22:22" ht="15" x14ac:dyDescent="0.25">
      <c r="V1457"/>
    </row>
    <row r="1458" spans="22:22" ht="15" x14ac:dyDescent="0.25">
      <c r="V1458"/>
    </row>
    <row r="1459" spans="22:22" ht="15" x14ac:dyDescent="0.25">
      <c r="V1459"/>
    </row>
    <row r="1460" spans="22:22" ht="15" x14ac:dyDescent="0.25">
      <c r="V1460"/>
    </row>
    <row r="1461" spans="22:22" ht="15" x14ac:dyDescent="0.25">
      <c r="V1461"/>
    </row>
    <row r="1462" spans="22:22" ht="15" x14ac:dyDescent="0.25">
      <c r="V1462"/>
    </row>
    <row r="1463" spans="22:22" ht="15" x14ac:dyDescent="0.25">
      <c r="V1463"/>
    </row>
    <row r="1464" spans="22:22" ht="15" x14ac:dyDescent="0.25">
      <c r="V1464"/>
    </row>
    <row r="1465" spans="22:22" ht="15" x14ac:dyDescent="0.25">
      <c r="V1465"/>
    </row>
    <row r="1466" spans="22:22" ht="15" x14ac:dyDescent="0.25">
      <c r="V1466"/>
    </row>
    <row r="1467" spans="22:22" ht="15" x14ac:dyDescent="0.25">
      <c r="V1467"/>
    </row>
    <row r="1468" spans="22:22" ht="15" x14ac:dyDescent="0.25">
      <c r="V1468"/>
    </row>
    <row r="1469" spans="22:22" ht="15" x14ac:dyDescent="0.25">
      <c r="V1469"/>
    </row>
    <row r="1470" spans="22:22" ht="15" x14ac:dyDescent="0.25">
      <c r="V1470"/>
    </row>
    <row r="1471" spans="22:22" ht="15" x14ac:dyDescent="0.25">
      <c r="V1471"/>
    </row>
    <row r="1472" spans="22:22" ht="15" x14ac:dyDescent="0.25">
      <c r="V1472"/>
    </row>
    <row r="1473" spans="22:22" ht="15" x14ac:dyDescent="0.25">
      <c r="V1473"/>
    </row>
    <row r="1474" spans="22:22" ht="15" x14ac:dyDescent="0.25">
      <c r="V1474"/>
    </row>
    <row r="1475" spans="22:22" ht="15" x14ac:dyDescent="0.25">
      <c r="V1475"/>
    </row>
    <row r="1476" spans="22:22" ht="15" x14ac:dyDescent="0.25">
      <c r="V1476"/>
    </row>
    <row r="1477" spans="22:22" ht="15" x14ac:dyDescent="0.25">
      <c r="V1477"/>
    </row>
    <row r="1478" spans="22:22" ht="15" x14ac:dyDescent="0.25">
      <c r="V1478"/>
    </row>
    <row r="1479" spans="22:22" ht="15" x14ac:dyDescent="0.25">
      <c r="V1479"/>
    </row>
    <row r="1480" spans="22:22" ht="15" x14ac:dyDescent="0.25">
      <c r="V1480"/>
    </row>
    <row r="1481" spans="22:22" ht="15" x14ac:dyDescent="0.25">
      <c r="V1481"/>
    </row>
    <row r="1482" spans="22:22" ht="15" x14ac:dyDescent="0.25">
      <c r="V1482"/>
    </row>
    <row r="1483" spans="22:22" ht="15" x14ac:dyDescent="0.25">
      <c r="V1483"/>
    </row>
    <row r="1484" spans="22:22" ht="15" x14ac:dyDescent="0.25">
      <c r="V1484"/>
    </row>
    <row r="1485" spans="22:22" ht="15" x14ac:dyDescent="0.25">
      <c r="V1485"/>
    </row>
    <row r="1486" spans="22:22" ht="15" x14ac:dyDescent="0.25">
      <c r="V1486"/>
    </row>
    <row r="1487" spans="22:22" ht="15" x14ac:dyDescent="0.25">
      <c r="V1487"/>
    </row>
    <row r="1488" spans="22:22" ht="15" x14ac:dyDescent="0.25">
      <c r="V1488"/>
    </row>
    <row r="1489" spans="22:22" ht="15" x14ac:dyDescent="0.25">
      <c r="V1489"/>
    </row>
    <row r="1490" spans="22:22" ht="15" x14ac:dyDescent="0.25">
      <c r="V1490"/>
    </row>
    <row r="1491" spans="22:22" ht="15" x14ac:dyDescent="0.25">
      <c r="V1491"/>
    </row>
    <row r="1492" spans="22:22" ht="15" x14ac:dyDescent="0.25">
      <c r="V1492"/>
    </row>
    <row r="1493" spans="22:22" ht="15" x14ac:dyDescent="0.25">
      <c r="V1493"/>
    </row>
    <row r="1494" spans="22:22" ht="15" x14ac:dyDescent="0.25">
      <c r="V1494"/>
    </row>
    <row r="1495" spans="22:22" ht="15" x14ac:dyDescent="0.25">
      <c r="V1495"/>
    </row>
    <row r="1496" spans="22:22" ht="15" x14ac:dyDescent="0.25">
      <c r="V1496"/>
    </row>
    <row r="1497" spans="22:22" ht="15" x14ac:dyDescent="0.25">
      <c r="V1497"/>
    </row>
    <row r="1498" spans="22:22" ht="15" x14ac:dyDescent="0.25">
      <c r="V1498"/>
    </row>
    <row r="1499" spans="22:22" ht="15" x14ac:dyDescent="0.25">
      <c r="V1499"/>
    </row>
    <row r="1500" spans="22:22" ht="15" x14ac:dyDescent="0.25">
      <c r="V1500"/>
    </row>
    <row r="1501" spans="22:22" ht="15" x14ac:dyDescent="0.25">
      <c r="V1501"/>
    </row>
    <row r="1502" spans="22:22" ht="15" x14ac:dyDescent="0.25">
      <c r="V1502"/>
    </row>
    <row r="1503" spans="22:22" ht="15" x14ac:dyDescent="0.25">
      <c r="V1503"/>
    </row>
    <row r="1504" spans="22:22" ht="15" x14ac:dyDescent="0.25">
      <c r="V1504"/>
    </row>
    <row r="1505" spans="22:22" ht="15" x14ac:dyDescent="0.25">
      <c r="V1505"/>
    </row>
    <row r="1506" spans="22:22" ht="15" x14ac:dyDescent="0.25">
      <c r="V1506"/>
    </row>
    <row r="1507" spans="22:22" ht="15" x14ac:dyDescent="0.25">
      <c r="V1507"/>
    </row>
    <row r="1508" spans="22:22" ht="15" x14ac:dyDescent="0.25">
      <c r="V1508"/>
    </row>
    <row r="1509" spans="22:22" ht="15" x14ac:dyDescent="0.25">
      <c r="V1509"/>
    </row>
    <row r="1510" spans="22:22" ht="15" x14ac:dyDescent="0.25">
      <c r="V1510"/>
    </row>
    <row r="1511" spans="22:22" ht="15" x14ac:dyDescent="0.25">
      <c r="V1511"/>
    </row>
    <row r="1512" spans="22:22" ht="15" x14ac:dyDescent="0.25">
      <c r="V1512"/>
    </row>
    <row r="1513" spans="22:22" ht="15" x14ac:dyDescent="0.25">
      <c r="V1513"/>
    </row>
    <row r="1514" spans="22:22" ht="15" x14ac:dyDescent="0.25">
      <c r="V1514"/>
    </row>
    <row r="1515" spans="22:22" ht="15" x14ac:dyDescent="0.25">
      <c r="V1515"/>
    </row>
    <row r="1516" spans="22:22" ht="15" x14ac:dyDescent="0.25">
      <c r="V1516"/>
    </row>
    <row r="1517" spans="22:22" ht="15" x14ac:dyDescent="0.25">
      <c r="V1517"/>
    </row>
    <row r="1518" spans="22:22" ht="15" x14ac:dyDescent="0.25">
      <c r="V1518"/>
    </row>
    <row r="1519" spans="22:22" ht="15" x14ac:dyDescent="0.25">
      <c r="V1519"/>
    </row>
    <row r="1520" spans="22:22" ht="15" x14ac:dyDescent="0.25">
      <c r="V1520"/>
    </row>
    <row r="1521" spans="22:22" ht="15" x14ac:dyDescent="0.25">
      <c r="V1521"/>
    </row>
    <row r="1522" spans="22:22" ht="15" x14ac:dyDescent="0.25">
      <c r="V1522"/>
    </row>
    <row r="1523" spans="22:22" ht="15" x14ac:dyDescent="0.25">
      <c r="V1523"/>
    </row>
    <row r="1524" spans="22:22" ht="15" x14ac:dyDescent="0.25">
      <c r="V1524"/>
    </row>
    <row r="1525" spans="22:22" ht="15" x14ac:dyDescent="0.25">
      <c r="V1525"/>
    </row>
    <row r="1526" spans="22:22" ht="15" x14ac:dyDescent="0.25">
      <c r="V1526"/>
    </row>
    <row r="1527" spans="22:22" ht="15" x14ac:dyDescent="0.25">
      <c r="V1527"/>
    </row>
    <row r="1528" spans="22:22" ht="15" x14ac:dyDescent="0.25">
      <c r="V1528"/>
    </row>
    <row r="1529" spans="22:22" ht="15" x14ac:dyDescent="0.25">
      <c r="V1529"/>
    </row>
    <row r="1530" spans="22:22" ht="15" x14ac:dyDescent="0.25">
      <c r="V1530"/>
    </row>
    <row r="1531" spans="22:22" ht="15" x14ac:dyDescent="0.25">
      <c r="V1531"/>
    </row>
    <row r="1532" spans="22:22" ht="15" x14ac:dyDescent="0.25">
      <c r="V1532"/>
    </row>
    <row r="1533" spans="22:22" ht="15" x14ac:dyDescent="0.25">
      <c r="V1533"/>
    </row>
    <row r="1534" spans="22:22" ht="15" x14ac:dyDescent="0.25">
      <c r="V1534"/>
    </row>
    <row r="1535" spans="22:22" ht="15" x14ac:dyDescent="0.25">
      <c r="V1535"/>
    </row>
    <row r="1536" spans="22:22" ht="15" x14ac:dyDescent="0.25">
      <c r="V1536"/>
    </row>
    <row r="1537" spans="22:22" ht="15" x14ac:dyDescent="0.25">
      <c r="V1537"/>
    </row>
    <row r="1538" spans="22:22" ht="15" x14ac:dyDescent="0.25">
      <c r="V1538"/>
    </row>
    <row r="1539" spans="22:22" ht="15" x14ac:dyDescent="0.25">
      <c r="V1539"/>
    </row>
    <row r="1540" spans="22:22" ht="15" x14ac:dyDescent="0.25">
      <c r="V1540"/>
    </row>
    <row r="1541" spans="22:22" ht="15" x14ac:dyDescent="0.25">
      <c r="V1541"/>
    </row>
    <row r="1542" spans="22:22" ht="15" x14ac:dyDescent="0.25">
      <c r="V1542"/>
    </row>
    <row r="1543" spans="22:22" ht="15" x14ac:dyDescent="0.25">
      <c r="V1543"/>
    </row>
    <row r="1544" spans="22:22" ht="15" x14ac:dyDescent="0.25">
      <c r="V1544"/>
    </row>
    <row r="1545" spans="22:22" ht="15" x14ac:dyDescent="0.25">
      <c r="V1545"/>
    </row>
    <row r="1546" spans="22:22" ht="15" x14ac:dyDescent="0.25">
      <c r="V1546"/>
    </row>
    <row r="1547" spans="22:22" ht="15" x14ac:dyDescent="0.25">
      <c r="V1547"/>
    </row>
    <row r="1548" spans="22:22" ht="15" x14ac:dyDescent="0.25">
      <c r="V1548"/>
    </row>
    <row r="1549" spans="22:22" ht="15" x14ac:dyDescent="0.25">
      <c r="V1549"/>
    </row>
    <row r="1550" spans="22:22" ht="15" x14ac:dyDescent="0.25">
      <c r="V1550"/>
    </row>
    <row r="1551" spans="22:22" ht="15" x14ac:dyDescent="0.25">
      <c r="V1551"/>
    </row>
    <row r="1552" spans="22:22" ht="15" x14ac:dyDescent="0.25">
      <c r="V1552"/>
    </row>
    <row r="1553" spans="22:22" ht="15" x14ac:dyDescent="0.25">
      <c r="V1553"/>
    </row>
    <row r="1554" spans="22:22" ht="15" x14ac:dyDescent="0.25">
      <c r="V1554"/>
    </row>
    <row r="1555" spans="22:22" ht="15" x14ac:dyDescent="0.25">
      <c r="V1555"/>
    </row>
    <row r="1556" spans="22:22" ht="15" x14ac:dyDescent="0.25">
      <c r="V1556"/>
    </row>
    <row r="1557" spans="22:22" ht="15" x14ac:dyDescent="0.25">
      <c r="V1557"/>
    </row>
    <row r="1558" spans="22:22" ht="15" x14ac:dyDescent="0.25">
      <c r="V1558"/>
    </row>
    <row r="1559" spans="22:22" ht="15" x14ac:dyDescent="0.25">
      <c r="V1559"/>
    </row>
    <row r="1560" spans="22:22" ht="15" x14ac:dyDescent="0.25">
      <c r="V1560"/>
    </row>
    <row r="1561" spans="22:22" ht="15" x14ac:dyDescent="0.25">
      <c r="V1561"/>
    </row>
    <row r="1562" spans="22:22" ht="15" x14ac:dyDescent="0.25">
      <c r="V1562"/>
    </row>
    <row r="1563" spans="22:22" ht="15" x14ac:dyDescent="0.25">
      <c r="V1563"/>
    </row>
    <row r="1564" spans="22:22" ht="15" x14ac:dyDescent="0.25">
      <c r="V1564"/>
    </row>
    <row r="1565" spans="22:22" ht="15" x14ac:dyDescent="0.25">
      <c r="V1565"/>
    </row>
    <row r="1566" spans="22:22" ht="15" x14ac:dyDescent="0.25">
      <c r="V1566"/>
    </row>
    <row r="1567" spans="22:22" ht="15" x14ac:dyDescent="0.25">
      <c r="V1567"/>
    </row>
    <row r="1568" spans="22:22" ht="15" x14ac:dyDescent="0.25">
      <c r="V1568"/>
    </row>
    <row r="1569" spans="22:22" ht="15" x14ac:dyDescent="0.25">
      <c r="V1569"/>
    </row>
    <row r="1570" spans="22:22" ht="15" x14ac:dyDescent="0.25">
      <c r="V1570"/>
    </row>
    <row r="1571" spans="22:22" ht="15" x14ac:dyDescent="0.25">
      <c r="V1571"/>
    </row>
    <row r="1572" spans="22:22" ht="15" x14ac:dyDescent="0.25">
      <c r="V1572"/>
    </row>
    <row r="1573" spans="22:22" ht="15" x14ac:dyDescent="0.25">
      <c r="V1573"/>
    </row>
    <row r="1574" spans="22:22" ht="15" x14ac:dyDescent="0.25">
      <c r="V1574"/>
    </row>
    <row r="1575" spans="22:22" ht="15" x14ac:dyDescent="0.25">
      <c r="V1575"/>
    </row>
    <row r="1576" spans="22:22" ht="15" x14ac:dyDescent="0.25">
      <c r="V1576"/>
    </row>
    <row r="1577" spans="22:22" ht="15" x14ac:dyDescent="0.25">
      <c r="V1577"/>
    </row>
    <row r="1578" spans="22:22" ht="15" x14ac:dyDescent="0.25">
      <c r="V1578"/>
    </row>
    <row r="1579" spans="22:22" ht="15" x14ac:dyDescent="0.25">
      <c r="V1579"/>
    </row>
    <row r="1580" spans="22:22" ht="15" x14ac:dyDescent="0.25">
      <c r="V1580"/>
    </row>
    <row r="1581" spans="22:22" ht="15" x14ac:dyDescent="0.25">
      <c r="V1581"/>
    </row>
    <row r="1582" spans="22:22" ht="15" x14ac:dyDescent="0.25">
      <c r="V1582"/>
    </row>
    <row r="1583" spans="22:22" ht="15" x14ac:dyDescent="0.25">
      <c r="V1583"/>
    </row>
    <row r="1584" spans="22:22" ht="15" x14ac:dyDescent="0.25">
      <c r="V1584"/>
    </row>
    <row r="1585" spans="22:22" ht="15" x14ac:dyDescent="0.25">
      <c r="V1585"/>
    </row>
    <row r="1586" spans="22:22" ht="15" x14ac:dyDescent="0.25">
      <c r="V1586"/>
    </row>
    <row r="1587" spans="22:22" ht="15" x14ac:dyDescent="0.25">
      <c r="V1587"/>
    </row>
    <row r="1588" spans="22:22" ht="15" x14ac:dyDescent="0.25">
      <c r="V1588"/>
    </row>
    <row r="1589" spans="22:22" ht="15" x14ac:dyDescent="0.25">
      <c r="V1589"/>
    </row>
    <row r="1590" spans="22:22" ht="15" x14ac:dyDescent="0.25">
      <c r="V1590"/>
    </row>
    <row r="1591" spans="22:22" ht="15" x14ac:dyDescent="0.25">
      <c r="V1591"/>
    </row>
    <row r="1592" spans="22:22" ht="15" x14ac:dyDescent="0.25">
      <c r="V1592"/>
    </row>
    <row r="1593" spans="22:22" ht="15" x14ac:dyDescent="0.25">
      <c r="V1593"/>
    </row>
    <row r="1594" spans="22:22" ht="15" x14ac:dyDescent="0.25">
      <c r="V1594"/>
    </row>
    <row r="1595" spans="22:22" ht="15" x14ac:dyDescent="0.25">
      <c r="V1595"/>
    </row>
    <row r="1596" spans="22:22" ht="15" x14ac:dyDescent="0.25">
      <c r="V1596"/>
    </row>
    <row r="1597" spans="22:22" ht="15" x14ac:dyDescent="0.25">
      <c r="V1597"/>
    </row>
    <row r="1598" spans="22:22" ht="15" x14ac:dyDescent="0.25">
      <c r="V1598"/>
    </row>
    <row r="1599" spans="22:22" ht="15" x14ac:dyDescent="0.25">
      <c r="V1599"/>
    </row>
    <row r="1600" spans="22:22" ht="15" x14ac:dyDescent="0.25">
      <c r="V1600"/>
    </row>
    <row r="1601" spans="22:22" ht="15" x14ac:dyDescent="0.25">
      <c r="V1601"/>
    </row>
    <row r="1602" spans="22:22" ht="15" x14ac:dyDescent="0.25">
      <c r="V1602"/>
    </row>
    <row r="1603" spans="22:22" ht="15" x14ac:dyDescent="0.25">
      <c r="V1603"/>
    </row>
    <row r="1604" spans="22:22" ht="15" x14ac:dyDescent="0.25">
      <c r="V1604"/>
    </row>
    <row r="1605" spans="22:22" ht="15" x14ac:dyDescent="0.25">
      <c r="V1605"/>
    </row>
    <row r="1606" spans="22:22" ht="15" x14ac:dyDescent="0.25">
      <c r="V1606"/>
    </row>
    <row r="1607" spans="22:22" ht="15" x14ac:dyDescent="0.25">
      <c r="V1607"/>
    </row>
    <row r="1608" spans="22:22" ht="15" x14ac:dyDescent="0.25">
      <c r="V1608"/>
    </row>
    <row r="1609" spans="22:22" ht="15" x14ac:dyDescent="0.25">
      <c r="V1609"/>
    </row>
    <row r="1610" spans="22:22" ht="15" x14ac:dyDescent="0.25">
      <c r="V1610"/>
    </row>
    <row r="1611" spans="22:22" ht="15" x14ac:dyDescent="0.25">
      <c r="V1611"/>
    </row>
    <row r="1612" spans="22:22" ht="15" x14ac:dyDescent="0.25">
      <c r="V1612"/>
    </row>
    <row r="1613" spans="22:22" ht="15" x14ac:dyDescent="0.25">
      <c r="V1613"/>
    </row>
    <row r="1614" spans="22:22" ht="15" x14ac:dyDescent="0.25">
      <c r="V1614"/>
    </row>
    <row r="1615" spans="22:22" ht="15" x14ac:dyDescent="0.25">
      <c r="V1615"/>
    </row>
    <row r="1616" spans="22:22" ht="15" x14ac:dyDescent="0.25">
      <c r="V1616"/>
    </row>
    <row r="1617" spans="22:22" ht="15" x14ac:dyDescent="0.25">
      <c r="V1617"/>
    </row>
    <row r="1618" spans="22:22" ht="15" x14ac:dyDescent="0.25">
      <c r="V1618"/>
    </row>
    <row r="1619" spans="22:22" ht="15" x14ac:dyDescent="0.25">
      <c r="V1619"/>
    </row>
    <row r="1620" spans="22:22" ht="15" x14ac:dyDescent="0.25">
      <c r="V1620"/>
    </row>
    <row r="1621" spans="22:22" ht="15" x14ac:dyDescent="0.25">
      <c r="V1621"/>
    </row>
    <row r="1622" spans="22:22" ht="15" x14ac:dyDescent="0.25">
      <c r="V1622"/>
    </row>
    <row r="1623" spans="22:22" ht="15" x14ac:dyDescent="0.25">
      <c r="V1623"/>
    </row>
    <row r="1624" spans="22:22" ht="15" x14ac:dyDescent="0.25">
      <c r="V1624"/>
    </row>
    <row r="1625" spans="22:22" ht="15" x14ac:dyDescent="0.25">
      <c r="V1625"/>
    </row>
    <row r="1626" spans="22:22" ht="15" x14ac:dyDescent="0.25">
      <c r="V1626"/>
    </row>
    <row r="1627" spans="22:22" ht="15" x14ac:dyDescent="0.25">
      <c r="V1627"/>
    </row>
    <row r="1628" spans="22:22" ht="15" x14ac:dyDescent="0.25">
      <c r="V1628"/>
    </row>
    <row r="1629" spans="22:22" ht="15" x14ac:dyDescent="0.25">
      <c r="V1629"/>
    </row>
    <row r="1630" spans="22:22" ht="15" x14ac:dyDescent="0.25">
      <c r="V1630"/>
    </row>
    <row r="1631" spans="22:22" ht="15" x14ac:dyDescent="0.25">
      <c r="V1631"/>
    </row>
    <row r="1632" spans="22:22" ht="15" x14ac:dyDescent="0.25">
      <c r="V1632"/>
    </row>
    <row r="1633" spans="22:22" ht="15" x14ac:dyDescent="0.25">
      <c r="V1633"/>
    </row>
    <row r="1634" spans="22:22" ht="15" x14ac:dyDescent="0.25">
      <c r="V1634"/>
    </row>
    <row r="1635" spans="22:22" ht="15" x14ac:dyDescent="0.25">
      <c r="V1635"/>
    </row>
    <row r="1636" spans="22:22" ht="15" x14ac:dyDescent="0.25">
      <c r="V1636"/>
    </row>
    <row r="1637" spans="22:22" ht="15" x14ac:dyDescent="0.25">
      <c r="V1637"/>
    </row>
    <row r="1638" spans="22:22" ht="15" x14ac:dyDescent="0.25">
      <c r="V1638"/>
    </row>
    <row r="1639" spans="22:22" ht="15" x14ac:dyDescent="0.25">
      <c r="V1639"/>
    </row>
    <row r="1640" spans="22:22" ht="15" x14ac:dyDescent="0.25">
      <c r="V1640"/>
    </row>
    <row r="1641" spans="22:22" ht="15" x14ac:dyDescent="0.25">
      <c r="V1641"/>
    </row>
    <row r="1642" spans="22:22" ht="15" x14ac:dyDescent="0.25">
      <c r="V1642"/>
    </row>
    <row r="1643" spans="22:22" ht="15" x14ac:dyDescent="0.25">
      <c r="V1643"/>
    </row>
    <row r="1644" spans="22:22" ht="15" x14ac:dyDescent="0.25">
      <c r="V1644"/>
    </row>
    <row r="1645" spans="22:22" ht="15" x14ac:dyDescent="0.25">
      <c r="V1645"/>
    </row>
    <row r="1646" spans="22:22" ht="15" x14ac:dyDescent="0.25">
      <c r="V1646"/>
    </row>
    <row r="1647" spans="22:22" ht="15" x14ac:dyDescent="0.25">
      <c r="V1647"/>
    </row>
    <row r="1648" spans="22:22" ht="15" x14ac:dyDescent="0.25">
      <c r="V1648"/>
    </row>
    <row r="1649" spans="22:22" ht="15" x14ac:dyDescent="0.25">
      <c r="V1649"/>
    </row>
    <row r="1650" spans="22:22" ht="15" x14ac:dyDescent="0.25">
      <c r="V1650"/>
    </row>
    <row r="1651" spans="22:22" ht="15" x14ac:dyDescent="0.25">
      <c r="V1651"/>
    </row>
    <row r="1652" spans="22:22" ht="15" x14ac:dyDescent="0.25">
      <c r="V1652"/>
    </row>
    <row r="1653" spans="22:22" ht="15" x14ac:dyDescent="0.25">
      <c r="V1653"/>
    </row>
    <row r="1654" spans="22:22" ht="15" x14ac:dyDescent="0.25">
      <c r="V1654"/>
    </row>
    <row r="1655" spans="22:22" ht="15" x14ac:dyDescent="0.25">
      <c r="V1655"/>
    </row>
    <row r="1656" spans="22:22" ht="15" x14ac:dyDescent="0.25">
      <c r="V1656"/>
    </row>
    <row r="1657" spans="22:22" ht="15" x14ac:dyDescent="0.25">
      <c r="V1657"/>
    </row>
    <row r="1658" spans="22:22" ht="15" x14ac:dyDescent="0.25">
      <c r="V1658"/>
    </row>
    <row r="1659" spans="22:22" ht="15" x14ac:dyDescent="0.25">
      <c r="V1659"/>
    </row>
    <row r="1660" spans="22:22" ht="15" x14ac:dyDescent="0.25">
      <c r="V1660"/>
    </row>
    <row r="1661" spans="22:22" ht="15" x14ac:dyDescent="0.25">
      <c r="V1661"/>
    </row>
    <row r="1662" spans="22:22" ht="15" x14ac:dyDescent="0.25">
      <c r="V1662"/>
    </row>
    <row r="1663" spans="22:22" ht="15" x14ac:dyDescent="0.25">
      <c r="V1663"/>
    </row>
    <row r="1664" spans="22:22" ht="15" x14ac:dyDescent="0.25">
      <c r="V1664"/>
    </row>
    <row r="1665" spans="22:22" ht="15" x14ac:dyDescent="0.25">
      <c r="V1665"/>
    </row>
    <row r="1666" spans="22:22" ht="15" x14ac:dyDescent="0.25">
      <c r="V1666"/>
    </row>
    <row r="1667" spans="22:22" ht="15" x14ac:dyDescent="0.25">
      <c r="V1667"/>
    </row>
    <row r="1668" spans="22:22" ht="15" x14ac:dyDescent="0.25">
      <c r="V1668"/>
    </row>
    <row r="1669" spans="22:22" ht="15" x14ac:dyDescent="0.25">
      <c r="V1669"/>
    </row>
    <row r="1670" spans="22:22" ht="15" x14ac:dyDescent="0.25">
      <c r="V1670"/>
    </row>
    <row r="1671" spans="22:22" ht="15" x14ac:dyDescent="0.25">
      <c r="V1671"/>
    </row>
    <row r="1672" spans="22:22" ht="15" x14ac:dyDescent="0.25">
      <c r="V1672"/>
    </row>
    <row r="1673" spans="22:22" ht="15" x14ac:dyDescent="0.25">
      <c r="V1673"/>
    </row>
    <row r="1674" spans="22:22" ht="15" x14ac:dyDescent="0.25">
      <c r="V1674"/>
    </row>
    <row r="1675" spans="22:22" ht="15" x14ac:dyDescent="0.25">
      <c r="V1675"/>
    </row>
    <row r="1676" spans="22:22" ht="15" x14ac:dyDescent="0.25">
      <c r="V1676"/>
    </row>
    <row r="1677" spans="22:22" ht="15" x14ac:dyDescent="0.25">
      <c r="V1677"/>
    </row>
    <row r="1678" spans="22:22" ht="15" x14ac:dyDescent="0.25">
      <c r="V1678"/>
    </row>
    <row r="1679" spans="22:22" ht="15" x14ac:dyDescent="0.25">
      <c r="V1679"/>
    </row>
    <row r="1680" spans="22:22" ht="15" x14ac:dyDescent="0.25">
      <c r="V1680"/>
    </row>
    <row r="1681" spans="22:22" ht="15" x14ac:dyDescent="0.25">
      <c r="V1681"/>
    </row>
    <row r="1682" spans="22:22" ht="15" x14ac:dyDescent="0.25">
      <c r="V1682"/>
    </row>
    <row r="1683" spans="22:22" ht="15" x14ac:dyDescent="0.25">
      <c r="V1683"/>
    </row>
    <row r="1684" spans="22:22" ht="15" x14ac:dyDescent="0.25">
      <c r="V1684"/>
    </row>
    <row r="1685" spans="22:22" ht="15" x14ac:dyDescent="0.25">
      <c r="V1685"/>
    </row>
    <row r="1686" spans="22:22" ht="15" x14ac:dyDescent="0.25">
      <c r="V1686"/>
    </row>
    <row r="1687" spans="22:22" ht="15" x14ac:dyDescent="0.25">
      <c r="V1687"/>
    </row>
    <row r="1688" spans="22:22" ht="15" x14ac:dyDescent="0.25">
      <c r="V1688"/>
    </row>
    <row r="1689" spans="22:22" ht="15" x14ac:dyDescent="0.25">
      <c r="V1689"/>
    </row>
    <row r="1690" spans="22:22" ht="15" x14ac:dyDescent="0.25">
      <c r="V1690"/>
    </row>
    <row r="1691" spans="22:22" ht="15" x14ac:dyDescent="0.25">
      <c r="V1691"/>
    </row>
    <row r="1692" spans="22:22" ht="15" x14ac:dyDescent="0.25">
      <c r="V1692"/>
    </row>
    <row r="1693" spans="22:22" ht="15" x14ac:dyDescent="0.25">
      <c r="V1693"/>
    </row>
    <row r="1694" spans="22:22" ht="15" x14ac:dyDescent="0.25">
      <c r="V1694"/>
    </row>
    <row r="1695" spans="22:22" ht="15" x14ac:dyDescent="0.25">
      <c r="V1695"/>
    </row>
    <row r="1696" spans="22:22" ht="15" x14ac:dyDescent="0.25">
      <c r="V1696"/>
    </row>
    <row r="1697" spans="22:22" ht="15" x14ac:dyDescent="0.25">
      <c r="V1697"/>
    </row>
    <row r="1698" spans="22:22" ht="15" x14ac:dyDescent="0.25">
      <c r="V1698"/>
    </row>
    <row r="1699" spans="22:22" ht="15" x14ac:dyDescent="0.25">
      <c r="V1699"/>
    </row>
    <row r="1700" spans="22:22" ht="15" x14ac:dyDescent="0.25">
      <c r="V1700"/>
    </row>
    <row r="1701" spans="22:22" ht="15" x14ac:dyDescent="0.25">
      <c r="V1701"/>
    </row>
    <row r="1702" spans="22:22" ht="15" x14ac:dyDescent="0.25">
      <c r="V1702"/>
    </row>
    <row r="1703" spans="22:22" ht="15" x14ac:dyDescent="0.25">
      <c r="V1703"/>
    </row>
    <row r="1704" spans="22:22" ht="15" x14ac:dyDescent="0.25">
      <c r="V1704"/>
    </row>
    <row r="1705" spans="22:22" ht="15" x14ac:dyDescent="0.25">
      <c r="V1705"/>
    </row>
    <row r="1706" spans="22:22" ht="15" x14ac:dyDescent="0.25">
      <c r="V1706"/>
    </row>
    <row r="1707" spans="22:22" ht="15" x14ac:dyDescent="0.25">
      <c r="V1707"/>
    </row>
    <row r="1708" spans="22:22" ht="15" x14ac:dyDescent="0.25">
      <c r="V1708"/>
    </row>
    <row r="1709" spans="22:22" ht="15" x14ac:dyDescent="0.25">
      <c r="V1709"/>
    </row>
    <row r="1710" spans="22:22" ht="15" x14ac:dyDescent="0.25">
      <c r="V1710"/>
    </row>
    <row r="1711" spans="22:22" ht="15" x14ac:dyDescent="0.25">
      <c r="V1711"/>
    </row>
    <row r="1712" spans="22:22" ht="15" x14ac:dyDescent="0.25">
      <c r="V1712"/>
    </row>
    <row r="1713" spans="22:22" ht="15" x14ac:dyDescent="0.25">
      <c r="V1713"/>
    </row>
    <row r="1714" spans="22:22" ht="15" x14ac:dyDescent="0.25">
      <c r="V1714"/>
    </row>
    <row r="1715" spans="22:22" ht="15" x14ac:dyDescent="0.25">
      <c r="V1715"/>
    </row>
    <row r="1716" spans="22:22" ht="15" x14ac:dyDescent="0.25">
      <c r="V1716"/>
    </row>
    <row r="1717" spans="22:22" ht="15" x14ac:dyDescent="0.25">
      <c r="V1717"/>
    </row>
    <row r="1718" spans="22:22" ht="15" x14ac:dyDescent="0.25">
      <c r="V1718"/>
    </row>
    <row r="1719" spans="22:22" ht="15" x14ac:dyDescent="0.25">
      <c r="V1719"/>
    </row>
    <row r="1720" spans="22:22" ht="15" x14ac:dyDescent="0.25">
      <c r="V1720"/>
    </row>
    <row r="1721" spans="22:22" ht="15" x14ac:dyDescent="0.25">
      <c r="V1721"/>
    </row>
    <row r="1722" spans="22:22" ht="15" x14ac:dyDescent="0.25">
      <c r="V1722"/>
    </row>
    <row r="1723" spans="22:22" ht="15" x14ac:dyDescent="0.25">
      <c r="V1723"/>
    </row>
    <row r="1724" spans="22:22" ht="15" x14ac:dyDescent="0.25">
      <c r="V1724"/>
    </row>
    <row r="1725" spans="22:22" ht="15" x14ac:dyDescent="0.25">
      <c r="V1725"/>
    </row>
    <row r="1726" spans="22:22" ht="15" x14ac:dyDescent="0.25">
      <c r="V1726"/>
    </row>
    <row r="1727" spans="22:22" ht="15" x14ac:dyDescent="0.25">
      <c r="V1727"/>
    </row>
    <row r="1728" spans="22:22" ht="15" x14ac:dyDescent="0.25">
      <c r="V1728"/>
    </row>
    <row r="1729" spans="22:22" ht="15" x14ac:dyDescent="0.25">
      <c r="V1729"/>
    </row>
    <row r="1730" spans="22:22" ht="15" x14ac:dyDescent="0.25">
      <c r="V1730"/>
    </row>
    <row r="1731" spans="22:22" ht="15" x14ac:dyDescent="0.25">
      <c r="V1731"/>
    </row>
    <row r="1732" spans="22:22" ht="15" x14ac:dyDescent="0.25">
      <c r="V1732"/>
    </row>
    <row r="1733" spans="22:22" ht="15" x14ac:dyDescent="0.25">
      <c r="V1733"/>
    </row>
    <row r="1734" spans="22:22" ht="15" x14ac:dyDescent="0.25">
      <c r="V1734"/>
    </row>
    <row r="1735" spans="22:22" ht="15" x14ac:dyDescent="0.25">
      <c r="V1735"/>
    </row>
    <row r="1736" spans="22:22" ht="15" x14ac:dyDescent="0.25">
      <c r="V1736"/>
    </row>
    <row r="1737" spans="22:22" ht="15" x14ac:dyDescent="0.25">
      <c r="V1737"/>
    </row>
    <row r="1738" spans="22:22" ht="15" x14ac:dyDescent="0.25">
      <c r="V1738"/>
    </row>
    <row r="1739" spans="22:22" ht="15" x14ac:dyDescent="0.25">
      <c r="V1739"/>
    </row>
    <row r="1740" spans="22:22" ht="15" x14ac:dyDescent="0.25">
      <c r="V1740"/>
    </row>
    <row r="1741" spans="22:22" ht="15" x14ac:dyDescent="0.25">
      <c r="V1741"/>
    </row>
    <row r="1742" spans="22:22" ht="15" x14ac:dyDescent="0.25">
      <c r="V1742"/>
    </row>
    <row r="1743" spans="22:22" ht="15" x14ac:dyDescent="0.25">
      <c r="V1743"/>
    </row>
    <row r="1744" spans="22:22" ht="15" x14ac:dyDescent="0.25">
      <c r="V1744"/>
    </row>
    <row r="1745" spans="22:22" ht="15" x14ac:dyDescent="0.25">
      <c r="V1745"/>
    </row>
    <row r="1746" spans="22:22" ht="15" x14ac:dyDescent="0.25">
      <c r="V1746"/>
    </row>
    <row r="1747" spans="22:22" ht="15" x14ac:dyDescent="0.25">
      <c r="V1747"/>
    </row>
    <row r="1748" spans="22:22" ht="15" x14ac:dyDescent="0.25">
      <c r="V1748"/>
    </row>
    <row r="1749" spans="22:22" ht="15" x14ac:dyDescent="0.25">
      <c r="V1749"/>
    </row>
    <row r="1750" spans="22:22" ht="15" x14ac:dyDescent="0.25">
      <c r="V1750"/>
    </row>
    <row r="1751" spans="22:22" ht="15" x14ac:dyDescent="0.25">
      <c r="V1751"/>
    </row>
    <row r="1752" spans="22:22" ht="15" x14ac:dyDescent="0.25">
      <c r="V1752"/>
    </row>
    <row r="1753" spans="22:22" ht="15" x14ac:dyDescent="0.25">
      <c r="V1753"/>
    </row>
    <row r="1754" spans="22:22" ht="15" x14ac:dyDescent="0.25">
      <c r="V1754"/>
    </row>
    <row r="1755" spans="22:22" ht="15" x14ac:dyDescent="0.25">
      <c r="V1755"/>
    </row>
    <row r="1756" spans="22:22" ht="15" x14ac:dyDescent="0.25">
      <c r="V1756"/>
    </row>
    <row r="1757" spans="22:22" ht="15" x14ac:dyDescent="0.25">
      <c r="V1757"/>
    </row>
    <row r="1758" spans="22:22" ht="15" x14ac:dyDescent="0.25">
      <c r="V1758"/>
    </row>
    <row r="1759" spans="22:22" ht="15" x14ac:dyDescent="0.25">
      <c r="V1759"/>
    </row>
    <row r="1760" spans="22:22" ht="15" x14ac:dyDescent="0.25">
      <c r="V1760"/>
    </row>
    <row r="1761" spans="22:22" ht="15" x14ac:dyDescent="0.25">
      <c r="V1761"/>
    </row>
    <row r="1762" spans="22:22" ht="15" x14ac:dyDescent="0.25">
      <c r="V1762"/>
    </row>
    <row r="1763" spans="22:22" ht="15" x14ac:dyDescent="0.25">
      <c r="V1763"/>
    </row>
    <row r="1764" spans="22:22" ht="15" x14ac:dyDescent="0.25">
      <c r="V1764"/>
    </row>
    <row r="1765" spans="22:22" ht="15" x14ac:dyDescent="0.25">
      <c r="V1765"/>
    </row>
    <row r="1766" spans="22:22" ht="15" x14ac:dyDescent="0.25">
      <c r="V1766"/>
    </row>
    <row r="1767" spans="22:22" ht="15" x14ac:dyDescent="0.25">
      <c r="V1767"/>
    </row>
    <row r="1768" spans="22:22" ht="15" x14ac:dyDescent="0.25">
      <c r="V1768"/>
    </row>
    <row r="1769" spans="22:22" ht="15" x14ac:dyDescent="0.25">
      <c r="V1769"/>
    </row>
    <row r="1770" spans="22:22" ht="15" x14ac:dyDescent="0.25">
      <c r="V1770"/>
    </row>
    <row r="1771" spans="22:22" ht="15" x14ac:dyDescent="0.25">
      <c r="V1771"/>
    </row>
    <row r="1772" spans="22:22" ht="15" x14ac:dyDescent="0.25">
      <c r="V1772"/>
    </row>
    <row r="1773" spans="22:22" ht="15" x14ac:dyDescent="0.25">
      <c r="V1773"/>
    </row>
    <row r="1774" spans="22:22" ht="15" x14ac:dyDescent="0.25">
      <c r="V1774"/>
    </row>
    <row r="1775" spans="22:22" ht="15" x14ac:dyDescent="0.25">
      <c r="V1775"/>
    </row>
    <row r="1776" spans="22:22" ht="15" x14ac:dyDescent="0.25">
      <c r="V1776"/>
    </row>
    <row r="1777" spans="22:22" ht="15" x14ac:dyDescent="0.25">
      <c r="V1777"/>
    </row>
    <row r="1778" spans="22:22" ht="15" x14ac:dyDescent="0.25">
      <c r="V1778"/>
    </row>
    <row r="1779" spans="22:22" ht="15" x14ac:dyDescent="0.25">
      <c r="V1779"/>
    </row>
    <row r="1780" spans="22:22" ht="15" x14ac:dyDescent="0.25">
      <c r="V1780"/>
    </row>
    <row r="1781" spans="22:22" ht="15" x14ac:dyDescent="0.25">
      <c r="V1781"/>
    </row>
    <row r="1782" spans="22:22" ht="15" x14ac:dyDescent="0.25">
      <c r="V1782"/>
    </row>
    <row r="1783" spans="22:22" ht="15" x14ac:dyDescent="0.25">
      <c r="V1783"/>
    </row>
    <row r="1784" spans="22:22" ht="15" x14ac:dyDescent="0.25">
      <c r="V1784"/>
    </row>
    <row r="1785" spans="22:22" ht="15" x14ac:dyDescent="0.25">
      <c r="V1785"/>
    </row>
    <row r="1786" spans="22:22" ht="15" x14ac:dyDescent="0.25">
      <c r="V1786"/>
    </row>
    <row r="1787" spans="22:22" ht="15" x14ac:dyDescent="0.25">
      <c r="V1787"/>
    </row>
    <row r="1788" spans="22:22" ht="15" x14ac:dyDescent="0.25">
      <c r="V1788"/>
    </row>
    <row r="1789" spans="22:22" ht="15" x14ac:dyDescent="0.25">
      <c r="V1789"/>
    </row>
    <row r="1790" spans="22:22" ht="15" x14ac:dyDescent="0.25">
      <c r="V1790"/>
    </row>
    <row r="1791" spans="22:22" ht="15" x14ac:dyDescent="0.25">
      <c r="V1791"/>
    </row>
    <row r="1792" spans="22:22" ht="15" x14ac:dyDescent="0.25">
      <c r="V1792"/>
    </row>
    <row r="1793" spans="22:22" ht="15" x14ac:dyDescent="0.25">
      <c r="V1793"/>
    </row>
    <row r="1794" spans="22:22" ht="15" x14ac:dyDescent="0.25">
      <c r="V1794"/>
    </row>
    <row r="1795" spans="22:22" ht="15" x14ac:dyDescent="0.25">
      <c r="V1795"/>
    </row>
    <row r="1796" spans="22:22" ht="15" x14ac:dyDescent="0.25">
      <c r="V1796"/>
    </row>
    <row r="1797" spans="22:22" ht="15" x14ac:dyDescent="0.25">
      <c r="V1797"/>
    </row>
    <row r="1798" spans="22:22" ht="15" x14ac:dyDescent="0.25">
      <c r="V1798"/>
    </row>
    <row r="1799" spans="22:22" ht="15" x14ac:dyDescent="0.25">
      <c r="V1799"/>
    </row>
    <row r="1800" spans="22:22" ht="15" x14ac:dyDescent="0.25">
      <c r="V1800"/>
    </row>
    <row r="1801" spans="22:22" ht="15" x14ac:dyDescent="0.25">
      <c r="V1801"/>
    </row>
    <row r="1802" spans="22:22" ht="15" x14ac:dyDescent="0.25">
      <c r="V1802"/>
    </row>
    <row r="1803" spans="22:22" ht="15" x14ac:dyDescent="0.25">
      <c r="V1803"/>
    </row>
    <row r="1804" spans="22:22" ht="15" x14ac:dyDescent="0.25">
      <c r="V1804"/>
    </row>
    <row r="1805" spans="22:22" ht="15" x14ac:dyDescent="0.25">
      <c r="V1805"/>
    </row>
    <row r="1806" spans="22:22" ht="15" x14ac:dyDescent="0.25">
      <c r="V1806"/>
    </row>
    <row r="1807" spans="22:22" ht="15" x14ac:dyDescent="0.25">
      <c r="V1807"/>
    </row>
    <row r="1808" spans="22:22" ht="15" x14ac:dyDescent="0.25">
      <c r="V1808"/>
    </row>
    <row r="1809" spans="22:22" ht="15" x14ac:dyDescent="0.25">
      <c r="V1809"/>
    </row>
    <row r="1810" spans="22:22" ht="15" x14ac:dyDescent="0.25">
      <c r="V1810"/>
    </row>
    <row r="1811" spans="22:22" ht="15" x14ac:dyDescent="0.25">
      <c r="V1811"/>
    </row>
    <row r="1812" spans="22:22" ht="15" x14ac:dyDescent="0.25">
      <c r="V1812"/>
    </row>
    <row r="1813" spans="22:22" ht="15" x14ac:dyDescent="0.25">
      <c r="V1813"/>
    </row>
    <row r="1814" spans="22:22" ht="15" x14ac:dyDescent="0.25">
      <c r="V1814"/>
    </row>
    <row r="1815" spans="22:22" ht="15" x14ac:dyDescent="0.25">
      <c r="V1815"/>
    </row>
    <row r="1816" spans="22:22" ht="15" x14ac:dyDescent="0.25">
      <c r="V1816"/>
    </row>
    <row r="1817" spans="22:22" ht="15" x14ac:dyDescent="0.25">
      <c r="V1817"/>
    </row>
    <row r="1818" spans="22:22" ht="15" x14ac:dyDescent="0.25">
      <c r="V1818"/>
    </row>
    <row r="1819" spans="22:22" ht="15" x14ac:dyDescent="0.25">
      <c r="V1819"/>
    </row>
    <row r="1820" spans="22:22" ht="15" x14ac:dyDescent="0.25">
      <c r="V1820"/>
    </row>
    <row r="1821" spans="22:22" ht="15" x14ac:dyDescent="0.25">
      <c r="V1821"/>
    </row>
    <row r="1822" spans="22:22" ht="15" x14ac:dyDescent="0.25">
      <c r="V1822"/>
    </row>
    <row r="1823" spans="22:22" ht="15" x14ac:dyDescent="0.25">
      <c r="V1823"/>
    </row>
    <row r="1824" spans="22:22" ht="15" x14ac:dyDescent="0.25">
      <c r="V1824"/>
    </row>
    <row r="1825" spans="22:22" ht="15" x14ac:dyDescent="0.25">
      <c r="V1825"/>
    </row>
    <row r="1826" spans="22:22" ht="15" x14ac:dyDescent="0.25">
      <c r="V1826"/>
    </row>
    <row r="1827" spans="22:22" ht="15" x14ac:dyDescent="0.25">
      <c r="V1827"/>
    </row>
    <row r="1828" spans="22:22" ht="15" x14ac:dyDescent="0.25">
      <c r="V1828"/>
    </row>
    <row r="1829" spans="22:22" ht="15" x14ac:dyDescent="0.25">
      <c r="V1829"/>
    </row>
    <row r="1830" spans="22:22" ht="15" x14ac:dyDescent="0.25">
      <c r="V1830"/>
    </row>
    <row r="1831" spans="22:22" ht="15" x14ac:dyDescent="0.25">
      <c r="V1831"/>
    </row>
    <row r="1832" spans="22:22" ht="15" x14ac:dyDescent="0.25">
      <c r="V1832"/>
    </row>
    <row r="1833" spans="22:22" ht="15" x14ac:dyDescent="0.25">
      <c r="V1833"/>
    </row>
    <row r="1834" spans="22:22" ht="15" x14ac:dyDescent="0.25">
      <c r="V1834"/>
    </row>
    <row r="1835" spans="22:22" ht="15" x14ac:dyDescent="0.25">
      <c r="V1835"/>
    </row>
    <row r="1836" spans="22:22" ht="15" x14ac:dyDescent="0.25">
      <c r="V1836"/>
    </row>
    <row r="1837" spans="22:22" ht="15" x14ac:dyDescent="0.25">
      <c r="V1837"/>
    </row>
    <row r="1838" spans="22:22" ht="15" x14ac:dyDescent="0.25">
      <c r="V1838"/>
    </row>
    <row r="1839" spans="22:22" ht="15" x14ac:dyDescent="0.25">
      <c r="V1839"/>
    </row>
    <row r="1840" spans="22:22" ht="15" x14ac:dyDescent="0.25">
      <c r="V1840"/>
    </row>
    <row r="1841" spans="22:22" ht="15" x14ac:dyDescent="0.25">
      <c r="V1841"/>
    </row>
    <row r="1842" spans="22:22" ht="15" x14ac:dyDescent="0.25">
      <c r="V1842"/>
    </row>
    <row r="1843" spans="22:22" ht="15" x14ac:dyDescent="0.25">
      <c r="V1843"/>
    </row>
    <row r="1844" spans="22:22" ht="15" x14ac:dyDescent="0.25">
      <c r="V1844"/>
    </row>
    <row r="1845" spans="22:22" ht="15" x14ac:dyDescent="0.25">
      <c r="V1845"/>
    </row>
    <row r="1846" spans="22:22" ht="15" x14ac:dyDescent="0.25">
      <c r="V1846"/>
    </row>
    <row r="1847" spans="22:22" ht="15" x14ac:dyDescent="0.25">
      <c r="V1847"/>
    </row>
    <row r="1848" spans="22:22" ht="15" x14ac:dyDescent="0.25">
      <c r="V1848"/>
    </row>
    <row r="1849" spans="22:22" ht="15" x14ac:dyDescent="0.25">
      <c r="V1849"/>
    </row>
    <row r="1850" spans="22:22" ht="15" x14ac:dyDescent="0.25">
      <c r="V1850"/>
    </row>
    <row r="1851" spans="22:22" ht="15" x14ac:dyDescent="0.25">
      <c r="V1851"/>
    </row>
    <row r="1852" spans="22:22" ht="15" x14ac:dyDescent="0.25">
      <c r="V1852"/>
    </row>
    <row r="1853" spans="22:22" ht="15" x14ac:dyDescent="0.25">
      <c r="V1853"/>
    </row>
    <row r="1854" spans="22:22" ht="15" x14ac:dyDescent="0.25">
      <c r="V1854"/>
    </row>
    <row r="1855" spans="22:22" ht="15" x14ac:dyDescent="0.25">
      <c r="V1855"/>
    </row>
    <row r="1856" spans="22:22" ht="15" x14ac:dyDescent="0.25">
      <c r="V1856"/>
    </row>
    <row r="1857" spans="22:22" ht="15" x14ac:dyDescent="0.25">
      <c r="V1857"/>
    </row>
    <row r="1858" spans="22:22" ht="15" x14ac:dyDescent="0.25">
      <c r="V1858"/>
    </row>
    <row r="1859" spans="22:22" ht="15" x14ac:dyDescent="0.25">
      <c r="V1859"/>
    </row>
    <row r="1860" spans="22:22" ht="15" x14ac:dyDescent="0.25">
      <c r="V1860"/>
    </row>
    <row r="1861" spans="22:22" ht="15" x14ac:dyDescent="0.25">
      <c r="V1861"/>
    </row>
    <row r="1862" spans="22:22" ht="15" x14ac:dyDescent="0.25">
      <c r="V1862"/>
    </row>
    <row r="1863" spans="22:22" ht="15" x14ac:dyDescent="0.25">
      <c r="V1863"/>
    </row>
    <row r="1864" spans="22:22" ht="15" x14ac:dyDescent="0.25">
      <c r="V1864"/>
    </row>
    <row r="1865" spans="22:22" ht="15" x14ac:dyDescent="0.25">
      <c r="V1865"/>
    </row>
    <row r="1866" spans="22:22" ht="15" x14ac:dyDescent="0.25">
      <c r="V1866"/>
    </row>
    <row r="1867" spans="22:22" ht="15" x14ac:dyDescent="0.25">
      <c r="V1867"/>
    </row>
    <row r="1868" spans="22:22" ht="15" x14ac:dyDescent="0.25">
      <c r="V1868"/>
    </row>
    <row r="1869" spans="22:22" ht="15" x14ac:dyDescent="0.25">
      <c r="V1869"/>
    </row>
    <row r="1870" spans="22:22" ht="15" x14ac:dyDescent="0.25">
      <c r="V1870"/>
    </row>
    <row r="1871" spans="22:22" ht="15" x14ac:dyDescent="0.25">
      <c r="V1871"/>
    </row>
    <row r="1872" spans="22:22" ht="15" x14ac:dyDescent="0.25">
      <c r="V1872"/>
    </row>
    <row r="1873" spans="22:22" ht="15" x14ac:dyDescent="0.25">
      <c r="V1873"/>
    </row>
    <row r="1874" spans="22:22" ht="15" x14ac:dyDescent="0.25">
      <c r="V1874"/>
    </row>
    <row r="1875" spans="22:22" ht="15" x14ac:dyDescent="0.25">
      <c r="V1875"/>
    </row>
    <row r="1876" spans="22:22" ht="15" x14ac:dyDescent="0.25">
      <c r="V1876"/>
    </row>
    <row r="1877" spans="22:22" ht="15" x14ac:dyDescent="0.25">
      <c r="V1877"/>
    </row>
    <row r="1878" spans="22:22" ht="15" x14ac:dyDescent="0.25">
      <c r="V1878"/>
    </row>
    <row r="1879" spans="22:22" ht="15" x14ac:dyDescent="0.25">
      <c r="V1879"/>
    </row>
    <row r="1880" spans="22:22" ht="15" x14ac:dyDescent="0.25">
      <c r="V1880"/>
    </row>
    <row r="1881" spans="22:22" ht="15" x14ac:dyDescent="0.25">
      <c r="V1881"/>
    </row>
    <row r="1882" spans="22:22" ht="15" x14ac:dyDescent="0.25">
      <c r="V1882"/>
    </row>
    <row r="1883" spans="22:22" ht="15" x14ac:dyDescent="0.25">
      <c r="V1883"/>
    </row>
    <row r="1884" spans="22:22" ht="15" x14ac:dyDescent="0.25">
      <c r="V1884"/>
    </row>
    <row r="1885" spans="22:22" ht="15" x14ac:dyDescent="0.25">
      <c r="V1885"/>
    </row>
    <row r="1886" spans="22:22" ht="15" x14ac:dyDescent="0.25">
      <c r="V1886"/>
    </row>
    <row r="1887" spans="22:22" ht="15" x14ac:dyDescent="0.25">
      <c r="V1887"/>
    </row>
    <row r="1888" spans="22:22" ht="15" x14ac:dyDescent="0.25">
      <c r="V1888"/>
    </row>
    <row r="1889" spans="22:22" ht="15" x14ac:dyDescent="0.25">
      <c r="V1889"/>
    </row>
    <row r="1890" spans="22:22" ht="15" x14ac:dyDescent="0.25">
      <c r="V1890"/>
    </row>
    <row r="1891" spans="22:22" ht="15" x14ac:dyDescent="0.25">
      <c r="V1891"/>
    </row>
    <row r="1892" spans="22:22" ht="15" x14ac:dyDescent="0.25">
      <c r="V1892"/>
    </row>
    <row r="1893" spans="22:22" ht="15" x14ac:dyDescent="0.25">
      <c r="V1893"/>
    </row>
    <row r="1894" spans="22:22" ht="15" x14ac:dyDescent="0.25">
      <c r="V1894"/>
    </row>
    <row r="1895" spans="22:22" ht="15" x14ac:dyDescent="0.25">
      <c r="V1895"/>
    </row>
    <row r="1896" spans="22:22" ht="15" x14ac:dyDescent="0.25">
      <c r="V1896"/>
    </row>
    <row r="1897" spans="22:22" ht="15" x14ac:dyDescent="0.25">
      <c r="V1897"/>
    </row>
    <row r="1898" spans="22:22" ht="15" x14ac:dyDescent="0.25">
      <c r="V1898"/>
    </row>
    <row r="1899" spans="22:22" ht="15" x14ac:dyDescent="0.25">
      <c r="V1899"/>
    </row>
    <row r="1900" spans="22:22" ht="15" x14ac:dyDescent="0.25">
      <c r="V1900"/>
    </row>
    <row r="1901" spans="22:22" ht="15" x14ac:dyDescent="0.25">
      <c r="V1901"/>
    </row>
    <row r="1902" spans="22:22" ht="15" x14ac:dyDescent="0.25">
      <c r="V1902"/>
    </row>
    <row r="1903" spans="22:22" ht="15" x14ac:dyDescent="0.25">
      <c r="V1903"/>
    </row>
    <row r="1904" spans="22:22" ht="15" x14ac:dyDescent="0.25">
      <c r="V1904"/>
    </row>
    <row r="1905" spans="22:22" ht="15" x14ac:dyDescent="0.25">
      <c r="V1905"/>
    </row>
    <row r="1906" spans="22:22" ht="15" x14ac:dyDescent="0.25">
      <c r="V1906"/>
    </row>
    <row r="1907" spans="22:22" ht="15" x14ac:dyDescent="0.25">
      <c r="V1907"/>
    </row>
    <row r="1908" spans="22:22" ht="15" x14ac:dyDescent="0.25">
      <c r="V1908"/>
    </row>
    <row r="1909" spans="22:22" ht="15" x14ac:dyDescent="0.25">
      <c r="V1909"/>
    </row>
    <row r="1910" spans="22:22" ht="15" x14ac:dyDescent="0.25">
      <c r="V1910"/>
    </row>
    <row r="1911" spans="22:22" ht="15" x14ac:dyDescent="0.25">
      <c r="V1911"/>
    </row>
    <row r="1912" spans="22:22" ht="15" x14ac:dyDescent="0.25">
      <c r="V1912"/>
    </row>
    <row r="1913" spans="22:22" ht="15" x14ac:dyDescent="0.25">
      <c r="V1913"/>
    </row>
    <row r="1914" spans="22:22" ht="15" x14ac:dyDescent="0.25">
      <c r="V1914"/>
    </row>
    <row r="1915" spans="22:22" ht="15" x14ac:dyDescent="0.25">
      <c r="V1915"/>
    </row>
    <row r="1916" spans="22:22" ht="15" x14ac:dyDescent="0.25">
      <c r="V1916"/>
    </row>
    <row r="1917" spans="22:22" ht="15" x14ac:dyDescent="0.25">
      <c r="V1917"/>
    </row>
    <row r="1918" spans="22:22" ht="15" x14ac:dyDescent="0.25">
      <c r="V1918"/>
    </row>
    <row r="1919" spans="22:22" ht="15" x14ac:dyDescent="0.25">
      <c r="V1919"/>
    </row>
    <row r="1920" spans="22:22" ht="15" x14ac:dyDescent="0.25">
      <c r="V1920"/>
    </row>
    <row r="1921" spans="22:22" ht="15" x14ac:dyDescent="0.25">
      <c r="V1921"/>
    </row>
    <row r="1922" spans="22:22" ht="15" x14ac:dyDescent="0.25">
      <c r="V1922"/>
    </row>
    <row r="1923" spans="22:22" ht="15" x14ac:dyDescent="0.25">
      <c r="V1923"/>
    </row>
    <row r="1924" spans="22:22" ht="15" x14ac:dyDescent="0.25">
      <c r="V1924"/>
    </row>
    <row r="1925" spans="22:22" ht="15" x14ac:dyDescent="0.25">
      <c r="V1925"/>
    </row>
    <row r="1926" spans="22:22" ht="15" x14ac:dyDescent="0.25">
      <c r="V1926"/>
    </row>
    <row r="1927" spans="22:22" ht="15" x14ac:dyDescent="0.25">
      <c r="V1927"/>
    </row>
    <row r="1928" spans="22:22" ht="15" x14ac:dyDescent="0.25">
      <c r="V1928"/>
    </row>
    <row r="1929" spans="22:22" ht="15" x14ac:dyDescent="0.25">
      <c r="V1929"/>
    </row>
    <row r="1930" spans="22:22" ht="15" x14ac:dyDescent="0.25">
      <c r="V1930"/>
    </row>
    <row r="1931" spans="22:22" ht="15" x14ac:dyDescent="0.25">
      <c r="V1931"/>
    </row>
    <row r="1932" spans="22:22" ht="15" x14ac:dyDescent="0.25">
      <c r="V1932"/>
    </row>
    <row r="1933" spans="22:22" ht="15" x14ac:dyDescent="0.25">
      <c r="V1933"/>
    </row>
    <row r="1934" spans="22:22" ht="15" x14ac:dyDescent="0.25">
      <c r="V1934"/>
    </row>
    <row r="1935" spans="22:22" ht="15" x14ac:dyDescent="0.25">
      <c r="V1935"/>
    </row>
    <row r="1936" spans="22:22" ht="15" x14ac:dyDescent="0.25">
      <c r="V1936"/>
    </row>
    <row r="1937" spans="22:22" ht="15" x14ac:dyDescent="0.25">
      <c r="V1937"/>
    </row>
    <row r="1938" spans="22:22" ht="15" x14ac:dyDescent="0.25">
      <c r="V1938"/>
    </row>
    <row r="1939" spans="22:22" ht="15" x14ac:dyDescent="0.25">
      <c r="V1939"/>
    </row>
    <row r="1940" spans="22:22" ht="15" x14ac:dyDescent="0.25">
      <c r="V1940"/>
    </row>
    <row r="1941" spans="22:22" ht="15" x14ac:dyDescent="0.25">
      <c r="V1941"/>
    </row>
    <row r="1942" spans="22:22" ht="15" x14ac:dyDescent="0.25">
      <c r="V1942"/>
    </row>
    <row r="1943" spans="22:22" ht="15" x14ac:dyDescent="0.25">
      <c r="V1943"/>
    </row>
    <row r="1944" spans="22:22" ht="15" x14ac:dyDescent="0.25">
      <c r="V1944"/>
    </row>
    <row r="1945" spans="22:22" ht="15" x14ac:dyDescent="0.25">
      <c r="V1945"/>
    </row>
    <row r="1946" spans="22:22" ht="15" x14ac:dyDescent="0.25">
      <c r="V1946"/>
    </row>
    <row r="1947" spans="22:22" ht="15" x14ac:dyDescent="0.25">
      <c r="V1947"/>
    </row>
    <row r="1948" spans="22:22" ht="15" x14ac:dyDescent="0.25">
      <c r="V1948"/>
    </row>
    <row r="1949" spans="22:22" ht="15" x14ac:dyDescent="0.25">
      <c r="V1949"/>
    </row>
    <row r="1950" spans="22:22" ht="15" x14ac:dyDescent="0.25">
      <c r="V1950"/>
    </row>
    <row r="1951" spans="22:22" ht="15" x14ac:dyDescent="0.25">
      <c r="V1951"/>
    </row>
    <row r="1952" spans="22:22" ht="15" x14ac:dyDescent="0.25">
      <c r="V1952"/>
    </row>
    <row r="1953" spans="22:22" ht="15" x14ac:dyDescent="0.25">
      <c r="V1953"/>
    </row>
    <row r="1954" spans="22:22" ht="15" x14ac:dyDescent="0.25">
      <c r="V1954"/>
    </row>
    <row r="1955" spans="22:22" ht="15" x14ac:dyDescent="0.25">
      <c r="V1955"/>
    </row>
    <row r="1956" spans="22:22" ht="15" x14ac:dyDescent="0.25">
      <c r="V1956"/>
    </row>
    <row r="1957" spans="22:22" ht="15" x14ac:dyDescent="0.25">
      <c r="V1957"/>
    </row>
    <row r="1958" spans="22:22" ht="15" x14ac:dyDescent="0.25">
      <c r="V1958"/>
    </row>
    <row r="1959" spans="22:22" ht="15" x14ac:dyDescent="0.25">
      <c r="V1959"/>
    </row>
    <row r="1960" spans="22:22" ht="15" x14ac:dyDescent="0.25">
      <c r="V1960"/>
    </row>
    <row r="1961" spans="22:22" ht="15" x14ac:dyDescent="0.25">
      <c r="V1961"/>
    </row>
    <row r="1962" spans="22:22" ht="15" x14ac:dyDescent="0.25">
      <c r="V1962"/>
    </row>
    <row r="1963" spans="22:22" ht="15" x14ac:dyDescent="0.25">
      <c r="V1963"/>
    </row>
    <row r="1964" spans="22:22" ht="15" x14ac:dyDescent="0.25">
      <c r="V1964"/>
    </row>
    <row r="1965" spans="22:22" ht="15" x14ac:dyDescent="0.25">
      <c r="V1965"/>
    </row>
    <row r="1966" spans="22:22" ht="15" x14ac:dyDescent="0.25">
      <c r="V1966"/>
    </row>
    <row r="1967" spans="22:22" ht="15" x14ac:dyDescent="0.25">
      <c r="V1967"/>
    </row>
    <row r="1968" spans="22:22" ht="15" x14ac:dyDescent="0.25">
      <c r="V1968"/>
    </row>
    <row r="1969" spans="22:22" ht="15" x14ac:dyDescent="0.25">
      <c r="V1969"/>
    </row>
    <row r="1970" spans="22:22" ht="15" x14ac:dyDescent="0.25">
      <c r="V1970"/>
    </row>
    <row r="1971" spans="22:22" ht="15" x14ac:dyDescent="0.25">
      <c r="V1971"/>
    </row>
    <row r="1972" spans="22:22" ht="15" x14ac:dyDescent="0.25">
      <c r="V1972"/>
    </row>
    <row r="1973" spans="22:22" ht="15" x14ac:dyDescent="0.25">
      <c r="V1973"/>
    </row>
    <row r="1974" spans="22:22" ht="15" x14ac:dyDescent="0.25">
      <c r="V1974"/>
    </row>
    <row r="1975" spans="22:22" ht="15" x14ac:dyDescent="0.25">
      <c r="V1975"/>
    </row>
    <row r="1976" spans="22:22" ht="15" x14ac:dyDescent="0.25">
      <c r="V1976"/>
    </row>
    <row r="1977" spans="22:22" ht="15" x14ac:dyDescent="0.25">
      <c r="V1977"/>
    </row>
    <row r="1978" spans="22:22" ht="15" x14ac:dyDescent="0.25">
      <c r="V1978"/>
    </row>
    <row r="1979" spans="22:22" ht="15" x14ac:dyDescent="0.25">
      <c r="V1979"/>
    </row>
    <row r="1980" spans="22:22" ht="15" x14ac:dyDescent="0.25">
      <c r="V1980"/>
    </row>
    <row r="1981" spans="22:22" ht="15" x14ac:dyDescent="0.25">
      <c r="V1981"/>
    </row>
    <row r="1982" spans="22:22" ht="15" x14ac:dyDescent="0.25">
      <c r="V1982"/>
    </row>
    <row r="1983" spans="22:22" ht="15" x14ac:dyDescent="0.25">
      <c r="V1983"/>
    </row>
    <row r="1984" spans="22:22" ht="15" x14ac:dyDescent="0.25">
      <c r="V1984"/>
    </row>
    <row r="1985" spans="22:22" ht="15" x14ac:dyDescent="0.25">
      <c r="V1985"/>
    </row>
    <row r="1986" spans="22:22" ht="15" x14ac:dyDescent="0.25">
      <c r="V1986"/>
    </row>
    <row r="1987" spans="22:22" ht="15" x14ac:dyDescent="0.25">
      <c r="V1987"/>
    </row>
    <row r="1988" spans="22:22" ht="15" x14ac:dyDescent="0.25">
      <c r="V1988"/>
    </row>
    <row r="1989" spans="22:22" ht="15" x14ac:dyDescent="0.25">
      <c r="V1989"/>
    </row>
    <row r="1990" spans="22:22" ht="15" x14ac:dyDescent="0.25">
      <c r="V1990"/>
    </row>
    <row r="1991" spans="22:22" ht="15" x14ac:dyDescent="0.25">
      <c r="V1991"/>
    </row>
    <row r="1992" spans="22:22" ht="15" x14ac:dyDescent="0.25">
      <c r="V1992"/>
    </row>
    <row r="1993" spans="22:22" ht="15" x14ac:dyDescent="0.25">
      <c r="V1993"/>
    </row>
    <row r="1994" spans="22:22" ht="15" x14ac:dyDescent="0.25">
      <c r="V1994"/>
    </row>
    <row r="1995" spans="22:22" ht="15" x14ac:dyDescent="0.25">
      <c r="V1995"/>
    </row>
    <row r="1996" spans="22:22" ht="15" x14ac:dyDescent="0.25">
      <c r="V1996"/>
    </row>
    <row r="1997" spans="22:22" ht="15" x14ac:dyDescent="0.25">
      <c r="V1997"/>
    </row>
    <row r="1998" spans="22:22" ht="15" x14ac:dyDescent="0.25">
      <c r="V1998"/>
    </row>
    <row r="1999" spans="22:22" ht="15" x14ac:dyDescent="0.25">
      <c r="V1999"/>
    </row>
    <row r="2000" spans="22:22" ht="15" x14ac:dyDescent="0.25">
      <c r="V2000"/>
    </row>
    <row r="2001" spans="22:22" ht="15" x14ac:dyDescent="0.25">
      <c r="V2001"/>
    </row>
    <row r="2002" spans="22:22" ht="15" x14ac:dyDescent="0.25">
      <c r="V2002"/>
    </row>
    <row r="2003" spans="22:22" ht="15" x14ac:dyDescent="0.25">
      <c r="V2003"/>
    </row>
    <row r="2004" spans="22:22" ht="15" x14ac:dyDescent="0.25">
      <c r="V2004"/>
    </row>
    <row r="2005" spans="22:22" ht="15" x14ac:dyDescent="0.25">
      <c r="V2005"/>
    </row>
    <row r="2006" spans="22:22" ht="15" x14ac:dyDescent="0.25">
      <c r="V2006"/>
    </row>
    <row r="2007" spans="22:22" ht="15" x14ac:dyDescent="0.25">
      <c r="V2007"/>
    </row>
    <row r="2008" spans="22:22" ht="15" x14ac:dyDescent="0.25">
      <c r="V2008"/>
    </row>
    <row r="2009" spans="22:22" ht="15" x14ac:dyDescent="0.25">
      <c r="V2009"/>
    </row>
    <row r="2010" spans="22:22" ht="15" x14ac:dyDescent="0.25">
      <c r="V2010"/>
    </row>
    <row r="2011" spans="22:22" ht="15" x14ac:dyDescent="0.25">
      <c r="V2011"/>
    </row>
    <row r="2012" spans="22:22" ht="15" x14ac:dyDescent="0.25">
      <c r="V2012"/>
    </row>
    <row r="2013" spans="22:22" ht="15" x14ac:dyDescent="0.25">
      <c r="V2013"/>
    </row>
    <row r="2014" spans="22:22" ht="15" x14ac:dyDescent="0.25">
      <c r="V2014"/>
    </row>
    <row r="2015" spans="22:22" ht="15" x14ac:dyDescent="0.25">
      <c r="V2015"/>
    </row>
    <row r="2016" spans="22:22" ht="15" x14ac:dyDescent="0.25">
      <c r="V2016"/>
    </row>
    <row r="2017" spans="22:22" ht="15" x14ac:dyDescent="0.25">
      <c r="V2017"/>
    </row>
    <row r="2018" spans="22:22" ht="15" x14ac:dyDescent="0.25">
      <c r="V2018"/>
    </row>
    <row r="2019" spans="22:22" ht="15" x14ac:dyDescent="0.25">
      <c r="V2019"/>
    </row>
    <row r="2020" spans="22:22" ht="15" x14ac:dyDescent="0.25">
      <c r="V2020"/>
    </row>
    <row r="2021" spans="22:22" ht="15" x14ac:dyDescent="0.25">
      <c r="V2021"/>
    </row>
    <row r="2022" spans="22:22" ht="15" x14ac:dyDescent="0.25">
      <c r="V2022"/>
    </row>
    <row r="2023" spans="22:22" ht="15" x14ac:dyDescent="0.25">
      <c r="V2023"/>
    </row>
    <row r="2024" spans="22:22" ht="15" x14ac:dyDescent="0.25">
      <c r="V2024"/>
    </row>
    <row r="2025" spans="22:22" ht="15" x14ac:dyDescent="0.25">
      <c r="V2025"/>
    </row>
    <row r="2026" spans="22:22" ht="15" x14ac:dyDescent="0.25">
      <c r="V2026"/>
    </row>
    <row r="2027" spans="22:22" ht="15" x14ac:dyDescent="0.25">
      <c r="V2027"/>
    </row>
    <row r="2028" spans="22:22" ht="15" x14ac:dyDescent="0.25">
      <c r="V2028"/>
    </row>
    <row r="2029" spans="22:22" ht="15" x14ac:dyDescent="0.25">
      <c r="V2029"/>
    </row>
    <row r="2030" spans="22:22" ht="15" x14ac:dyDescent="0.25">
      <c r="V2030"/>
    </row>
    <row r="2031" spans="22:22" ht="15" x14ac:dyDescent="0.25">
      <c r="V2031"/>
    </row>
    <row r="2032" spans="22:22" ht="15" x14ac:dyDescent="0.25">
      <c r="V2032"/>
    </row>
    <row r="2033" spans="22:22" ht="15" x14ac:dyDescent="0.25">
      <c r="V2033"/>
    </row>
    <row r="2034" spans="22:22" ht="15" x14ac:dyDescent="0.25">
      <c r="V2034"/>
    </row>
    <row r="2035" spans="22:22" ht="15" x14ac:dyDescent="0.25">
      <c r="V2035"/>
    </row>
    <row r="2036" spans="22:22" ht="15" x14ac:dyDescent="0.25">
      <c r="V2036"/>
    </row>
    <row r="2037" spans="22:22" ht="15" x14ac:dyDescent="0.25">
      <c r="V2037"/>
    </row>
    <row r="2038" spans="22:22" ht="15" x14ac:dyDescent="0.25">
      <c r="V2038"/>
    </row>
    <row r="2039" spans="22:22" ht="15" x14ac:dyDescent="0.25">
      <c r="V2039"/>
    </row>
    <row r="2040" spans="22:22" ht="15" x14ac:dyDescent="0.25">
      <c r="V2040"/>
    </row>
    <row r="2041" spans="22:22" ht="15" x14ac:dyDescent="0.25">
      <c r="V2041"/>
    </row>
    <row r="2042" spans="22:22" ht="15" x14ac:dyDescent="0.25">
      <c r="V2042"/>
    </row>
    <row r="2043" spans="22:22" ht="15" x14ac:dyDescent="0.25">
      <c r="V2043"/>
    </row>
    <row r="2044" spans="22:22" ht="15" x14ac:dyDescent="0.25">
      <c r="V2044"/>
    </row>
    <row r="2045" spans="22:22" ht="15" x14ac:dyDescent="0.25">
      <c r="V2045"/>
    </row>
    <row r="2046" spans="22:22" ht="15" x14ac:dyDescent="0.25">
      <c r="V2046"/>
    </row>
    <row r="2047" spans="22:22" ht="15" x14ac:dyDescent="0.25">
      <c r="V2047"/>
    </row>
    <row r="2048" spans="22:22" ht="15" x14ac:dyDescent="0.25">
      <c r="V2048"/>
    </row>
    <row r="2049" spans="22:22" ht="15" x14ac:dyDescent="0.25">
      <c r="V2049"/>
    </row>
    <row r="2050" spans="22:22" ht="15" x14ac:dyDescent="0.25">
      <c r="V2050"/>
    </row>
    <row r="2051" spans="22:22" ht="15" x14ac:dyDescent="0.25">
      <c r="V2051"/>
    </row>
    <row r="2052" spans="22:22" ht="15" x14ac:dyDescent="0.25">
      <c r="V2052"/>
    </row>
    <row r="2053" spans="22:22" ht="15" x14ac:dyDescent="0.25">
      <c r="V2053"/>
    </row>
    <row r="2054" spans="22:22" ht="15" x14ac:dyDescent="0.25">
      <c r="V2054"/>
    </row>
    <row r="2055" spans="22:22" ht="15" x14ac:dyDescent="0.25">
      <c r="V2055"/>
    </row>
    <row r="2056" spans="22:22" ht="15" x14ac:dyDescent="0.25">
      <c r="V2056"/>
    </row>
    <row r="2057" spans="22:22" ht="15" x14ac:dyDescent="0.25">
      <c r="V2057"/>
    </row>
    <row r="2058" spans="22:22" ht="15" x14ac:dyDescent="0.25">
      <c r="V2058"/>
    </row>
    <row r="2059" spans="22:22" ht="15" x14ac:dyDescent="0.25">
      <c r="V2059"/>
    </row>
    <row r="2060" spans="22:22" ht="15" x14ac:dyDescent="0.25">
      <c r="V2060"/>
    </row>
    <row r="2061" spans="22:22" ht="15" x14ac:dyDescent="0.25">
      <c r="V2061"/>
    </row>
    <row r="2062" spans="22:22" ht="15" x14ac:dyDescent="0.25">
      <c r="V2062"/>
    </row>
    <row r="2063" spans="22:22" ht="15" x14ac:dyDescent="0.25">
      <c r="V2063"/>
    </row>
    <row r="2064" spans="22:22" ht="15" x14ac:dyDescent="0.25">
      <c r="V2064"/>
    </row>
    <row r="2065" spans="22:22" ht="15" x14ac:dyDescent="0.25">
      <c r="V2065"/>
    </row>
    <row r="2066" spans="22:22" ht="15" x14ac:dyDescent="0.25">
      <c r="V2066"/>
    </row>
    <row r="2067" spans="22:22" ht="15" x14ac:dyDescent="0.25">
      <c r="V2067"/>
    </row>
    <row r="2068" spans="22:22" ht="15" x14ac:dyDescent="0.25">
      <c r="V2068"/>
    </row>
    <row r="2069" spans="22:22" ht="15" x14ac:dyDescent="0.25">
      <c r="V2069"/>
    </row>
    <row r="2070" spans="22:22" ht="15" x14ac:dyDescent="0.25">
      <c r="V2070"/>
    </row>
    <row r="2071" spans="22:22" ht="15" x14ac:dyDescent="0.25">
      <c r="V2071"/>
    </row>
    <row r="2072" spans="22:22" ht="15" x14ac:dyDescent="0.25">
      <c r="V2072"/>
    </row>
    <row r="2073" spans="22:22" ht="15" x14ac:dyDescent="0.25">
      <c r="V2073"/>
    </row>
    <row r="2074" spans="22:22" ht="15" x14ac:dyDescent="0.25">
      <c r="V2074"/>
    </row>
    <row r="2075" spans="22:22" ht="15" x14ac:dyDescent="0.25">
      <c r="V2075"/>
    </row>
    <row r="2076" spans="22:22" ht="15" x14ac:dyDescent="0.25">
      <c r="V2076"/>
    </row>
    <row r="2077" spans="22:22" ht="15" x14ac:dyDescent="0.25">
      <c r="V2077"/>
    </row>
    <row r="2078" spans="22:22" ht="15" x14ac:dyDescent="0.25">
      <c r="V2078"/>
    </row>
    <row r="2079" spans="22:22" ht="15" x14ac:dyDescent="0.25">
      <c r="V2079"/>
    </row>
    <row r="2080" spans="22:22" ht="15" x14ac:dyDescent="0.25">
      <c r="V2080"/>
    </row>
    <row r="2081" spans="22:22" ht="15" x14ac:dyDescent="0.25">
      <c r="V2081"/>
    </row>
    <row r="2082" spans="22:22" ht="15" x14ac:dyDescent="0.25">
      <c r="V2082"/>
    </row>
    <row r="2083" spans="22:22" ht="15" x14ac:dyDescent="0.25">
      <c r="V2083"/>
    </row>
    <row r="2084" spans="22:22" ht="15" x14ac:dyDescent="0.25">
      <c r="V2084"/>
    </row>
    <row r="2085" spans="22:22" ht="15" x14ac:dyDescent="0.25">
      <c r="V2085"/>
    </row>
    <row r="2086" spans="22:22" ht="15" x14ac:dyDescent="0.25">
      <c r="V2086"/>
    </row>
    <row r="2087" spans="22:22" ht="15" x14ac:dyDescent="0.25">
      <c r="V2087"/>
    </row>
    <row r="2088" spans="22:22" ht="15" x14ac:dyDescent="0.25">
      <c r="V2088"/>
    </row>
    <row r="2089" spans="22:22" ht="15" x14ac:dyDescent="0.25">
      <c r="V2089"/>
    </row>
    <row r="2090" spans="22:22" ht="15" x14ac:dyDescent="0.25">
      <c r="V2090"/>
    </row>
    <row r="2091" spans="22:22" ht="15" x14ac:dyDescent="0.25">
      <c r="V2091"/>
    </row>
    <row r="2092" spans="22:22" ht="15" x14ac:dyDescent="0.25">
      <c r="V2092"/>
    </row>
    <row r="2093" spans="22:22" ht="15" x14ac:dyDescent="0.25">
      <c r="V2093"/>
    </row>
    <row r="2094" spans="22:22" ht="15" x14ac:dyDescent="0.25">
      <c r="V2094"/>
    </row>
    <row r="2095" spans="22:22" ht="15" x14ac:dyDescent="0.25">
      <c r="V2095"/>
    </row>
    <row r="2096" spans="22:22" ht="15" x14ac:dyDescent="0.25">
      <c r="V2096"/>
    </row>
    <row r="2097" spans="22:22" ht="15" x14ac:dyDescent="0.25">
      <c r="V2097"/>
    </row>
    <row r="2098" spans="22:22" ht="15" x14ac:dyDescent="0.25">
      <c r="V2098"/>
    </row>
    <row r="2099" spans="22:22" ht="15" x14ac:dyDescent="0.25">
      <c r="V2099"/>
    </row>
    <row r="2100" spans="22:22" ht="15" x14ac:dyDescent="0.25">
      <c r="V2100"/>
    </row>
    <row r="2101" spans="22:22" ht="15" x14ac:dyDescent="0.25">
      <c r="V2101"/>
    </row>
    <row r="2102" spans="22:22" ht="15" x14ac:dyDescent="0.25">
      <c r="V2102"/>
    </row>
    <row r="2103" spans="22:22" ht="15" x14ac:dyDescent="0.25">
      <c r="V2103"/>
    </row>
    <row r="2104" spans="22:22" ht="15" x14ac:dyDescent="0.25">
      <c r="V2104"/>
    </row>
    <row r="2105" spans="22:22" ht="15" x14ac:dyDescent="0.25">
      <c r="V2105"/>
    </row>
    <row r="2106" spans="22:22" ht="15" x14ac:dyDescent="0.25">
      <c r="V2106"/>
    </row>
    <row r="2107" spans="22:22" ht="15" x14ac:dyDescent="0.25">
      <c r="V2107"/>
    </row>
    <row r="2108" spans="22:22" ht="15" x14ac:dyDescent="0.25">
      <c r="V2108"/>
    </row>
    <row r="2109" spans="22:22" ht="15" x14ac:dyDescent="0.25">
      <c r="V2109"/>
    </row>
    <row r="2110" spans="22:22" ht="15" x14ac:dyDescent="0.25">
      <c r="V2110"/>
    </row>
    <row r="2111" spans="22:22" ht="15" x14ac:dyDescent="0.25">
      <c r="V2111"/>
    </row>
    <row r="2112" spans="22:22" ht="15" x14ac:dyDescent="0.25">
      <c r="V2112"/>
    </row>
    <row r="2113" spans="22:22" ht="15" x14ac:dyDescent="0.25">
      <c r="V2113"/>
    </row>
    <row r="2114" spans="22:22" ht="15" x14ac:dyDescent="0.25">
      <c r="V2114"/>
    </row>
    <row r="2115" spans="22:22" ht="15" x14ac:dyDescent="0.25">
      <c r="V2115"/>
    </row>
    <row r="2116" spans="22:22" ht="15" x14ac:dyDescent="0.25">
      <c r="V2116"/>
    </row>
    <row r="2117" spans="22:22" ht="15" x14ac:dyDescent="0.25">
      <c r="V2117"/>
    </row>
    <row r="2118" spans="22:22" ht="15" x14ac:dyDescent="0.25">
      <c r="V2118"/>
    </row>
    <row r="2119" spans="22:22" ht="15" x14ac:dyDescent="0.25">
      <c r="V2119"/>
    </row>
    <row r="2120" spans="22:22" ht="15" x14ac:dyDescent="0.25">
      <c r="V2120"/>
    </row>
    <row r="2121" spans="22:22" ht="15" x14ac:dyDescent="0.25">
      <c r="V2121"/>
    </row>
    <row r="2122" spans="22:22" ht="15" x14ac:dyDescent="0.25">
      <c r="V2122"/>
    </row>
    <row r="2123" spans="22:22" ht="15" x14ac:dyDescent="0.25">
      <c r="V2123"/>
    </row>
    <row r="2124" spans="22:22" ht="15" x14ac:dyDescent="0.25">
      <c r="V2124"/>
    </row>
    <row r="2125" spans="22:22" ht="15" x14ac:dyDescent="0.25">
      <c r="V2125"/>
    </row>
    <row r="2126" spans="22:22" ht="15" x14ac:dyDescent="0.25">
      <c r="V2126"/>
    </row>
    <row r="2127" spans="22:22" ht="15" x14ac:dyDescent="0.25">
      <c r="V2127"/>
    </row>
    <row r="2128" spans="22:22" ht="15" x14ac:dyDescent="0.25">
      <c r="V2128"/>
    </row>
    <row r="2129" spans="22:22" ht="15" x14ac:dyDescent="0.25">
      <c r="V2129"/>
    </row>
    <row r="2130" spans="22:22" ht="15" x14ac:dyDescent="0.25">
      <c r="V2130"/>
    </row>
    <row r="2131" spans="22:22" ht="15" x14ac:dyDescent="0.25">
      <c r="V2131"/>
    </row>
    <row r="2132" spans="22:22" ht="15" x14ac:dyDescent="0.25">
      <c r="V2132"/>
    </row>
    <row r="2133" spans="22:22" ht="15" x14ac:dyDescent="0.25">
      <c r="V2133"/>
    </row>
    <row r="2134" spans="22:22" ht="15" x14ac:dyDescent="0.25">
      <c r="V2134"/>
    </row>
    <row r="2135" spans="22:22" ht="15" x14ac:dyDescent="0.25">
      <c r="V2135"/>
    </row>
    <row r="2136" spans="22:22" ht="15" x14ac:dyDescent="0.25">
      <c r="V2136"/>
    </row>
    <row r="2137" spans="22:22" ht="15" x14ac:dyDescent="0.25">
      <c r="V2137"/>
    </row>
    <row r="2138" spans="22:22" ht="15" x14ac:dyDescent="0.25">
      <c r="V2138"/>
    </row>
    <row r="2139" spans="22:22" ht="15" x14ac:dyDescent="0.25">
      <c r="V2139"/>
    </row>
    <row r="2140" spans="22:22" ht="15" x14ac:dyDescent="0.25">
      <c r="V2140"/>
    </row>
    <row r="2141" spans="22:22" ht="15" x14ac:dyDescent="0.25">
      <c r="V2141"/>
    </row>
    <row r="2142" spans="22:22" ht="15" x14ac:dyDescent="0.25">
      <c r="V2142"/>
    </row>
    <row r="2143" spans="22:22" ht="15" x14ac:dyDescent="0.25">
      <c r="V2143"/>
    </row>
    <row r="2144" spans="22:22" ht="15" x14ac:dyDescent="0.25">
      <c r="V2144"/>
    </row>
    <row r="2145" spans="22:22" ht="15" x14ac:dyDescent="0.25">
      <c r="V2145"/>
    </row>
    <row r="2146" spans="22:22" ht="15" x14ac:dyDescent="0.25">
      <c r="V2146"/>
    </row>
    <row r="2147" spans="22:22" ht="15" x14ac:dyDescent="0.25">
      <c r="V2147"/>
    </row>
    <row r="2148" spans="22:22" ht="15" x14ac:dyDescent="0.25">
      <c r="V2148"/>
    </row>
    <row r="2149" spans="22:22" ht="15" x14ac:dyDescent="0.25">
      <c r="V2149"/>
    </row>
    <row r="2150" spans="22:22" ht="15" x14ac:dyDescent="0.25">
      <c r="V2150"/>
    </row>
    <row r="2151" spans="22:22" ht="15" x14ac:dyDescent="0.25">
      <c r="V2151"/>
    </row>
    <row r="2152" spans="22:22" ht="15" x14ac:dyDescent="0.25">
      <c r="V2152"/>
    </row>
    <row r="2153" spans="22:22" ht="15" x14ac:dyDescent="0.25">
      <c r="V2153"/>
    </row>
    <row r="2154" spans="22:22" ht="15" x14ac:dyDescent="0.25">
      <c r="V2154"/>
    </row>
    <row r="2155" spans="22:22" ht="15" x14ac:dyDescent="0.25">
      <c r="V2155"/>
    </row>
    <row r="2156" spans="22:22" ht="15" x14ac:dyDescent="0.25">
      <c r="V2156"/>
    </row>
    <row r="2157" spans="22:22" ht="15" x14ac:dyDescent="0.25">
      <c r="V2157"/>
    </row>
    <row r="2158" spans="22:22" ht="15" x14ac:dyDescent="0.25">
      <c r="V2158"/>
    </row>
    <row r="2159" spans="22:22" ht="15" x14ac:dyDescent="0.25">
      <c r="V2159"/>
    </row>
    <row r="2160" spans="22:22" ht="15" x14ac:dyDescent="0.25">
      <c r="V2160"/>
    </row>
    <row r="2161" spans="22:22" ht="15" x14ac:dyDescent="0.25">
      <c r="V2161"/>
    </row>
    <row r="2162" spans="22:22" ht="15" x14ac:dyDescent="0.25">
      <c r="V2162"/>
    </row>
    <row r="2163" spans="22:22" ht="15" x14ac:dyDescent="0.25">
      <c r="V2163"/>
    </row>
    <row r="2164" spans="22:22" ht="15" x14ac:dyDescent="0.25">
      <c r="V2164"/>
    </row>
    <row r="2165" spans="22:22" ht="15" x14ac:dyDescent="0.25">
      <c r="V2165"/>
    </row>
    <row r="2166" spans="22:22" ht="15" x14ac:dyDescent="0.25">
      <c r="V2166"/>
    </row>
    <row r="2167" spans="22:22" ht="15" x14ac:dyDescent="0.25">
      <c r="V2167"/>
    </row>
    <row r="2168" spans="22:22" ht="15" x14ac:dyDescent="0.25">
      <c r="V2168"/>
    </row>
    <row r="2169" spans="22:22" ht="15" x14ac:dyDescent="0.25">
      <c r="V2169"/>
    </row>
    <row r="2170" spans="22:22" ht="15" x14ac:dyDescent="0.25">
      <c r="V2170"/>
    </row>
    <row r="2171" spans="22:22" ht="15" x14ac:dyDescent="0.25">
      <c r="V2171"/>
    </row>
    <row r="2172" spans="22:22" ht="15" x14ac:dyDescent="0.25">
      <c r="V2172"/>
    </row>
    <row r="2173" spans="22:22" ht="15" x14ac:dyDescent="0.25">
      <c r="V2173"/>
    </row>
    <row r="2174" spans="22:22" ht="15" x14ac:dyDescent="0.25">
      <c r="V2174"/>
    </row>
    <row r="2175" spans="22:22" ht="15" x14ac:dyDescent="0.25">
      <c r="V2175"/>
    </row>
    <row r="2176" spans="22:22" ht="15" x14ac:dyDescent="0.25">
      <c r="V2176"/>
    </row>
    <row r="2177" spans="22:22" ht="15" x14ac:dyDescent="0.25">
      <c r="V2177"/>
    </row>
    <row r="2178" spans="22:22" ht="15" x14ac:dyDescent="0.25">
      <c r="V2178"/>
    </row>
    <row r="2179" spans="22:22" ht="15" x14ac:dyDescent="0.25">
      <c r="V2179"/>
    </row>
    <row r="2180" spans="22:22" ht="15" x14ac:dyDescent="0.25">
      <c r="V2180"/>
    </row>
    <row r="2181" spans="22:22" ht="15" x14ac:dyDescent="0.25">
      <c r="V2181"/>
    </row>
    <row r="2182" spans="22:22" ht="15" x14ac:dyDescent="0.25">
      <c r="V2182"/>
    </row>
    <row r="2183" spans="22:22" ht="15" x14ac:dyDescent="0.25">
      <c r="V2183"/>
    </row>
    <row r="2184" spans="22:22" ht="15" x14ac:dyDescent="0.25">
      <c r="V2184"/>
    </row>
    <row r="2185" spans="22:22" ht="15" x14ac:dyDescent="0.25">
      <c r="V2185"/>
    </row>
    <row r="2186" spans="22:22" ht="15" x14ac:dyDescent="0.25">
      <c r="V2186"/>
    </row>
    <row r="2187" spans="22:22" ht="15" x14ac:dyDescent="0.25">
      <c r="V2187"/>
    </row>
    <row r="2188" spans="22:22" ht="15" x14ac:dyDescent="0.25">
      <c r="V2188"/>
    </row>
    <row r="2189" spans="22:22" ht="15" x14ac:dyDescent="0.25">
      <c r="V2189"/>
    </row>
    <row r="2190" spans="22:22" ht="15" x14ac:dyDescent="0.25">
      <c r="V2190"/>
    </row>
    <row r="2191" spans="22:22" ht="15" x14ac:dyDescent="0.25">
      <c r="V2191"/>
    </row>
    <row r="2192" spans="22:22" ht="15" x14ac:dyDescent="0.25">
      <c r="V2192"/>
    </row>
    <row r="2193" spans="22:22" ht="15" x14ac:dyDescent="0.25">
      <c r="V2193"/>
    </row>
    <row r="2194" spans="22:22" ht="15" x14ac:dyDescent="0.25">
      <c r="V2194"/>
    </row>
    <row r="2195" spans="22:22" ht="15" x14ac:dyDescent="0.25">
      <c r="V2195"/>
    </row>
    <row r="2196" spans="22:22" ht="15" x14ac:dyDescent="0.25">
      <c r="V2196"/>
    </row>
    <row r="2197" spans="22:22" ht="15" x14ac:dyDescent="0.25">
      <c r="V2197"/>
    </row>
    <row r="2198" spans="22:22" ht="15" x14ac:dyDescent="0.25">
      <c r="V2198"/>
    </row>
    <row r="2199" spans="22:22" ht="15" x14ac:dyDescent="0.25">
      <c r="V2199"/>
    </row>
    <row r="2200" spans="22:22" ht="15" x14ac:dyDescent="0.25">
      <c r="V2200"/>
    </row>
    <row r="2201" spans="22:22" ht="15" x14ac:dyDescent="0.25">
      <c r="V2201"/>
    </row>
    <row r="2202" spans="22:22" ht="15" x14ac:dyDescent="0.25">
      <c r="V2202"/>
    </row>
    <row r="2203" spans="22:22" ht="15" x14ac:dyDescent="0.25">
      <c r="V2203"/>
    </row>
    <row r="2204" spans="22:22" ht="15" x14ac:dyDescent="0.25">
      <c r="V2204"/>
    </row>
    <row r="2205" spans="22:22" ht="15" x14ac:dyDescent="0.25">
      <c r="V2205"/>
    </row>
    <row r="2206" spans="22:22" ht="15" x14ac:dyDescent="0.25">
      <c r="V2206"/>
    </row>
    <row r="2207" spans="22:22" ht="15" x14ac:dyDescent="0.25">
      <c r="V2207"/>
    </row>
    <row r="2208" spans="22:22" ht="15" x14ac:dyDescent="0.25">
      <c r="V2208"/>
    </row>
    <row r="2209" spans="22:22" ht="15" x14ac:dyDescent="0.25">
      <c r="V2209"/>
    </row>
    <row r="2210" spans="22:22" ht="15" x14ac:dyDescent="0.25">
      <c r="V2210"/>
    </row>
    <row r="2211" spans="22:22" ht="15" x14ac:dyDescent="0.25">
      <c r="V2211"/>
    </row>
    <row r="2212" spans="22:22" ht="15" x14ac:dyDescent="0.25">
      <c r="V2212"/>
    </row>
    <row r="2213" spans="22:22" ht="15" x14ac:dyDescent="0.25">
      <c r="V2213"/>
    </row>
    <row r="2214" spans="22:22" ht="15" x14ac:dyDescent="0.25">
      <c r="V2214"/>
    </row>
    <row r="2215" spans="22:22" ht="15" x14ac:dyDescent="0.25">
      <c r="V2215"/>
    </row>
    <row r="2216" spans="22:22" ht="15" x14ac:dyDescent="0.25">
      <c r="V2216"/>
    </row>
    <row r="2217" spans="22:22" ht="15" x14ac:dyDescent="0.25">
      <c r="V2217"/>
    </row>
    <row r="2218" spans="22:22" ht="15" x14ac:dyDescent="0.25">
      <c r="V2218"/>
    </row>
    <row r="2219" spans="22:22" ht="15" x14ac:dyDescent="0.25">
      <c r="V2219"/>
    </row>
    <row r="2220" spans="22:22" ht="15" x14ac:dyDescent="0.25">
      <c r="V2220"/>
    </row>
    <row r="2221" spans="22:22" ht="15" x14ac:dyDescent="0.25">
      <c r="V2221"/>
    </row>
    <row r="2222" spans="22:22" ht="15" x14ac:dyDescent="0.25">
      <c r="V2222"/>
    </row>
    <row r="2223" spans="22:22" ht="15" x14ac:dyDescent="0.25">
      <c r="V2223"/>
    </row>
    <row r="2224" spans="22:22" ht="15" x14ac:dyDescent="0.25">
      <c r="V2224"/>
    </row>
    <row r="2225" spans="22:22" ht="15" x14ac:dyDescent="0.25">
      <c r="V2225"/>
    </row>
    <row r="2226" spans="22:22" ht="15" x14ac:dyDescent="0.25">
      <c r="V2226"/>
    </row>
    <row r="2227" spans="22:22" ht="15" x14ac:dyDescent="0.25">
      <c r="V2227"/>
    </row>
    <row r="2228" spans="22:22" ht="15" x14ac:dyDescent="0.25">
      <c r="V2228"/>
    </row>
    <row r="2229" spans="22:22" ht="15" x14ac:dyDescent="0.25">
      <c r="V2229"/>
    </row>
    <row r="2230" spans="22:22" ht="15" x14ac:dyDescent="0.25">
      <c r="V2230"/>
    </row>
    <row r="2231" spans="22:22" ht="15" x14ac:dyDescent="0.25">
      <c r="V2231"/>
    </row>
    <row r="2232" spans="22:22" ht="15" x14ac:dyDescent="0.25">
      <c r="V2232"/>
    </row>
    <row r="2233" spans="22:22" ht="15" x14ac:dyDescent="0.25">
      <c r="V2233"/>
    </row>
    <row r="2234" spans="22:22" ht="15" x14ac:dyDescent="0.25">
      <c r="V2234"/>
    </row>
    <row r="2235" spans="22:22" ht="15" x14ac:dyDescent="0.25">
      <c r="V2235"/>
    </row>
    <row r="2236" spans="22:22" ht="15" x14ac:dyDescent="0.25">
      <c r="V2236"/>
    </row>
    <row r="2237" spans="22:22" ht="15" x14ac:dyDescent="0.25">
      <c r="V2237"/>
    </row>
    <row r="2238" spans="22:22" ht="15" x14ac:dyDescent="0.25">
      <c r="V2238"/>
    </row>
    <row r="2239" spans="22:22" ht="15" x14ac:dyDescent="0.25">
      <c r="V2239"/>
    </row>
    <row r="2240" spans="22:22" ht="15" x14ac:dyDescent="0.25">
      <c r="V2240"/>
    </row>
    <row r="2241" spans="22:22" ht="15" x14ac:dyDescent="0.25">
      <c r="V2241"/>
    </row>
    <row r="2242" spans="22:22" ht="15" x14ac:dyDescent="0.25">
      <c r="V2242"/>
    </row>
    <row r="2243" spans="22:22" ht="15" x14ac:dyDescent="0.25">
      <c r="V2243"/>
    </row>
    <row r="2244" spans="22:22" ht="15" x14ac:dyDescent="0.25">
      <c r="V2244"/>
    </row>
    <row r="2245" spans="22:22" ht="15" x14ac:dyDescent="0.25">
      <c r="V2245"/>
    </row>
    <row r="2246" spans="22:22" ht="15" x14ac:dyDescent="0.25">
      <c r="V2246"/>
    </row>
    <row r="2247" spans="22:22" ht="15" x14ac:dyDescent="0.25">
      <c r="V2247"/>
    </row>
    <row r="2248" spans="22:22" ht="15" x14ac:dyDescent="0.25">
      <c r="V2248"/>
    </row>
    <row r="2249" spans="22:22" ht="15" x14ac:dyDescent="0.25">
      <c r="V2249"/>
    </row>
    <row r="2250" spans="22:22" ht="15" x14ac:dyDescent="0.25">
      <c r="V2250"/>
    </row>
    <row r="2251" spans="22:22" ht="15" x14ac:dyDescent="0.25">
      <c r="V2251"/>
    </row>
    <row r="2252" spans="22:22" ht="15" x14ac:dyDescent="0.25">
      <c r="V2252"/>
    </row>
    <row r="2253" spans="22:22" ht="15" x14ac:dyDescent="0.25">
      <c r="V2253"/>
    </row>
    <row r="2254" spans="22:22" ht="15" x14ac:dyDescent="0.25">
      <c r="V2254"/>
    </row>
    <row r="2255" spans="22:22" ht="15" x14ac:dyDescent="0.25">
      <c r="V2255"/>
    </row>
    <row r="2256" spans="22:22" ht="15" x14ac:dyDescent="0.25">
      <c r="V2256"/>
    </row>
    <row r="2257" spans="22:22" ht="15" x14ac:dyDescent="0.25">
      <c r="V2257"/>
    </row>
    <row r="2258" spans="22:22" ht="15" x14ac:dyDescent="0.25">
      <c r="V2258"/>
    </row>
    <row r="2259" spans="22:22" ht="15" x14ac:dyDescent="0.25">
      <c r="V2259"/>
    </row>
    <row r="2260" spans="22:22" ht="15" x14ac:dyDescent="0.25">
      <c r="V2260"/>
    </row>
    <row r="2261" spans="22:22" ht="15" x14ac:dyDescent="0.25">
      <c r="V2261"/>
    </row>
    <row r="2262" spans="22:22" ht="15" x14ac:dyDescent="0.25">
      <c r="V2262"/>
    </row>
    <row r="2263" spans="22:22" ht="15" x14ac:dyDescent="0.25">
      <c r="V2263"/>
    </row>
    <row r="2264" spans="22:22" ht="15" x14ac:dyDescent="0.25">
      <c r="V2264"/>
    </row>
    <row r="2265" spans="22:22" ht="15" x14ac:dyDescent="0.25">
      <c r="V2265"/>
    </row>
    <row r="2266" spans="22:22" ht="15" x14ac:dyDescent="0.25">
      <c r="V2266"/>
    </row>
    <row r="2267" spans="22:22" ht="15" x14ac:dyDescent="0.25">
      <c r="V2267"/>
    </row>
    <row r="2268" spans="22:22" ht="15" x14ac:dyDescent="0.25">
      <c r="V2268"/>
    </row>
    <row r="2269" spans="22:22" ht="15" x14ac:dyDescent="0.25">
      <c r="V2269"/>
    </row>
    <row r="2270" spans="22:22" ht="15" x14ac:dyDescent="0.25">
      <c r="V2270"/>
    </row>
    <row r="2271" spans="22:22" ht="15" x14ac:dyDescent="0.25">
      <c r="V2271"/>
    </row>
    <row r="2272" spans="22:22" ht="15" x14ac:dyDescent="0.25">
      <c r="V2272"/>
    </row>
    <row r="2273" spans="22:22" ht="15" x14ac:dyDescent="0.25">
      <c r="V2273"/>
    </row>
    <row r="2274" spans="22:22" ht="15" x14ac:dyDescent="0.25">
      <c r="V2274"/>
    </row>
    <row r="2275" spans="22:22" ht="15" x14ac:dyDescent="0.25">
      <c r="V2275"/>
    </row>
    <row r="2276" spans="22:22" ht="15" x14ac:dyDescent="0.25">
      <c r="V2276"/>
    </row>
    <row r="2277" spans="22:22" ht="15" x14ac:dyDescent="0.25">
      <c r="V2277"/>
    </row>
    <row r="2278" spans="22:22" ht="15" x14ac:dyDescent="0.25">
      <c r="V2278"/>
    </row>
    <row r="2279" spans="22:22" ht="15" x14ac:dyDescent="0.25">
      <c r="V2279"/>
    </row>
    <row r="2280" spans="22:22" ht="15" x14ac:dyDescent="0.25">
      <c r="V2280"/>
    </row>
    <row r="2281" spans="22:22" ht="15" x14ac:dyDescent="0.25">
      <c r="V2281"/>
    </row>
    <row r="2282" spans="22:22" ht="15" x14ac:dyDescent="0.25">
      <c r="V2282"/>
    </row>
    <row r="2283" spans="22:22" ht="15" x14ac:dyDescent="0.25">
      <c r="V2283"/>
    </row>
    <row r="2284" spans="22:22" ht="15" x14ac:dyDescent="0.25">
      <c r="V2284"/>
    </row>
    <row r="2285" spans="22:22" ht="15" x14ac:dyDescent="0.25">
      <c r="V2285"/>
    </row>
    <row r="2286" spans="22:22" ht="15" x14ac:dyDescent="0.25">
      <c r="V2286"/>
    </row>
    <row r="2287" spans="22:22" ht="15" x14ac:dyDescent="0.25">
      <c r="V2287"/>
    </row>
    <row r="2288" spans="22:22" ht="15" x14ac:dyDescent="0.25">
      <c r="V2288"/>
    </row>
    <row r="2289" spans="22:22" ht="15" x14ac:dyDescent="0.25">
      <c r="V2289"/>
    </row>
    <row r="2290" spans="22:22" ht="15" x14ac:dyDescent="0.25">
      <c r="V2290"/>
    </row>
    <row r="2291" spans="22:22" ht="15" x14ac:dyDescent="0.25">
      <c r="V2291"/>
    </row>
    <row r="2292" spans="22:22" ht="15" x14ac:dyDescent="0.25">
      <c r="V2292"/>
    </row>
    <row r="2293" spans="22:22" ht="15" x14ac:dyDescent="0.25">
      <c r="V2293"/>
    </row>
    <row r="2294" spans="22:22" ht="15" x14ac:dyDescent="0.25">
      <c r="V2294"/>
    </row>
    <row r="2295" spans="22:22" ht="15" x14ac:dyDescent="0.25">
      <c r="V2295"/>
    </row>
    <row r="2296" spans="22:22" ht="15" x14ac:dyDescent="0.25">
      <c r="V2296"/>
    </row>
    <row r="2297" spans="22:22" ht="15" x14ac:dyDescent="0.25">
      <c r="V2297"/>
    </row>
    <row r="2298" spans="22:22" ht="15" x14ac:dyDescent="0.25">
      <c r="V2298"/>
    </row>
    <row r="2299" spans="22:22" ht="15" x14ac:dyDescent="0.25">
      <c r="V2299"/>
    </row>
    <row r="2300" spans="22:22" ht="15" x14ac:dyDescent="0.25">
      <c r="V2300"/>
    </row>
    <row r="2301" spans="22:22" ht="15" x14ac:dyDescent="0.25">
      <c r="V2301"/>
    </row>
    <row r="2302" spans="22:22" ht="15" x14ac:dyDescent="0.25">
      <c r="V2302"/>
    </row>
    <row r="2303" spans="22:22" ht="15" x14ac:dyDescent="0.25">
      <c r="V2303"/>
    </row>
    <row r="2304" spans="22:22" ht="15" x14ac:dyDescent="0.25">
      <c r="V2304"/>
    </row>
    <row r="2305" spans="22:22" ht="15" x14ac:dyDescent="0.25">
      <c r="V2305"/>
    </row>
    <row r="2306" spans="22:22" ht="15" x14ac:dyDescent="0.25">
      <c r="V2306"/>
    </row>
    <row r="2307" spans="22:22" ht="15" x14ac:dyDescent="0.25">
      <c r="V2307"/>
    </row>
    <row r="2308" spans="22:22" ht="15" x14ac:dyDescent="0.25">
      <c r="V2308"/>
    </row>
    <row r="2309" spans="22:22" ht="15" x14ac:dyDescent="0.25">
      <c r="V2309"/>
    </row>
    <row r="2310" spans="22:22" ht="15" x14ac:dyDescent="0.25">
      <c r="V2310"/>
    </row>
    <row r="2311" spans="22:22" ht="15" x14ac:dyDescent="0.25">
      <c r="V2311"/>
    </row>
    <row r="2312" spans="22:22" ht="15" x14ac:dyDescent="0.25">
      <c r="V2312"/>
    </row>
    <row r="2313" spans="22:22" ht="15" x14ac:dyDescent="0.25">
      <c r="V2313"/>
    </row>
    <row r="2314" spans="22:22" ht="15" x14ac:dyDescent="0.25">
      <c r="V2314"/>
    </row>
    <row r="2315" spans="22:22" ht="15" x14ac:dyDescent="0.25">
      <c r="V2315"/>
    </row>
    <row r="2316" spans="22:22" ht="15" x14ac:dyDescent="0.25">
      <c r="V2316"/>
    </row>
    <row r="2317" spans="22:22" ht="15" x14ac:dyDescent="0.25">
      <c r="V2317"/>
    </row>
    <row r="2318" spans="22:22" ht="15" x14ac:dyDescent="0.25">
      <c r="V2318"/>
    </row>
    <row r="2319" spans="22:22" ht="15" x14ac:dyDescent="0.25">
      <c r="V2319"/>
    </row>
    <row r="2320" spans="22:22" ht="15" x14ac:dyDescent="0.25">
      <c r="V2320"/>
    </row>
    <row r="2321" spans="22:22" ht="15" x14ac:dyDescent="0.25">
      <c r="V2321"/>
    </row>
    <row r="2322" spans="22:22" ht="15" x14ac:dyDescent="0.25">
      <c r="V2322"/>
    </row>
    <row r="2323" spans="22:22" ht="15" x14ac:dyDescent="0.25">
      <c r="V2323"/>
    </row>
    <row r="2324" spans="22:22" ht="15" x14ac:dyDescent="0.25">
      <c r="V2324"/>
    </row>
    <row r="2325" spans="22:22" ht="15" x14ac:dyDescent="0.25">
      <c r="V2325"/>
    </row>
    <row r="2326" spans="22:22" ht="15" x14ac:dyDescent="0.25">
      <c r="V2326"/>
    </row>
    <row r="2327" spans="22:22" ht="15" x14ac:dyDescent="0.25">
      <c r="V2327"/>
    </row>
    <row r="2328" spans="22:22" ht="15" x14ac:dyDescent="0.25">
      <c r="V2328"/>
    </row>
    <row r="2329" spans="22:22" ht="15" x14ac:dyDescent="0.25">
      <c r="V2329"/>
    </row>
    <row r="2330" spans="22:22" ht="15" x14ac:dyDescent="0.25">
      <c r="V2330"/>
    </row>
    <row r="2331" spans="22:22" ht="15" x14ac:dyDescent="0.25">
      <c r="V2331"/>
    </row>
    <row r="2332" spans="22:22" ht="15" x14ac:dyDescent="0.25">
      <c r="V2332"/>
    </row>
    <row r="2333" spans="22:22" ht="15" x14ac:dyDescent="0.25">
      <c r="V2333"/>
    </row>
    <row r="2334" spans="22:22" ht="15" x14ac:dyDescent="0.25">
      <c r="V2334"/>
    </row>
    <row r="2335" spans="22:22" ht="15" x14ac:dyDescent="0.25">
      <c r="V2335"/>
    </row>
    <row r="2336" spans="22:22" ht="15" x14ac:dyDescent="0.25">
      <c r="V2336"/>
    </row>
    <row r="2337" spans="22:22" ht="15" x14ac:dyDescent="0.25">
      <c r="V2337"/>
    </row>
    <row r="2338" spans="22:22" ht="15" x14ac:dyDescent="0.25">
      <c r="V2338"/>
    </row>
    <row r="2339" spans="22:22" ht="15" x14ac:dyDescent="0.25">
      <c r="V2339"/>
    </row>
    <row r="2340" spans="22:22" ht="15" x14ac:dyDescent="0.25">
      <c r="V2340"/>
    </row>
    <row r="2341" spans="22:22" ht="15" x14ac:dyDescent="0.25">
      <c r="V2341"/>
    </row>
    <row r="2342" spans="22:22" ht="15" x14ac:dyDescent="0.25">
      <c r="V2342"/>
    </row>
    <row r="2343" spans="22:22" ht="15" x14ac:dyDescent="0.25">
      <c r="V2343"/>
    </row>
    <row r="2344" spans="22:22" ht="15" x14ac:dyDescent="0.25">
      <c r="V2344"/>
    </row>
    <row r="2345" spans="22:22" ht="15" x14ac:dyDescent="0.25">
      <c r="V2345"/>
    </row>
    <row r="2346" spans="22:22" ht="15" x14ac:dyDescent="0.25">
      <c r="V2346"/>
    </row>
    <row r="2347" spans="22:22" ht="15" x14ac:dyDescent="0.25">
      <c r="V2347"/>
    </row>
    <row r="2348" spans="22:22" ht="15" x14ac:dyDescent="0.25">
      <c r="V2348"/>
    </row>
    <row r="2349" spans="22:22" ht="15" x14ac:dyDescent="0.25">
      <c r="V2349"/>
    </row>
    <row r="2350" spans="22:22" ht="15" x14ac:dyDescent="0.25">
      <c r="V2350"/>
    </row>
    <row r="2351" spans="22:22" ht="15" x14ac:dyDescent="0.25">
      <c r="V2351"/>
    </row>
    <row r="2352" spans="22:22" ht="15" x14ac:dyDescent="0.25">
      <c r="V2352"/>
    </row>
    <row r="2353" spans="22:22" ht="15" x14ac:dyDescent="0.25">
      <c r="V2353"/>
    </row>
    <row r="2354" spans="22:22" ht="15" x14ac:dyDescent="0.25">
      <c r="V2354"/>
    </row>
    <row r="2355" spans="22:22" ht="15" x14ac:dyDescent="0.25">
      <c r="V2355"/>
    </row>
    <row r="2356" spans="22:22" ht="15" x14ac:dyDescent="0.25">
      <c r="V2356"/>
    </row>
    <row r="2357" spans="22:22" ht="15" x14ac:dyDescent="0.25">
      <c r="V2357"/>
    </row>
    <row r="2358" spans="22:22" ht="15" x14ac:dyDescent="0.25">
      <c r="V2358"/>
    </row>
    <row r="2359" spans="22:22" ht="15" x14ac:dyDescent="0.25">
      <c r="V2359"/>
    </row>
    <row r="2360" spans="22:22" ht="15" x14ac:dyDescent="0.25">
      <c r="V2360"/>
    </row>
    <row r="2361" spans="22:22" ht="15" x14ac:dyDescent="0.25">
      <c r="V2361"/>
    </row>
    <row r="2362" spans="22:22" ht="15" x14ac:dyDescent="0.25">
      <c r="V2362"/>
    </row>
    <row r="2363" spans="22:22" ht="15" x14ac:dyDescent="0.25">
      <c r="V2363"/>
    </row>
    <row r="2364" spans="22:22" ht="15" x14ac:dyDescent="0.25">
      <c r="V2364"/>
    </row>
    <row r="2365" spans="22:22" ht="15" x14ac:dyDescent="0.25">
      <c r="V2365"/>
    </row>
    <row r="2366" spans="22:22" ht="15" x14ac:dyDescent="0.25">
      <c r="V2366"/>
    </row>
    <row r="2367" spans="22:22" ht="15" x14ac:dyDescent="0.25">
      <c r="V2367"/>
    </row>
    <row r="2368" spans="22:22" ht="15" x14ac:dyDescent="0.25">
      <c r="V2368"/>
    </row>
    <row r="2369" spans="22:22" ht="15" x14ac:dyDescent="0.25">
      <c r="V2369"/>
    </row>
    <row r="2370" spans="22:22" ht="15" x14ac:dyDescent="0.25">
      <c r="V2370"/>
    </row>
    <row r="2371" spans="22:22" ht="15" x14ac:dyDescent="0.25">
      <c r="V2371"/>
    </row>
    <row r="2372" spans="22:22" ht="15" x14ac:dyDescent="0.25">
      <c r="V2372"/>
    </row>
    <row r="2373" spans="22:22" ht="15" x14ac:dyDescent="0.25">
      <c r="V2373"/>
    </row>
    <row r="2374" spans="22:22" ht="15" x14ac:dyDescent="0.25">
      <c r="V2374"/>
    </row>
    <row r="2375" spans="22:22" ht="15" x14ac:dyDescent="0.25">
      <c r="V2375"/>
    </row>
    <row r="2376" spans="22:22" ht="15" x14ac:dyDescent="0.25">
      <c r="V2376"/>
    </row>
    <row r="2377" spans="22:22" ht="15" x14ac:dyDescent="0.25">
      <c r="V2377"/>
    </row>
    <row r="2378" spans="22:22" ht="15" x14ac:dyDescent="0.25">
      <c r="V2378"/>
    </row>
    <row r="2379" spans="22:22" ht="15" x14ac:dyDescent="0.25">
      <c r="V2379"/>
    </row>
    <row r="2380" spans="22:22" ht="15" x14ac:dyDescent="0.25">
      <c r="V2380"/>
    </row>
    <row r="2381" spans="22:22" ht="15" x14ac:dyDescent="0.25">
      <c r="V2381"/>
    </row>
    <row r="2382" spans="22:22" ht="15" x14ac:dyDescent="0.25">
      <c r="V2382"/>
    </row>
    <row r="2383" spans="22:22" ht="15" x14ac:dyDescent="0.25">
      <c r="V2383"/>
    </row>
    <row r="2384" spans="22:22" ht="15" x14ac:dyDescent="0.25">
      <c r="V2384"/>
    </row>
    <row r="2385" spans="22:22" ht="15" x14ac:dyDescent="0.25">
      <c r="V2385"/>
    </row>
    <row r="2386" spans="22:22" ht="15" x14ac:dyDescent="0.25">
      <c r="V2386"/>
    </row>
    <row r="2387" spans="22:22" ht="15" x14ac:dyDescent="0.25">
      <c r="V2387"/>
    </row>
    <row r="2388" spans="22:22" ht="15" x14ac:dyDescent="0.25">
      <c r="V2388"/>
    </row>
    <row r="2389" spans="22:22" ht="15" x14ac:dyDescent="0.25">
      <c r="V2389"/>
    </row>
    <row r="2390" spans="22:22" ht="15" x14ac:dyDescent="0.25">
      <c r="V2390"/>
    </row>
    <row r="2391" spans="22:22" ht="15" x14ac:dyDescent="0.25">
      <c r="V2391"/>
    </row>
    <row r="2392" spans="22:22" ht="15" x14ac:dyDescent="0.25">
      <c r="V2392"/>
    </row>
    <row r="2393" spans="22:22" ht="15" x14ac:dyDescent="0.25">
      <c r="V2393"/>
    </row>
    <row r="2394" spans="22:22" ht="15" x14ac:dyDescent="0.25">
      <c r="V2394"/>
    </row>
    <row r="2395" spans="22:22" ht="15" x14ac:dyDescent="0.25">
      <c r="V2395"/>
    </row>
    <row r="2396" spans="22:22" ht="15" x14ac:dyDescent="0.25">
      <c r="V2396"/>
    </row>
    <row r="2397" spans="22:22" ht="15" x14ac:dyDescent="0.25">
      <c r="V2397"/>
    </row>
    <row r="2398" spans="22:22" ht="15" x14ac:dyDescent="0.25">
      <c r="V2398"/>
    </row>
    <row r="2399" spans="22:22" ht="15" x14ac:dyDescent="0.25">
      <c r="V2399"/>
    </row>
    <row r="2400" spans="22:22" ht="15" x14ac:dyDescent="0.25">
      <c r="V2400"/>
    </row>
    <row r="2401" spans="22:22" ht="15" x14ac:dyDescent="0.25">
      <c r="V2401"/>
    </row>
    <row r="2402" spans="22:22" ht="15" x14ac:dyDescent="0.25">
      <c r="V2402"/>
    </row>
    <row r="2403" spans="22:22" ht="15" x14ac:dyDescent="0.25">
      <c r="V2403"/>
    </row>
    <row r="2404" spans="22:22" ht="15" x14ac:dyDescent="0.25">
      <c r="V2404"/>
    </row>
    <row r="2405" spans="22:22" ht="15" x14ac:dyDescent="0.25">
      <c r="V2405"/>
    </row>
    <row r="2406" spans="22:22" ht="15" x14ac:dyDescent="0.25">
      <c r="V2406"/>
    </row>
    <row r="2407" spans="22:22" ht="15" x14ac:dyDescent="0.25">
      <c r="V2407"/>
    </row>
    <row r="2408" spans="22:22" ht="15" x14ac:dyDescent="0.25">
      <c r="V2408"/>
    </row>
    <row r="2409" spans="22:22" ht="15" x14ac:dyDescent="0.25">
      <c r="V2409"/>
    </row>
    <row r="2410" spans="22:22" ht="15" x14ac:dyDescent="0.25">
      <c r="V2410"/>
    </row>
    <row r="2411" spans="22:22" ht="15" x14ac:dyDescent="0.25">
      <c r="V2411"/>
    </row>
    <row r="2412" spans="22:22" ht="15" x14ac:dyDescent="0.25">
      <c r="V2412"/>
    </row>
    <row r="2413" spans="22:22" ht="15" x14ac:dyDescent="0.25">
      <c r="V2413"/>
    </row>
    <row r="2414" spans="22:22" ht="15" x14ac:dyDescent="0.25">
      <c r="V2414"/>
    </row>
    <row r="2415" spans="22:22" ht="15" x14ac:dyDescent="0.25">
      <c r="V2415"/>
    </row>
    <row r="2416" spans="22:22" ht="15" x14ac:dyDescent="0.25">
      <c r="V2416"/>
    </row>
    <row r="2417" spans="22:22" ht="15" x14ac:dyDescent="0.25">
      <c r="V2417"/>
    </row>
    <row r="2418" spans="22:22" ht="15" x14ac:dyDescent="0.25">
      <c r="V2418"/>
    </row>
    <row r="2419" spans="22:22" ht="15" x14ac:dyDescent="0.25">
      <c r="V2419"/>
    </row>
    <row r="2420" spans="22:22" ht="15" x14ac:dyDescent="0.25">
      <c r="V2420"/>
    </row>
    <row r="2421" spans="22:22" ht="15" x14ac:dyDescent="0.25">
      <c r="V2421"/>
    </row>
    <row r="2422" spans="22:22" ht="15" x14ac:dyDescent="0.25">
      <c r="V2422"/>
    </row>
    <row r="2423" spans="22:22" ht="15" x14ac:dyDescent="0.25">
      <c r="V2423"/>
    </row>
    <row r="2424" spans="22:22" ht="15" x14ac:dyDescent="0.25">
      <c r="V2424"/>
    </row>
    <row r="2425" spans="22:22" ht="15" x14ac:dyDescent="0.25">
      <c r="V2425"/>
    </row>
    <row r="2426" spans="22:22" ht="15" x14ac:dyDescent="0.25">
      <c r="V2426"/>
    </row>
    <row r="2427" spans="22:22" ht="15" x14ac:dyDescent="0.25">
      <c r="V2427"/>
    </row>
    <row r="2428" spans="22:22" ht="15" x14ac:dyDescent="0.25">
      <c r="V2428"/>
    </row>
    <row r="2429" spans="22:22" ht="15" x14ac:dyDescent="0.25">
      <c r="V2429"/>
    </row>
    <row r="2430" spans="22:22" ht="15" x14ac:dyDescent="0.25">
      <c r="V2430"/>
    </row>
    <row r="2431" spans="22:22" ht="15" x14ac:dyDescent="0.25">
      <c r="V2431"/>
    </row>
    <row r="2432" spans="22:22" ht="15" x14ac:dyDescent="0.25">
      <c r="V2432"/>
    </row>
    <row r="2433" spans="22:22" ht="15" x14ac:dyDescent="0.25">
      <c r="V2433"/>
    </row>
    <row r="2434" spans="22:22" ht="15" x14ac:dyDescent="0.25">
      <c r="V2434"/>
    </row>
    <row r="2435" spans="22:22" ht="15" x14ac:dyDescent="0.25">
      <c r="V2435"/>
    </row>
    <row r="2436" spans="22:22" ht="15" x14ac:dyDescent="0.25">
      <c r="V2436"/>
    </row>
    <row r="2437" spans="22:22" ht="15" x14ac:dyDescent="0.25">
      <c r="V2437"/>
    </row>
    <row r="2438" spans="22:22" ht="15" x14ac:dyDescent="0.25">
      <c r="V2438"/>
    </row>
    <row r="2439" spans="22:22" ht="15" x14ac:dyDescent="0.25">
      <c r="V2439"/>
    </row>
    <row r="2440" spans="22:22" ht="15" x14ac:dyDescent="0.25">
      <c r="V2440"/>
    </row>
    <row r="2441" spans="22:22" ht="15" x14ac:dyDescent="0.25">
      <c r="V2441"/>
    </row>
    <row r="2442" spans="22:22" ht="15" x14ac:dyDescent="0.25">
      <c r="V2442"/>
    </row>
    <row r="2443" spans="22:22" ht="15" x14ac:dyDescent="0.25">
      <c r="V2443"/>
    </row>
    <row r="2444" spans="22:22" ht="15" x14ac:dyDescent="0.25">
      <c r="V2444"/>
    </row>
    <row r="2445" spans="22:22" ht="15" x14ac:dyDescent="0.25">
      <c r="V2445"/>
    </row>
    <row r="2446" spans="22:22" ht="15" x14ac:dyDescent="0.25">
      <c r="V2446"/>
    </row>
    <row r="2447" spans="22:22" ht="15" x14ac:dyDescent="0.25">
      <c r="V2447"/>
    </row>
    <row r="2448" spans="22:22" ht="15" x14ac:dyDescent="0.25">
      <c r="V2448"/>
    </row>
    <row r="2449" spans="22:22" ht="15" x14ac:dyDescent="0.25">
      <c r="V2449"/>
    </row>
    <row r="2450" spans="22:22" ht="15" x14ac:dyDescent="0.25">
      <c r="V2450"/>
    </row>
    <row r="2451" spans="22:22" ht="15" x14ac:dyDescent="0.25">
      <c r="V2451"/>
    </row>
    <row r="2452" spans="22:22" ht="15" x14ac:dyDescent="0.25">
      <c r="V2452"/>
    </row>
    <row r="2453" spans="22:22" ht="15" x14ac:dyDescent="0.25">
      <c r="V2453"/>
    </row>
    <row r="2454" spans="22:22" ht="15" x14ac:dyDescent="0.25">
      <c r="V2454"/>
    </row>
    <row r="2455" spans="22:22" ht="15" x14ac:dyDescent="0.25">
      <c r="V2455"/>
    </row>
    <row r="2456" spans="22:22" ht="15" x14ac:dyDescent="0.25">
      <c r="V2456"/>
    </row>
    <row r="2457" spans="22:22" ht="15" x14ac:dyDescent="0.25">
      <c r="V2457"/>
    </row>
    <row r="2458" spans="22:22" ht="15" x14ac:dyDescent="0.25">
      <c r="V2458"/>
    </row>
    <row r="2459" spans="22:22" ht="15" x14ac:dyDescent="0.25">
      <c r="V2459"/>
    </row>
    <row r="2460" spans="22:22" ht="15" x14ac:dyDescent="0.25">
      <c r="V2460"/>
    </row>
    <row r="2461" spans="22:22" ht="15" x14ac:dyDescent="0.25">
      <c r="V2461"/>
    </row>
    <row r="2462" spans="22:22" ht="15" x14ac:dyDescent="0.25">
      <c r="V2462"/>
    </row>
    <row r="2463" spans="22:22" ht="15" x14ac:dyDescent="0.25">
      <c r="V2463"/>
    </row>
    <row r="2464" spans="22:22" ht="15" x14ac:dyDescent="0.25">
      <c r="V2464"/>
    </row>
    <row r="2465" spans="22:22" ht="15" x14ac:dyDescent="0.25">
      <c r="V2465"/>
    </row>
    <row r="2466" spans="22:22" ht="15" x14ac:dyDescent="0.25">
      <c r="V2466"/>
    </row>
    <row r="2467" spans="22:22" ht="15" x14ac:dyDescent="0.25">
      <c r="V2467"/>
    </row>
    <row r="2468" spans="22:22" ht="15" x14ac:dyDescent="0.25">
      <c r="V2468"/>
    </row>
    <row r="2469" spans="22:22" ht="15" x14ac:dyDescent="0.25">
      <c r="V2469"/>
    </row>
    <row r="2470" spans="22:22" ht="15" x14ac:dyDescent="0.25">
      <c r="V2470"/>
    </row>
    <row r="2471" spans="22:22" ht="15" x14ac:dyDescent="0.25">
      <c r="V2471"/>
    </row>
    <row r="2472" spans="22:22" ht="15" x14ac:dyDescent="0.25">
      <c r="V2472"/>
    </row>
    <row r="2473" spans="22:22" ht="15" x14ac:dyDescent="0.25">
      <c r="V2473"/>
    </row>
    <row r="2474" spans="22:22" ht="15" x14ac:dyDescent="0.25">
      <c r="V2474"/>
    </row>
    <row r="2475" spans="22:22" ht="15" x14ac:dyDescent="0.25">
      <c r="V2475"/>
    </row>
    <row r="2476" spans="22:22" ht="15" x14ac:dyDescent="0.25">
      <c r="V2476"/>
    </row>
    <row r="2477" spans="22:22" ht="15" x14ac:dyDescent="0.25">
      <c r="V2477"/>
    </row>
    <row r="2478" spans="22:22" ht="15" x14ac:dyDescent="0.25">
      <c r="V2478"/>
    </row>
    <row r="2479" spans="22:22" ht="15" x14ac:dyDescent="0.25">
      <c r="V2479"/>
    </row>
    <row r="2480" spans="22:22" ht="15" x14ac:dyDescent="0.25">
      <c r="V2480"/>
    </row>
    <row r="2481" spans="22:22" ht="15" x14ac:dyDescent="0.25">
      <c r="V2481"/>
    </row>
    <row r="2482" spans="22:22" ht="15" x14ac:dyDescent="0.25">
      <c r="V2482"/>
    </row>
    <row r="2483" spans="22:22" ht="15" x14ac:dyDescent="0.25">
      <c r="V2483"/>
    </row>
    <row r="2484" spans="22:22" ht="15" x14ac:dyDescent="0.25">
      <c r="V2484"/>
    </row>
    <row r="2485" spans="22:22" ht="15" x14ac:dyDescent="0.25">
      <c r="V2485"/>
    </row>
    <row r="2486" spans="22:22" ht="15" x14ac:dyDescent="0.25">
      <c r="V2486"/>
    </row>
    <row r="2487" spans="22:22" ht="15" x14ac:dyDescent="0.25">
      <c r="V2487"/>
    </row>
    <row r="2488" spans="22:22" ht="15" x14ac:dyDescent="0.25">
      <c r="V2488"/>
    </row>
    <row r="2489" spans="22:22" ht="15" x14ac:dyDescent="0.25">
      <c r="V2489"/>
    </row>
    <row r="2490" spans="22:22" ht="15" x14ac:dyDescent="0.25">
      <c r="V2490"/>
    </row>
    <row r="2491" spans="22:22" ht="15" x14ac:dyDescent="0.25">
      <c r="V2491"/>
    </row>
    <row r="2492" spans="22:22" ht="15" x14ac:dyDescent="0.25">
      <c r="V2492"/>
    </row>
    <row r="2493" spans="22:22" ht="15" x14ac:dyDescent="0.25">
      <c r="V2493"/>
    </row>
    <row r="2494" spans="22:22" ht="15" x14ac:dyDescent="0.25">
      <c r="V2494"/>
    </row>
    <row r="2495" spans="22:22" ht="15" x14ac:dyDescent="0.25">
      <c r="V2495"/>
    </row>
    <row r="2496" spans="22:22" ht="15" x14ac:dyDescent="0.25">
      <c r="V2496"/>
    </row>
    <row r="2497" spans="22:22" ht="15" x14ac:dyDescent="0.25">
      <c r="V2497"/>
    </row>
    <row r="2498" spans="22:22" ht="15" x14ac:dyDescent="0.25">
      <c r="V2498"/>
    </row>
    <row r="2499" spans="22:22" ht="15" x14ac:dyDescent="0.25">
      <c r="V2499"/>
    </row>
    <row r="2500" spans="22:22" ht="15" x14ac:dyDescent="0.25">
      <c r="V2500"/>
    </row>
    <row r="2501" spans="22:22" ht="15" x14ac:dyDescent="0.25">
      <c r="V2501"/>
    </row>
    <row r="2502" spans="22:22" ht="15" x14ac:dyDescent="0.25">
      <c r="V2502"/>
    </row>
    <row r="2503" spans="22:22" ht="15" x14ac:dyDescent="0.25">
      <c r="V2503"/>
    </row>
    <row r="2504" spans="22:22" ht="15" x14ac:dyDescent="0.25">
      <c r="V2504"/>
    </row>
    <row r="2505" spans="22:22" ht="15" x14ac:dyDescent="0.25">
      <c r="V2505"/>
    </row>
    <row r="2506" spans="22:22" ht="15" x14ac:dyDescent="0.25">
      <c r="V2506"/>
    </row>
    <row r="2507" spans="22:22" ht="15" x14ac:dyDescent="0.25">
      <c r="V2507"/>
    </row>
    <row r="2508" spans="22:22" ht="15" x14ac:dyDescent="0.25">
      <c r="V2508"/>
    </row>
    <row r="2509" spans="22:22" ht="15" x14ac:dyDescent="0.25">
      <c r="V2509"/>
    </row>
    <row r="2510" spans="22:22" ht="15" x14ac:dyDescent="0.25">
      <c r="V2510"/>
    </row>
    <row r="2511" spans="22:22" ht="15" x14ac:dyDescent="0.25">
      <c r="V2511"/>
    </row>
    <row r="2512" spans="22:22" ht="15" x14ac:dyDescent="0.25">
      <c r="V2512"/>
    </row>
    <row r="2513" spans="22:22" ht="15" x14ac:dyDescent="0.25">
      <c r="V2513"/>
    </row>
    <row r="2514" spans="22:22" ht="15" x14ac:dyDescent="0.25">
      <c r="V2514"/>
    </row>
    <row r="2515" spans="22:22" ht="15" x14ac:dyDescent="0.25">
      <c r="V2515"/>
    </row>
    <row r="2516" spans="22:22" ht="15" x14ac:dyDescent="0.25">
      <c r="V2516"/>
    </row>
    <row r="2517" spans="22:22" ht="15" x14ac:dyDescent="0.25">
      <c r="V2517"/>
    </row>
    <row r="2518" spans="22:22" ht="15" x14ac:dyDescent="0.25">
      <c r="V2518"/>
    </row>
    <row r="2519" spans="22:22" ht="15" x14ac:dyDescent="0.25">
      <c r="V2519"/>
    </row>
    <row r="2520" spans="22:22" ht="15" x14ac:dyDescent="0.25">
      <c r="V2520"/>
    </row>
    <row r="2521" spans="22:22" ht="15" x14ac:dyDescent="0.25">
      <c r="V2521"/>
    </row>
    <row r="2522" spans="22:22" ht="15" x14ac:dyDescent="0.25">
      <c r="V2522"/>
    </row>
    <row r="2523" spans="22:22" ht="15" x14ac:dyDescent="0.25">
      <c r="V2523"/>
    </row>
    <row r="2524" spans="22:22" ht="15" x14ac:dyDescent="0.25">
      <c r="V2524"/>
    </row>
    <row r="2525" spans="22:22" ht="15" x14ac:dyDescent="0.25">
      <c r="V2525"/>
    </row>
    <row r="2526" spans="22:22" ht="15" x14ac:dyDescent="0.25">
      <c r="V2526"/>
    </row>
    <row r="2527" spans="22:22" ht="15" x14ac:dyDescent="0.25">
      <c r="V2527"/>
    </row>
    <row r="2528" spans="22:22" ht="15" x14ac:dyDescent="0.25">
      <c r="V2528"/>
    </row>
    <row r="2529" spans="22:22" ht="15" x14ac:dyDescent="0.25">
      <c r="V2529"/>
    </row>
    <row r="2530" spans="22:22" ht="15" x14ac:dyDescent="0.25">
      <c r="V2530"/>
    </row>
    <row r="2531" spans="22:22" ht="15" x14ac:dyDescent="0.25">
      <c r="V2531"/>
    </row>
    <row r="2532" spans="22:22" ht="15" x14ac:dyDescent="0.25">
      <c r="V2532"/>
    </row>
    <row r="2533" spans="22:22" ht="15" x14ac:dyDescent="0.25">
      <c r="V2533"/>
    </row>
    <row r="2534" spans="22:22" ht="15" x14ac:dyDescent="0.25">
      <c r="V2534"/>
    </row>
    <row r="2535" spans="22:22" ht="15" x14ac:dyDescent="0.25">
      <c r="V2535"/>
    </row>
    <row r="2536" spans="22:22" ht="15" x14ac:dyDescent="0.25">
      <c r="V2536"/>
    </row>
    <row r="2537" spans="22:22" ht="15" x14ac:dyDescent="0.25">
      <c r="V2537"/>
    </row>
    <row r="2538" spans="22:22" ht="15" x14ac:dyDescent="0.25">
      <c r="V2538"/>
    </row>
    <row r="2539" spans="22:22" ht="15" x14ac:dyDescent="0.25">
      <c r="V2539"/>
    </row>
    <row r="2540" spans="22:22" ht="15" x14ac:dyDescent="0.25">
      <c r="V2540"/>
    </row>
    <row r="2541" spans="22:22" ht="15" x14ac:dyDescent="0.25">
      <c r="V2541"/>
    </row>
    <row r="2542" spans="22:22" ht="15" x14ac:dyDescent="0.25">
      <c r="V2542"/>
    </row>
    <row r="2543" spans="22:22" ht="15" x14ac:dyDescent="0.25">
      <c r="V2543"/>
    </row>
    <row r="2544" spans="22:22" ht="15" x14ac:dyDescent="0.25">
      <c r="V2544"/>
    </row>
    <row r="2545" spans="22:22" ht="15" x14ac:dyDescent="0.25">
      <c r="V2545"/>
    </row>
    <row r="2546" spans="22:22" ht="15" x14ac:dyDescent="0.25">
      <c r="V2546"/>
    </row>
    <row r="2547" spans="22:22" ht="15" x14ac:dyDescent="0.25">
      <c r="V2547"/>
    </row>
    <row r="2548" spans="22:22" ht="15" x14ac:dyDescent="0.25">
      <c r="V2548"/>
    </row>
    <row r="2549" spans="22:22" ht="15" x14ac:dyDescent="0.25">
      <c r="V2549"/>
    </row>
    <row r="2550" spans="22:22" ht="15" x14ac:dyDescent="0.25">
      <c r="V2550"/>
    </row>
    <row r="2551" spans="22:22" ht="15" x14ac:dyDescent="0.25">
      <c r="V2551"/>
    </row>
    <row r="2552" spans="22:22" ht="15" x14ac:dyDescent="0.25">
      <c r="V2552"/>
    </row>
    <row r="2553" spans="22:22" ht="15" x14ac:dyDescent="0.25">
      <c r="V2553"/>
    </row>
    <row r="2554" spans="22:22" ht="15" x14ac:dyDescent="0.25">
      <c r="V2554"/>
    </row>
    <row r="2555" spans="22:22" ht="15" x14ac:dyDescent="0.25">
      <c r="V2555"/>
    </row>
    <row r="2556" spans="22:22" ht="15" x14ac:dyDescent="0.25">
      <c r="V2556"/>
    </row>
    <row r="2557" spans="22:22" ht="15" x14ac:dyDescent="0.25">
      <c r="V2557"/>
    </row>
    <row r="2558" spans="22:22" ht="15" x14ac:dyDescent="0.25">
      <c r="V2558"/>
    </row>
    <row r="2559" spans="22:22" ht="15" x14ac:dyDescent="0.25">
      <c r="V2559"/>
    </row>
    <row r="2560" spans="22:22" ht="15" x14ac:dyDescent="0.25">
      <c r="V2560"/>
    </row>
    <row r="2561" spans="22:22" ht="15" x14ac:dyDescent="0.25">
      <c r="V2561"/>
    </row>
    <row r="2562" spans="22:22" ht="15" x14ac:dyDescent="0.25">
      <c r="V2562"/>
    </row>
    <row r="2563" spans="22:22" ht="15" x14ac:dyDescent="0.25">
      <c r="V2563"/>
    </row>
    <row r="2564" spans="22:22" ht="15" x14ac:dyDescent="0.25">
      <c r="V2564"/>
    </row>
    <row r="2565" spans="22:22" ht="15" x14ac:dyDescent="0.25">
      <c r="V2565"/>
    </row>
    <row r="2566" spans="22:22" ht="15" x14ac:dyDescent="0.25">
      <c r="V2566"/>
    </row>
    <row r="2567" spans="22:22" ht="15" x14ac:dyDescent="0.25">
      <c r="V2567"/>
    </row>
    <row r="2568" spans="22:22" ht="15" x14ac:dyDescent="0.25">
      <c r="V2568"/>
    </row>
    <row r="2569" spans="22:22" ht="15" x14ac:dyDescent="0.25">
      <c r="V2569"/>
    </row>
    <row r="2570" spans="22:22" ht="15" x14ac:dyDescent="0.25">
      <c r="V2570"/>
    </row>
    <row r="2571" spans="22:22" ht="15" x14ac:dyDescent="0.25">
      <c r="V2571"/>
    </row>
    <row r="2572" spans="22:22" ht="15" x14ac:dyDescent="0.25">
      <c r="V2572"/>
    </row>
    <row r="2573" spans="22:22" ht="15" x14ac:dyDescent="0.25">
      <c r="V2573"/>
    </row>
    <row r="2574" spans="22:22" ht="15" x14ac:dyDescent="0.25">
      <c r="V2574"/>
    </row>
    <row r="2575" spans="22:22" ht="15" x14ac:dyDescent="0.25">
      <c r="V2575"/>
    </row>
    <row r="2576" spans="22:22" ht="15" x14ac:dyDescent="0.25">
      <c r="V2576"/>
    </row>
    <row r="2577" spans="22:22" ht="15" x14ac:dyDescent="0.25">
      <c r="V2577"/>
    </row>
    <row r="2578" spans="22:22" ht="15" x14ac:dyDescent="0.25">
      <c r="V2578"/>
    </row>
    <row r="2579" spans="22:22" ht="15" x14ac:dyDescent="0.25">
      <c r="V2579"/>
    </row>
    <row r="2580" spans="22:22" ht="15" x14ac:dyDescent="0.25">
      <c r="V2580"/>
    </row>
    <row r="2581" spans="22:22" ht="15" x14ac:dyDescent="0.25">
      <c r="V2581"/>
    </row>
    <row r="2582" spans="22:22" ht="15" x14ac:dyDescent="0.25">
      <c r="V2582"/>
    </row>
    <row r="2583" spans="22:22" ht="15" x14ac:dyDescent="0.25">
      <c r="V2583"/>
    </row>
    <row r="2584" spans="22:22" ht="15" x14ac:dyDescent="0.25">
      <c r="V2584"/>
    </row>
    <row r="2585" spans="22:22" ht="15" x14ac:dyDescent="0.25">
      <c r="V2585"/>
    </row>
    <row r="2586" spans="22:22" ht="15" x14ac:dyDescent="0.25">
      <c r="V2586"/>
    </row>
    <row r="2587" spans="22:22" ht="15" x14ac:dyDescent="0.25">
      <c r="V2587"/>
    </row>
    <row r="2588" spans="22:22" ht="15" x14ac:dyDescent="0.25">
      <c r="V2588"/>
    </row>
    <row r="2589" spans="22:22" ht="15" x14ac:dyDescent="0.25">
      <c r="V2589"/>
    </row>
    <row r="2590" spans="22:22" ht="15" x14ac:dyDescent="0.25">
      <c r="V2590"/>
    </row>
    <row r="2591" spans="22:22" ht="15" x14ac:dyDescent="0.25">
      <c r="V2591"/>
    </row>
    <row r="2592" spans="22:22" ht="15" x14ac:dyDescent="0.25">
      <c r="V2592"/>
    </row>
    <row r="2593" spans="22:22" ht="15" x14ac:dyDescent="0.25">
      <c r="V2593"/>
    </row>
    <row r="2594" spans="22:22" ht="15" x14ac:dyDescent="0.25">
      <c r="V2594"/>
    </row>
    <row r="2595" spans="22:22" ht="15" x14ac:dyDescent="0.25">
      <c r="V2595"/>
    </row>
    <row r="2596" spans="22:22" ht="15" x14ac:dyDescent="0.25">
      <c r="V2596"/>
    </row>
    <row r="2597" spans="22:22" ht="15" x14ac:dyDescent="0.25">
      <c r="V2597"/>
    </row>
    <row r="2598" spans="22:22" ht="15" x14ac:dyDescent="0.25">
      <c r="V2598"/>
    </row>
    <row r="2599" spans="22:22" ht="15" x14ac:dyDescent="0.25">
      <c r="V2599"/>
    </row>
    <row r="2600" spans="22:22" ht="15" x14ac:dyDescent="0.25">
      <c r="V2600"/>
    </row>
    <row r="2601" spans="22:22" ht="15" x14ac:dyDescent="0.25">
      <c r="V2601"/>
    </row>
    <row r="2602" spans="22:22" ht="15" x14ac:dyDescent="0.25">
      <c r="V2602"/>
    </row>
    <row r="2603" spans="22:22" ht="15" x14ac:dyDescent="0.25">
      <c r="V2603"/>
    </row>
    <row r="2604" spans="22:22" ht="15" x14ac:dyDescent="0.25">
      <c r="V2604"/>
    </row>
    <row r="2605" spans="22:22" ht="15" x14ac:dyDescent="0.25">
      <c r="V2605"/>
    </row>
    <row r="2606" spans="22:22" ht="15" x14ac:dyDescent="0.25">
      <c r="V2606"/>
    </row>
    <row r="2607" spans="22:22" ht="15" x14ac:dyDescent="0.25">
      <c r="V2607"/>
    </row>
    <row r="2608" spans="22:22" ht="15" x14ac:dyDescent="0.25">
      <c r="V2608"/>
    </row>
    <row r="2609" spans="22:22" ht="15" x14ac:dyDescent="0.25">
      <c r="V2609"/>
    </row>
    <row r="2610" spans="22:22" ht="15" x14ac:dyDescent="0.25">
      <c r="V2610"/>
    </row>
    <row r="2611" spans="22:22" ht="15" x14ac:dyDescent="0.25">
      <c r="V2611"/>
    </row>
    <row r="2612" spans="22:22" ht="15" x14ac:dyDescent="0.25">
      <c r="V2612"/>
    </row>
    <row r="2613" spans="22:22" ht="15" x14ac:dyDescent="0.25">
      <c r="V2613"/>
    </row>
    <row r="2614" spans="22:22" ht="15" x14ac:dyDescent="0.25">
      <c r="V2614"/>
    </row>
    <row r="2615" spans="22:22" ht="15" x14ac:dyDescent="0.25">
      <c r="V2615"/>
    </row>
    <row r="2616" spans="22:22" ht="15" x14ac:dyDescent="0.25">
      <c r="V2616"/>
    </row>
    <row r="2617" spans="22:22" ht="15" x14ac:dyDescent="0.25">
      <c r="V2617"/>
    </row>
    <row r="2618" spans="22:22" ht="15" x14ac:dyDescent="0.25">
      <c r="V2618"/>
    </row>
    <row r="2619" spans="22:22" ht="15" x14ac:dyDescent="0.25">
      <c r="V2619"/>
    </row>
    <row r="2620" spans="22:22" ht="15" x14ac:dyDescent="0.25">
      <c r="V2620"/>
    </row>
    <row r="2621" spans="22:22" ht="15" x14ac:dyDescent="0.25">
      <c r="V2621"/>
    </row>
    <row r="2622" spans="22:22" ht="15" x14ac:dyDescent="0.25">
      <c r="V2622"/>
    </row>
    <row r="2623" spans="22:22" ht="15" x14ac:dyDescent="0.25">
      <c r="V2623"/>
    </row>
    <row r="2624" spans="22:22" ht="15" x14ac:dyDescent="0.25">
      <c r="V2624"/>
    </row>
    <row r="2625" spans="22:22" ht="15" x14ac:dyDescent="0.25">
      <c r="V2625"/>
    </row>
    <row r="2626" spans="22:22" ht="15" x14ac:dyDescent="0.25">
      <c r="V2626"/>
    </row>
    <row r="2627" spans="22:22" ht="15" x14ac:dyDescent="0.25">
      <c r="V2627"/>
    </row>
    <row r="2628" spans="22:22" ht="15" x14ac:dyDescent="0.25">
      <c r="V2628"/>
    </row>
    <row r="2629" spans="22:22" ht="15" x14ac:dyDescent="0.25">
      <c r="V2629"/>
    </row>
    <row r="2630" spans="22:22" ht="15" x14ac:dyDescent="0.25">
      <c r="V2630"/>
    </row>
    <row r="2631" spans="22:22" ht="15" x14ac:dyDescent="0.25">
      <c r="V2631"/>
    </row>
    <row r="2632" spans="22:22" ht="15" x14ac:dyDescent="0.25">
      <c r="V2632"/>
    </row>
    <row r="2633" spans="22:22" ht="15" x14ac:dyDescent="0.25">
      <c r="V2633"/>
    </row>
    <row r="2634" spans="22:22" ht="15" x14ac:dyDescent="0.25">
      <c r="V2634"/>
    </row>
    <row r="2635" spans="22:22" ht="15" x14ac:dyDescent="0.25">
      <c r="V2635"/>
    </row>
    <row r="2636" spans="22:22" ht="15" x14ac:dyDescent="0.25">
      <c r="V2636"/>
    </row>
    <row r="2637" spans="22:22" ht="15" x14ac:dyDescent="0.25">
      <c r="V2637"/>
    </row>
    <row r="2638" spans="22:22" ht="15" x14ac:dyDescent="0.25">
      <c r="V2638"/>
    </row>
    <row r="2639" spans="22:22" ht="15" x14ac:dyDescent="0.25">
      <c r="V2639"/>
    </row>
    <row r="2640" spans="22:22" ht="15" x14ac:dyDescent="0.25">
      <c r="V2640"/>
    </row>
    <row r="2641" spans="22:22" ht="15" x14ac:dyDescent="0.25">
      <c r="V2641"/>
    </row>
    <row r="2642" spans="22:22" ht="15" x14ac:dyDescent="0.25">
      <c r="V2642"/>
    </row>
    <row r="2643" spans="22:22" ht="15" x14ac:dyDescent="0.25">
      <c r="V2643"/>
    </row>
    <row r="2644" spans="22:22" ht="15" x14ac:dyDescent="0.25">
      <c r="V2644"/>
    </row>
    <row r="2645" spans="22:22" ht="15" x14ac:dyDescent="0.25">
      <c r="V2645"/>
    </row>
    <row r="2646" spans="22:22" ht="15" x14ac:dyDescent="0.25">
      <c r="V2646"/>
    </row>
    <row r="2647" spans="22:22" ht="15" x14ac:dyDescent="0.25">
      <c r="V2647"/>
    </row>
    <row r="2648" spans="22:22" ht="15" x14ac:dyDescent="0.25">
      <c r="V2648"/>
    </row>
    <row r="2649" spans="22:22" ht="15" x14ac:dyDescent="0.25">
      <c r="V2649"/>
    </row>
    <row r="2650" spans="22:22" ht="15" x14ac:dyDescent="0.25">
      <c r="V2650"/>
    </row>
    <row r="2651" spans="22:22" ht="15" x14ac:dyDescent="0.25">
      <c r="V2651"/>
    </row>
    <row r="2652" spans="22:22" ht="15" x14ac:dyDescent="0.25">
      <c r="V2652"/>
    </row>
    <row r="2653" spans="22:22" ht="15" x14ac:dyDescent="0.25">
      <c r="V2653"/>
    </row>
    <row r="2654" spans="22:22" ht="15" x14ac:dyDescent="0.25">
      <c r="V2654"/>
    </row>
    <row r="2655" spans="22:22" ht="15" x14ac:dyDescent="0.25">
      <c r="V2655"/>
    </row>
    <row r="2656" spans="22:22" ht="15" x14ac:dyDescent="0.25">
      <c r="V2656"/>
    </row>
    <row r="2657" spans="22:22" ht="15" x14ac:dyDescent="0.25">
      <c r="V2657"/>
    </row>
    <row r="2658" spans="22:22" ht="15" x14ac:dyDescent="0.25">
      <c r="V2658"/>
    </row>
    <row r="2659" spans="22:22" ht="15" x14ac:dyDescent="0.25">
      <c r="V2659"/>
    </row>
    <row r="2660" spans="22:22" ht="15" x14ac:dyDescent="0.25">
      <c r="V2660"/>
    </row>
    <row r="2661" spans="22:22" ht="15" x14ac:dyDescent="0.25">
      <c r="V2661"/>
    </row>
    <row r="2662" spans="22:22" ht="15" x14ac:dyDescent="0.25">
      <c r="V2662"/>
    </row>
    <row r="2663" spans="22:22" ht="15" x14ac:dyDescent="0.25">
      <c r="V2663"/>
    </row>
    <row r="2664" spans="22:22" ht="15" x14ac:dyDescent="0.25">
      <c r="V2664"/>
    </row>
    <row r="2665" spans="22:22" ht="15" x14ac:dyDescent="0.25">
      <c r="V2665"/>
    </row>
    <row r="2666" spans="22:22" ht="15" x14ac:dyDescent="0.25">
      <c r="V2666"/>
    </row>
    <row r="2667" spans="22:22" ht="15" x14ac:dyDescent="0.25">
      <c r="V2667"/>
    </row>
    <row r="2668" spans="22:22" ht="15" x14ac:dyDescent="0.25">
      <c r="V2668"/>
    </row>
    <row r="2669" spans="22:22" ht="15" x14ac:dyDescent="0.25">
      <c r="V2669"/>
    </row>
    <row r="2670" spans="22:22" ht="15" x14ac:dyDescent="0.25">
      <c r="V2670"/>
    </row>
    <row r="2671" spans="22:22" ht="15" x14ac:dyDescent="0.25">
      <c r="V2671"/>
    </row>
    <row r="2672" spans="22:22" ht="15" x14ac:dyDescent="0.25">
      <c r="V2672"/>
    </row>
    <row r="2673" spans="22:22" ht="15" x14ac:dyDescent="0.25">
      <c r="V2673"/>
    </row>
    <row r="2674" spans="22:22" ht="15" x14ac:dyDescent="0.25">
      <c r="V2674"/>
    </row>
    <row r="2675" spans="22:22" ht="15" x14ac:dyDescent="0.25">
      <c r="V2675"/>
    </row>
    <row r="2676" spans="22:22" ht="15" x14ac:dyDescent="0.25">
      <c r="V2676"/>
    </row>
    <row r="2677" spans="22:22" ht="15" x14ac:dyDescent="0.25">
      <c r="V2677"/>
    </row>
    <row r="2678" spans="22:22" ht="15" x14ac:dyDescent="0.25">
      <c r="V2678"/>
    </row>
    <row r="2679" spans="22:22" ht="15" x14ac:dyDescent="0.25">
      <c r="V2679"/>
    </row>
    <row r="2680" spans="22:22" ht="15" x14ac:dyDescent="0.25">
      <c r="V2680"/>
    </row>
    <row r="2681" spans="22:22" ht="15" x14ac:dyDescent="0.25">
      <c r="V2681"/>
    </row>
    <row r="2682" spans="22:22" ht="15" x14ac:dyDescent="0.25">
      <c r="V2682"/>
    </row>
    <row r="2683" spans="22:22" ht="15" x14ac:dyDescent="0.25">
      <c r="V2683"/>
    </row>
    <row r="2684" spans="22:22" ht="15" x14ac:dyDescent="0.25">
      <c r="V2684"/>
    </row>
    <row r="2685" spans="22:22" ht="15" x14ac:dyDescent="0.25">
      <c r="V2685"/>
    </row>
    <row r="2686" spans="22:22" ht="15" x14ac:dyDescent="0.25">
      <c r="V2686"/>
    </row>
    <row r="2687" spans="22:22" ht="15" x14ac:dyDescent="0.25">
      <c r="V2687"/>
    </row>
    <row r="2688" spans="22:22" ht="15" x14ac:dyDescent="0.25">
      <c r="V2688"/>
    </row>
    <row r="2689" spans="22:22" ht="15" x14ac:dyDescent="0.25">
      <c r="V2689"/>
    </row>
    <row r="2690" spans="22:22" ht="15" x14ac:dyDescent="0.25">
      <c r="V2690"/>
    </row>
    <row r="2691" spans="22:22" ht="15" x14ac:dyDescent="0.25">
      <c r="V2691"/>
    </row>
    <row r="2692" spans="22:22" ht="15" x14ac:dyDescent="0.25">
      <c r="V2692"/>
    </row>
    <row r="2693" spans="22:22" ht="15" x14ac:dyDescent="0.25">
      <c r="V2693"/>
    </row>
    <row r="2694" spans="22:22" ht="15" x14ac:dyDescent="0.25">
      <c r="V2694"/>
    </row>
    <row r="2695" spans="22:22" ht="15" x14ac:dyDescent="0.25">
      <c r="V2695"/>
    </row>
    <row r="2696" spans="22:22" ht="15" x14ac:dyDescent="0.25">
      <c r="V2696"/>
    </row>
    <row r="2697" spans="22:22" ht="15" x14ac:dyDescent="0.25">
      <c r="V2697"/>
    </row>
    <row r="2698" spans="22:22" ht="15" x14ac:dyDescent="0.25">
      <c r="V2698"/>
    </row>
    <row r="2699" spans="22:22" ht="15" x14ac:dyDescent="0.25">
      <c r="V2699"/>
    </row>
    <row r="2700" spans="22:22" ht="15" x14ac:dyDescent="0.25">
      <c r="V2700"/>
    </row>
    <row r="2701" spans="22:22" ht="15" x14ac:dyDescent="0.25">
      <c r="V2701"/>
    </row>
    <row r="2702" spans="22:22" ht="15" x14ac:dyDescent="0.25">
      <c r="V2702"/>
    </row>
    <row r="2703" spans="22:22" ht="15" x14ac:dyDescent="0.25">
      <c r="V2703"/>
    </row>
    <row r="2704" spans="22:22" ht="15" x14ac:dyDescent="0.25">
      <c r="V2704"/>
    </row>
    <row r="2705" spans="22:22" ht="15" x14ac:dyDescent="0.25">
      <c r="V2705"/>
    </row>
    <row r="2706" spans="22:22" ht="15" x14ac:dyDescent="0.25">
      <c r="V2706"/>
    </row>
    <row r="2707" spans="22:22" ht="15" x14ac:dyDescent="0.25">
      <c r="V2707"/>
    </row>
    <row r="2708" spans="22:22" ht="15" x14ac:dyDescent="0.25">
      <c r="V2708"/>
    </row>
    <row r="2709" spans="22:22" ht="15" x14ac:dyDescent="0.25">
      <c r="V2709"/>
    </row>
    <row r="2710" spans="22:22" ht="15" x14ac:dyDescent="0.25">
      <c r="V2710"/>
    </row>
    <row r="2711" spans="22:22" ht="15" x14ac:dyDescent="0.25">
      <c r="V2711"/>
    </row>
    <row r="2712" spans="22:22" ht="15" x14ac:dyDescent="0.25">
      <c r="V2712"/>
    </row>
    <row r="2713" spans="22:22" ht="15" x14ac:dyDescent="0.25">
      <c r="V2713"/>
    </row>
    <row r="2714" spans="22:22" ht="15" x14ac:dyDescent="0.25">
      <c r="V2714"/>
    </row>
    <row r="2715" spans="22:22" ht="15" x14ac:dyDescent="0.25">
      <c r="V2715"/>
    </row>
    <row r="2716" spans="22:22" ht="15" x14ac:dyDescent="0.25">
      <c r="V2716"/>
    </row>
    <row r="2717" spans="22:22" ht="15" x14ac:dyDescent="0.25">
      <c r="V2717"/>
    </row>
    <row r="2718" spans="22:22" ht="15" x14ac:dyDescent="0.25">
      <c r="V2718"/>
    </row>
    <row r="2719" spans="22:22" ht="15" x14ac:dyDescent="0.25">
      <c r="V2719"/>
    </row>
    <row r="2720" spans="22:22" ht="15" x14ac:dyDescent="0.25">
      <c r="V2720"/>
    </row>
    <row r="2721" spans="22:22" ht="15" x14ac:dyDescent="0.25">
      <c r="V2721"/>
    </row>
    <row r="2722" spans="22:22" ht="15" x14ac:dyDescent="0.25">
      <c r="V2722"/>
    </row>
    <row r="2723" spans="22:22" ht="15" x14ac:dyDescent="0.25">
      <c r="V2723"/>
    </row>
    <row r="2724" spans="22:22" ht="15" x14ac:dyDescent="0.25">
      <c r="V2724"/>
    </row>
    <row r="2725" spans="22:22" ht="15" x14ac:dyDescent="0.25">
      <c r="V2725"/>
    </row>
    <row r="2726" spans="22:22" ht="15" x14ac:dyDescent="0.25">
      <c r="V2726"/>
    </row>
    <row r="2727" spans="22:22" ht="15" x14ac:dyDescent="0.25">
      <c r="V2727"/>
    </row>
    <row r="2728" spans="22:22" ht="15" x14ac:dyDescent="0.25">
      <c r="V2728"/>
    </row>
    <row r="2729" spans="22:22" ht="15" x14ac:dyDescent="0.25">
      <c r="V2729"/>
    </row>
    <row r="2730" spans="22:22" ht="15" x14ac:dyDescent="0.25">
      <c r="V2730"/>
    </row>
    <row r="2731" spans="22:22" ht="15" x14ac:dyDescent="0.25">
      <c r="V2731"/>
    </row>
    <row r="2732" spans="22:22" ht="15" x14ac:dyDescent="0.25">
      <c r="V2732"/>
    </row>
    <row r="2733" spans="22:22" ht="15" x14ac:dyDescent="0.25">
      <c r="V2733"/>
    </row>
    <row r="2734" spans="22:22" ht="15" x14ac:dyDescent="0.25">
      <c r="V2734"/>
    </row>
    <row r="2735" spans="22:22" ht="15" x14ac:dyDescent="0.25">
      <c r="V2735"/>
    </row>
    <row r="2736" spans="22:22" ht="15" x14ac:dyDescent="0.25">
      <c r="V2736"/>
    </row>
    <row r="2737" spans="22:22" ht="15" x14ac:dyDescent="0.25">
      <c r="V2737"/>
    </row>
    <row r="2738" spans="22:22" ht="15" x14ac:dyDescent="0.25">
      <c r="V2738"/>
    </row>
    <row r="2739" spans="22:22" ht="15" x14ac:dyDescent="0.25">
      <c r="V2739"/>
    </row>
    <row r="2740" spans="22:22" ht="15" x14ac:dyDescent="0.25">
      <c r="V2740"/>
    </row>
    <row r="2741" spans="22:22" ht="15" x14ac:dyDescent="0.25">
      <c r="V2741"/>
    </row>
    <row r="2742" spans="22:22" ht="15" x14ac:dyDescent="0.25">
      <c r="V2742"/>
    </row>
    <row r="2743" spans="22:22" ht="15" x14ac:dyDescent="0.25">
      <c r="V2743"/>
    </row>
    <row r="2744" spans="22:22" ht="15" x14ac:dyDescent="0.25">
      <c r="V2744"/>
    </row>
    <row r="2745" spans="22:22" ht="15" x14ac:dyDescent="0.25">
      <c r="V2745"/>
    </row>
    <row r="2746" spans="22:22" ht="15" x14ac:dyDescent="0.25">
      <c r="V2746"/>
    </row>
    <row r="2747" spans="22:22" ht="15" x14ac:dyDescent="0.25">
      <c r="V2747"/>
    </row>
    <row r="2748" spans="22:22" ht="15" x14ac:dyDescent="0.25">
      <c r="V2748"/>
    </row>
    <row r="2749" spans="22:22" ht="15" x14ac:dyDescent="0.25">
      <c r="V2749"/>
    </row>
    <row r="2750" spans="22:22" ht="15" x14ac:dyDescent="0.25">
      <c r="V2750"/>
    </row>
    <row r="2751" spans="22:22" ht="15" x14ac:dyDescent="0.25">
      <c r="V2751"/>
    </row>
    <row r="2752" spans="22:22" ht="15" x14ac:dyDescent="0.25">
      <c r="V2752"/>
    </row>
    <row r="2753" spans="22:22" ht="15" x14ac:dyDescent="0.25">
      <c r="V2753"/>
    </row>
    <row r="2754" spans="22:22" ht="15" x14ac:dyDescent="0.25">
      <c r="V2754"/>
    </row>
    <row r="2755" spans="22:22" ht="15" x14ac:dyDescent="0.25">
      <c r="V2755"/>
    </row>
    <row r="2756" spans="22:22" ht="15" x14ac:dyDescent="0.25">
      <c r="V2756"/>
    </row>
    <row r="2757" spans="22:22" ht="15" x14ac:dyDescent="0.25">
      <c r="V2757"/>
    </row>
    <row r="2758" spans="22:22" ht="15" x14ac:dyDescent="0.25">
      <c r="V2758"/>
    </row>
    <row r="2759" spans="22:22" ht="15" x14ac:dyDescent="0.25">
      <c r="V2759"/>
    </row>
    <row r="2760" spans="22:22" ht="15" x14ac:dyDescent="0.25">
      <c r="V2760"/>
    </row>
    <row r="2761" spans="22:22" ht="15" x14ac:dyDescent="0.25">
      <c r="V2761"/>
    </row>
    <row r="2762" spans="22:22" ht="15" x14ac:dyDescent="0.25">
      <c r="V2762"/>
    </row>
    <row r="2763" spans="22:22" ht="15" x14ac:dyDescent="0.25">
      <c r="V2763"/>
    </row>
    <row r="2764" spans="22:22" ht="15" x14ac:dyDescent="0.25">
      <c r="V2764"/>
    </row>
    <row r="2765" spans="22:22" ht="15" x14ac:dyDescent="0.25">
      <c r="V2765"/>
    </row>
    <row r="2766" spans="22:22" ht="15" x14ac:dyDescent="0.25">
      <c r="V2766"/>
    </row>
    <row r="2767" spans="22:22" ht="15" x14ac:dyDescent="0.25">
      <c r="V2767"/>
    </row>
    <row r="2768" spans="22:22" ht="15" x14ac:dyDescent="0.25">
      <c r="V2768"/>
    </row>
    <row r="2769" spans="22:22" ht="15" x14ac:dyDescent="0.25">
      <c r="V2769"/>
    </row>
    <row r="2770" spans="22:22" ht="15" x14ac:dyDescent="0.25">
      <c r="V2770"/>
    </row>
    <row r="2771" spans="22:22" ht="15" x14ac:dyDescent="0.25">
      <c r="V2771"/>
    </row>
    <row r="2772" spans="22:22" ht="15" x14ac:dyDescent="0.25">
      <c r="V2772"/>
    </row>
    <row r="2773" spans="22:22" ht="15" x14ac:dyDescent="0.25">
      <c r="V2773"/>
    </row>
    <row r="2774" spans="22:22" ht="15" x14ac:dyDescent="0.25">
      <c r="V2774"/>
    </row>
    <row r="2775" spans="22:22" ht="15" x14ac:dyDescent="0.25">
      <c r="V2775"/>
    </row>
    <row r="2776" spans="22:22" ht="15" x14ac:dyDescent="0.25">
      <c r="V2776"/>
    </row>
    <row r="2777" spans="22:22" ht="15" x14ac:dyDescent="0.25">
      <c r="V2777"/>
    </row>
    <row r="2778" spans="22:22" ht="15" x14ac:dyDescent="0.25">
      <c r="V2778"/>
    </row>
    <row r="2779" spans="22:22" ht="15" x14ac:dyDescent="0.25">
      <c r="V2779"/>
    </row>
    <row r="2780" spans="22:22" ht="15" x14ac:dyDescent="0.25">
      <c r="V2780"/>
    </row>
    <row r="2781" spans="22:22" ht="15" x14ac:dyDescent="0.25">
      <c r="V2781"/>
    </row>
    <row r="2782" spans="22:22" ht="15" x14ac:dyDescent="0.25">
      <c r="V2782"/>
    </row>
    <row r="2783" spans="22:22" ht="15" x14ac:dyDescent="0.25">
      <c r="V2783"/>
    </row>
    <row r="2784" spans="22:22" ht="15" x14ac:dyDescent="0.25">
      <c r="V2784"/>
    </row>
    <row r="2785" spans="22:22" ht="15" x14ac:dyDescent="0.25">
      <c r="V2785"/>
    </row>
    <row r="2786" spans="22:22" ht="15" x14ac:dyDescent="0.25">
      <c r="V2786"/>
    </row>
    <row r="2787" spans="22:22" ht="15" x14ac:dyDescent="0.25">
      <c r="V2787"/>
    </row>
    <row r="2788" spans="22:22" ht="15" x14ac:dyDescent="0.25">
      <c r="V2788"/>
    </row>
    <row r="2789" spans="22:22" ht="15" x14ac:dyDescent="0.25">
      <c r="V2789"/>
    </row>
    <row r="2790" spans="22:22" ht="15" x14ac:dyDescent="0.25">
      <c r="V2790"/>
    </row>
    <row r="2791" spans="22:22" ht="15" x14ac:dyDescent="0.25">
      <c r="V2791"/>
    </row>
    <row r="2792" spans="22:22" ht="15" x14ac:dyDescent="0.25">
      <c r="V2792"/>
    </row>
    <row r="2793" spans="22:22" ht="15" x14ac:dyDescent="0.25">
      <c r="V2793"/>
    </row>
    <row r="2794" spans="22:22" ht="15" x14ac:dyDescent="0.25">
      <c r="V2794"/>
    </row>
    <row r="2795" spans="22:22" ht="15" x14ac:dyDescent="0.25">
      <c r="V2795"/>
    </row>
    <row r="2796" spans="22:22" ht="15" x14ac:dyDescent="0.25">
      <c r="V2796"/>
    </row>
    <row r="2797" spans="22:22" ht="15" x14ac:dyDescent="0.25">
      <c r="V2797"/>
    </row>
    <row r="2798" spans="22:22" ht="15" x14ac:dyDescent="0.25">
      <c r="V2798"/>
    </row>
    <row r="2799" spans="22:22" ht="15" x14ac:dyDescent="0.25">
      <c r="V2799"/>
    </row>
    <row r="2800" spans="22:22" ht="15" x14ac:dyDescent="0.25">
      <c r="V2800"/>
    </row>
    <row r="2801" spans="22:22" ht="15" x14ac:dyDescent="0.25">
      <c r="V2801"/>
    </row>
    <row r="2802" spans="22:22" ht="15" x14ac:dyDescent="0.25">
      <c r="V2802"/>
    </row>
    <row r="2803" spans="22:22" ht="15" x14ac:dyDescent="0.25">
      <c r="V2803"/>
    </row>
    <row r="2804" spans="22:22" ht="15" x14ac:dyDescent="0.25">
      <c r="V2804"/>
    </row>
    <row r="2805" spans="22:22" ht="15" x14ac:dyDescent="0.25">
      <c r="V2805"/>
    </row>
    <row r="2806" spans="22:22" ht="15" x14ac:dyDescent="0.25">
      <c r="V2806"/>
    </row>
    <row r="2807" spans="22:22" ht="15" x14ac:dyDescent="0.25">
      <c r="V2807"/>
    </row>
    <row r="2808" spans="22:22" ht="15" x14ac:dyDescent="0.25">
      <c r="V2808"/>
    </row>
    <row r="2809" spans="22:22" ht="15" x14ac:dyDescent="0.25">
      <c r="V2809"/>
    </row>
    <row r="2810" spans="22:22" ht="15" x14ac:dyDescent="0.25">
      <c r="V2810"/>
    </row>
    <row r="2811" spans="22:22" ht="15" x14ac:dyDescent="0.25">
      <c r="V2811"/>
    </row>
    <row r="2812" spans="22:22" ht="15" x14ac:dyDescent="0.25">
      <c r="V2812"/>
    </row>
    <row r="2813" spans="22:22" ht="15" x14ac:dyDescent="0.25">
      <c r="V2813"/>
    </row>
    <row r="2814" spans="22:22" ht="15" x14ac:dyDescent="0.25">
      <c r="V2814"/>
    </row>
    <row r="2815" spans="22:22" ht="15" x14ac:dyDescent="0.25">
      <c r="V2815"/>
    </row>
    <row r="2816" spans="22:22" ht="15" x14ac:dyDescent="0.25">
      <c r="V2816"/>
    </row>
    <row r="2817" spans="22:22" ht="15" x14ac:dyDescent="0.25">
      <c r="V2817"/>
    </row>
    <row r="2818" spans="22:22" ht="15" x14ac:dyDescent="0.25">
      <c r="V2818"/>
    </row>
    <row r="2819" spans="22:22" ht="15" x14ac:dyDescent="0.25">
      <c r="V2819"/>
    </row>
    <row r="2820" spans="22:22" ht="15" x14ac:dyDescent="0.25">
      <c r="V2820"/>
    </row>
    <row r="2821" spans="22:22" ht="15" x14ac:dyDescent="0.25">
      <c r="V2821"/>
    </row>
    <row r="2822" spans="22:22" ht="15" x14ac:dyDescent="0.25">
      <c r="V2822"/>
    </row>
    <row r="2823" spans="22:22" ht="15" x14ac:dyDescent="0.25">
      <c r="V2823"/>
    </row>
    <row r="2824" spans="22:22" ht="15" x14ac:dyDescent="0.25">
      <c r="V2824"/>
    </row>
    <row r="2825" spans="22:22" ht="15" x14ac:dyDescent="0.25">
      <c r="V2825"/>
    </row>
    <row r="2826" spans="22:22" ht="15" x14ac:dyDescent="0.25">
      <c r="V2826"/>
    </row>
    <row r="2827" spans="22:22" ht="15" x14ac:dyDescent="0.25">
      <c r="V2827"/>
    </row>
    <row r="2828" spans="22:22" ht="15" x14ac:dyDescent="0.25">
      <c r="V2828"/>
    </row>
    <row r="2829" spans="22:22" ht="15" x14ac:dyDescent="0.25">
      <c r="V2829"/>
    </row>
    <row r="2830" spans="22:22" ht="15" x14ac:dyDescent="0.25">
      <c r="V2830"/>
    </row>
    <row r="2831" spans="22:22" ht="15" x14ac:dyDescent="0.25">
      <c r="V2831"/>
    </row>
    <row r="2832" spans="22:22" ht="15" x14ac:dyDescent="0.25">
      <c r="V2832"/>
    </row>
    <row r="2833" spans="22:22" ht="15" x14ac:dyDescent="0.25">
      <c r="V2833"/>
    </row>
    <row r="2834" spans="22:22" ht="15" x14ac:dyDescent="0.25">
      <c r="V2834"/>
    </row>
    <row r="2835" spans="22:22" ht="15" x14ac:dyDescent="0.25">
      <c r="V2835"/>
    </row>
    <row r="2836" spans="22:22" ht="15" x14ac:dyDescent="0.25">
      <c r="V2836"/>
    </row>
    <row r="2837" spans="22:22" ht="15" x14ac:dyDescent="0.25">
      <c r="V2837"/>
    </row>
    <row r="2838" spans="22:22" ht="15" x14ac:dyDescent="0.25">
      <c r="V2838"/>
    </row>
    <row r="2839" spans="22:22" ht="15" x14ac:dyDescent="0.25">
      <c r="V2839"/>
    </row>
    <row r="2840" spans="22:22" ht="15" x14ac:dyDescent="0.25">
      <c r="V2840"/>
    </row>
    <row r="2841" spans="22:22" ht="15" x14ac:dyDescent="0.25">
      <c r="V2841"/>
    </row>
    <row r="2842" spans="22:22" ht="15" x14ac:dyDescent="0.25">
      <c r="V2842"/>
    </row>
    <row r="2843" spans="22:22" ht="15" x14ac:dyDescent="0.25">
      <c r="V2843"/>
    </row>
    <row r="2844" spans="22:22" ht="15" x14ac:dyDescent="0.25">
      <c r="V2844"/>
    </row>
    <row r="2845" spans="22:22" ht="15" x14ac:dyDescent="0.25">
      <c r="V2845"/>
    </row>
    <row r="2846" spans="22:22" ht="15" x14ac:dyDescent="0.25">
      <c r="V2846"/>
    </row>
    <row r="2847" spans="22:22" ht="15" x14ac:dyDescent="0.25">
      <c r="V2847"/>
    </row>
    <row r="2848" spans="22:22" ht="15" x14ac:dyDescent="0.25">
      <c r="V2848"/>
    </row>
    <row r="2849" spans="22:22" ht="15" x14ac:dyDescent="0.25">
      <c r="V2849"/>
    </row>
    <row r="2850" spans="22:22" ht="15" x14ac:dyDescent="0.25">
      <c r="V2850"/>
    </row>
    <row r="2851" spans="22:22" ht="15" x14ac:dyDescent="0.25">
      <c r="V2851"/>
    </row>
    <row r="2852" spans="22:22" ht="15" x14ac:dyDescent="0.25">
      <c r="V2852"/>
    </row>
    <row r="2853" spans="22:22" ht="15" x14ac:dyDescent="0.25">
      <c r="V2853"/>
    </row>
    <row r="2854" spans="22:22" ht="15" x14ac:dyDescent="0.25">
      <c r="V2854"/>
    </row>
    <row r="2855" spans="22:22" ht="15" x14ac:dyDescent="0.25">
      <c r="V2855"/>
    </row>
    <row r="2856" spans="22:22" ht="15" x14ac:dyDescent="0.25">
      <c r="V2856"/>
    </row>
    <row r="2857" spans="22:22" ht="15" x14ac:dyDescent="0.25">
      <c r="V2857"/>
    </row>
    <row r="2858" spans="22:22" ht="15" x14ac:dyDescent="0.25">
      <c r="V2858"/>
    </row>
    <row r="2859" spans="22:22" ht="15" x14ac:dyDescent="0.25">
      <c r="V2859"/>
    </row>
    <row r="2860" spans="22:22" ht="15" x14ac:dyDescent="0.25">
      <c r="V2860"/>
    </row>
    <row r="2861" spans="22:22" ht="15" x14ac:dyDescent="0.25">
      <c r="V2861"/>
    </row>
    <row r="2862" spans="22:22" ht="15" x14ac:dyDescent="0.25">
      <c r="V2862"/>
    </row>
    <row r="2863" spans="22:22" ht="15" x14ac:dyDescent="0.25">
      <c r="V2863"/>
    </row>
    <row r="2864" spans="22:22" ht="15" x14ac:dyDescent="0.25">
      <c r="V2864"/>
    </row>
    <row r="2865" spans="22:22" ht="15" x14ac:dyDescent="0.25">
      <c r="V2865"/>
    </row>
    <row r="2866" spans="22:22" ht="15" x14ac:dyDescent="0.25">
      <c r="V2866"/>
    </row>
    <row r="2867" spans="22:22" ht="15" x14ac:dyDescent="0.25">
      <c r="V2867"/>
    </row>
    <row r="2868" spans="22:22" ht="15" x14ac:dyDescent="0.25">
      <c r="V2868"/>
    </row>
    <row r="2869" spans="22:22" ht="15" x14ac:dyDescent="0.25">
      <c r="V2869"/>
    </row>
    <row r="2870" spans="22:22" ht="15" x14ac:dyDescent="0.25">
      <c r="V2870"/>
    </row>
    <row r="2871" spans="22:22" ht="15" x14ac:dyDescent="0.25">
      <c r="V2871"/>
    </row>
    <row r="2872" spans="22:22" ht="15" x14ac:dyDescent="0.25">
      <c r="V2872"/>
    </row>
    <row r="2873" spans="22:22" ht="15" x14ac:dyDescent="0.25">
      <c r="V2873"/>
    </row>
    <row r="2874" spans="22:22" ht="15" x14ac:dyDescent="0.25">
      <c r="V2874"/>
    </row>
    <row r="2875" spans="22:22" ht="15" x14ac:dyDescent="0.25">
      <c r="V2875"/>
    </row>
    <row r="2876" spans="22:22" ht="15" x14ac:dyDescent="0.25">
      <c r="V2876"/>
    </row>
    <row r="2877" spans="22:22" ht="15" x14ac:dyDescent="0.25">
      <c r="V2877"/>
    </row>
    <row r="2878" spans="22:22" ht="15" x14ac:dyDescent="0.25">
      <c r="V2878"/>
    </row>
    <row r="2879" spans="22:22" ht="15" x14ac:dyDescent="0.25">
      <c r="V2879"/>
    </row>
    <row r="2880" spans="22:22" ht="15" x14ac:dyDescent="0.25">
      <c r="V2880"/>
    </row>
    <row r="2881" spans="22:22" ht="15" x14ac:dyDescent="0.25">
      <c r="V2881"/>
    </row>
    <row r="2882" spans="22:22" ht="15" x14ac:dyDescent="0.25">
      <c r="V2882"/>
    </row>
    <row r="2883" spans="22:22" ht="15" x14ac:dyDescent="0.25">
      <c r="V2883"/>
    </row>
    <row r="2884" spans="22:22" ht="15" x14ac:dyDescent="0.25">
      <c r="V2884"/>
    </row>
    <row r="2885" spans="22:22" ht="15" x14ac:dyDescent="0.25">
      <c r="V2885"/>
    </row>
    <row r="2886" spans="22:22" ht="15" x14ac:dyDescent="0.25">
      <c r="V2886"/>
    </row>
    <row r="2887" spans="22:22" ht="15" x14ac:dyDescent="0.25">
      <c r="V2887"/>
    </row>
    <row r="2888" spans="22:22" ht="15" x14ac:dyDescent="0.25">
      <c r="V2888"/>
    </row>
    <row r="2889" spans="22:22" ht="15" x14ac:dyDescent="0.25">
      <c r="V2889"/>
    </row>
    <row r="2890" spans="22:22" ht="15" x14ac:dyDescent="0.25">
      <c r="V2890"/>
    </row>
    <row r="2891" spans="22:22" ht="15" x14ac:dyDescent="0.25">
      <c r="V2891"/>
    </row>
    <row r="2892" spans="22:22" ht="15" x14ac:dyDescent="0.25">
      <c r="V2892"/>
    </row>
    <row r="2893" spans="22:22" ht="15" x14ac:dyDescent="0.25">
      <c r="V2893"/>
    </row>
    <row r="2894" spans="22:22" ht="15" x14ac:dyDescent="0.25">
      <c r="V2894"/>
    </row>
    <row r="2895" spans="22:22" ht="15" x14ac:dyDescent="0.25">
      <c r="V2895"/>
    </row>
    <row r="2896" spans="22:22" ht="15" x14ac:dyDescent="0.25">
      <c r="V2896"/>
    </row>
    <row r="2897" spans="22:22" ht="15" x14ac:dyDescent="0.25">
      <c r="V2897"/>
    </row>
    <row r="2898" spans="22:22" ht="15" x14ac:dyDescent="0.25">
      <c r="V2898"/>
    </row>
    <row r="2899" spans="22:22" ht="15" x14ac:dyDescent="0.25">
      <c r="V2899"/>
    </row>
    <row r="2900" spans="22:22" ht="15" x14ac:dyDescent="0.25">
      <c r="V2900"/>
    </row>
    <row r="2901" spans="22:22" ht="15" x14ac:dyDescent="0.25">
      <c r="V2901"/>
    </row>
    <row r="2902" spans="22:22" ht="15" x14ac:dyDescent="0.25">
      <c r="V2902"/>
    </row>
    <row r="2903" spans="22:22" ht="15" x14ac:dyDescent="0.25">
      <c r="V2903"/>
    </row>
    <row r="2904" spans="22:22" ht="15" x14ac:dyDescent="0.25">
      <c r="V2904"/>
    </row>
    <row r="2905" spans="22:22" ht="15" x14ac:dyDescent="0.25">
      <c r="V2905"/>
    </row>
    <row r="2906" spans="22:22" ht="15" x14ac:dyDescent="0.25">
      <c r="V2906"/>
    </row>
    <row r="2907" spans="22:22" ht="15" x14ac:dyDescent="0.25">
      <c r="V2907"/>
    </row>
    <row r="2908" spans="22:22" ht="15" x14ac:dyDescent="0.25">
      <c r="V2908"/>
    </row>
    <row r="2909" spans="22:22" ht="15" x14ac:dyDescent="0.25">
      <c r="V2909"/>
    </row>
    <row r="2910" spans="22:22" ht="15" x14ac:dyDescent="0.25">
      <c r="V2910"/>
    </row>
    <row r="2911" spans="22:22" ht="15" x14ac:dyDescent="0.25">
      <c r="V2911"/>
    </row>
    <row r="2912" spans="22:22" ht="15" x14ac:dyDescent="0.25">
      <c r="V2912"/>
    </row>
    <row r="2913" spans="22:22" ht="15" x14ac:dyDescent="0.25">
      <c r="V2913"/>
    </row>
    <row r="2914" spans="22:22" ht="15" x14ac:dyDescent="0.25">
      <c r="V2914"/>
    </row>
    <row r="2915" spans="22:22" ht="15" x14ac:dyDescent="0.25">
      <c r="V2915"/>
    </row>
    <row r="2916" spans="22:22" ht="15" x14ac:dyDescent="0.25">
      <c r="V2916"/>
    </row>
    <row r="2917" spans="22:22" ht="15" x14ac:dyDescent="0.25">
      <c r="V2917"/>
    </row>
    <row r="2918" spans="22:22" ht="15" x14ac:dyDescent="0.25">
      <c r="V2918"/>
    </row>
    <row r="2919" spans="22:22" ht="15" x14ac:dyDescent="0.25">
      <c r="V2919"/>
    </row>
    <row r="2920" spans="22:22" ht="15" x14ac:dyDescent="0.25">
      <c r="V2920"/>
    </row>
    <row r="2921" spans="22:22" ht="15" x14ac:dyDescent="0.25">
      <c r="V2921"/>
    </row>
    <row r="2922" spans="22:22" ht="15" x14ac:dyDescent="0.25">
      <c r="V2922"/>
    </row>
    <row r="2923" spans="22:22" ht="15" x14ac:dyDescent="0.25">
      <c r="V2923"/>
    </row>
    <row r="2924" spans="22:22" ht="15" x14ac:dyDescent="0.25">
      <c r="V2924"/>
    </row>
    <row r="2925" spans="22:22" ht="15" x14ac:dyDescent="0.25">
      <c r="V2925"/>
    </row>
    <row r="2926" spans="22:22" ht="15" x14ac:dyDescent="0.25">
      <c r="V2926"/>
    </row>
    <row r="2927" spans="22:22" ht="15" x14ac:dyDescent="0.25">
      <c r="V2927"/>
    </row>
    <row r="2928" spans="22:22" ht="15" x14ac:dyDescent="0.25">
      <c r="V2928"/>
    </row>
    <row r="2929" spans="22:22" ht="15" x14ac:dyDescent="0.25">
      <c r="V2929"/>
    </row>
    <row r="2930" spans="22:22" ht="15" x14ac:dyDescent="0.25">
      <c r="V2930"/>
    </row>
    <row r="2931" spans="22:22" ht="15" x14ac:dyDescent="0.25">
      <c r="V2931"/>
    </row>
    <row r="2932" spans="22:22" ht="15" x14ac:dyDescent="0.25">
      <c r="V2932"/>
    </row>
    <row r="2933" spans="22:22" ht="15" x14ac:dyDescent="0.25">
      <c r="V2933"/>
    </row>
    <row r="2934" spans="22:22" ht="15" x14ac:dyDescent="0.25">
      <c r="V2934"/>
    </row>
    <row r="2935" spans="22:22" ht="15" x14ac:dyDescent="0.25">
      <c r="V2935"/>
    </row>
    <row r="2936" spans="22:22" ht="15" x14ac:dyDescent="0.25">
      <c r="V2936"/>
    </row>
    <row r="2937" spans="22:22" ht="15" x14ac:dyDescent="0.25">
      <c r="V2937"/>
    </row>
    <row r="2938" spans="22:22" ht="15" x14ac:dyDescent="0.25">
      <c r="V2938"/>
    </row>
    <row r="2939" spans="22:22" ht="15" x14ac:dyDescent="0.25">
      <c r="V2939"/>
    </row>
    <row r="2940" spans="22:22" ht="15" x14ac:dyDescent="0.25">
      <c r="V2940"/>
    </row>
    <row r="2941" spans="22:22" ht="15" x14ac:dyDescent="0.25">
      <c r="V2941"/>
    </row>
    <row r="2942" spans="22:22" ht="15" x14ac:dyDescent="0.25">
      <c r="V2942"/>
    </row>
    <row r="2943" spans="22:22" ht="15" x14ac:dyDescent="0.25">
      <c r="V2943"/>
    </row>
    <row r="2944" spans="22:22" ht="15" x14ac:dyDescent="0.25">
      <c r="V2944"/>
    </row>
    <row r="2945" spans="22:22" ht="15" x14ac:dyDescent="0.25">
      <c r="V2945"/>
    </row>
    <row r="2946" spans="22:22" ht="15" x14ac:dyDescent="0.25">
      <c r="V2946"/>
    </row>
    <row r="2947" spans="22:22" ht="15" x14ac:dyDescent="0.25">
      <c r="V2947"/>
    </row>
    <row r="2948" spans="22:22" ht="15" x14ac:dyDescent="0.25">
      <c r="V2948"/>
    </row>
    <row r="2949" spans="22:22" ht="15" x14ac:dyDescent="0.25">
      <c r="V2949"/>
    </row>
    <row r="2950" spans="22:22" ht="15" x14ac:dyDescent="0.25">
      <c r="V2950"/>
    </row>
    <row r="2951" spans="22:22" ht="15" x14ac:dyDescent="0.25">
      <c r="V2951"/>
    </row>
    <row r="2952" spans="22:22" ht="15" x14ac:dyDescent="0.25">
      <c r="V2952"/>
    </row>
    <row r="2953" spans="22:22" ht="15" x14ac:dyDescent="0.25">
      <c r="V2953"/>
    </row>
    <row r="2954" spans="22:22" ht="15" x14ac:dyDescent="0.25">
      <c r="V2954"/>
    </row>
    <row r="2955" spans="22:22" ht="15" x14ac:dyDescent="0.25">
      <c r="V2955"/>
    </row>
    <row r="2956" spans="22:22" ht="15" x14ac:dyDescent="0.25">
      <c r="V2956"/>
    </row>
    <row r="2957" spans="22:22" ht="15" x14ac:dyDescent="0.25">
      <c r="V2957"/>
    </row>
    <row r="2958" spans="22:22" ht="15" x14ac:dyDescent="0.25">
      <c r="V2958"/>
    </row>
    <row r="2959" spans="22:22" ht="15" x14ac:dyDescent="0.25">
      <c r="V2959"/>
    </row>
    <row r="2960" spans="22:22" ht="15" x14ac:dyDescent="0.25">
      <c r="V2960"/>
    </row>
    <row r="2961" spans="22:22" ht="15" x14ac:dyDescent="0.25">
      <c r="V2961"/>
    </row>
    <row r="2962" spans="22:22" ht="15" x14ac:dyDescent="0.25">
      <c r="V2962"/>
    </row>
    <row r="2963" spans="22:22" ht="15" x14ac:dyDescent="0.25">
      <c r="V2963"/>
    </row>
    <row r="2964" spans="22:22" ht="15" x14ac:dyDescent="0.25">
      <c r="V2964"/>
    </row>
    <row r="2965" spans="22:22" ht="15" x14ac:dyDescent="0.25">
      <c r="V2965"/>
    </row>
    <row r="2966" spans="22:22" ht="15" x14ac:dyDescent="0.25">
      <c r="V2966"/>
    </row>
    <row r="2967" spans="22:22" ht="15" x14ac:dyDescent="0.25">
      <c r="V2967"/>
    </row>
    <row r="2968" spans="22:22" ht="15" x14ac:dyDescent="0.25">
      <c r="V2968"/>
    </row>
    <row r="2969" spans="22:22" ht="15" x14ac:dyDescent="0.25">
      <c r="V2969"/>
    </row>
    <row r="2970" spans="22:22" ht="15" x14ac:dyDescent="0.25">
      <c r="V2970"/>
    </row>
    <row r="2971" spans="22:22" ht="15" x14ac:dyDescent="0.25">
      <c r="V2971"/>
    </row>
    <row r="2972" spans="22:22" ht="15" x14ac:dyDescent="0.25">
      <c r="V2972"/>
    </row>
    <row r="2973" spans="22:22" ht="15" x14ac:dyDescent="0.25">
      <c r="V2973"/>
    </row>
    <row r="2974" spans="22:22" ht="15" x14ac:dyDescent="0.25">
      <c r="V2974"/>
    </row>
    <row r="2975" spans="22:22" ht="15" x14ac:dyDescent="0.25">
      <c r="V2975"/>
    </row>
    <row r="2976" spans="22:22" ht="15" x14ac:dyDescent="0.25">
      <c r="V2976"/>
    </row>
    <row r="2977" spans="22:22" ht="15" x14ac:dyDescent="0.25">
      <c r="V2977"/>
    </row>
    <row r="2978" spans="22:22" ht="15" x14ac:dyDescent="0.25">
      <c r="V2978"/>
    </row>
    <row r="2979" spans="22:22" ht="15" x14ac:dyDescent="0.25">
      <c r="V2979"/>
    </row>
    <row r="2980" spans="22:22" ht="15" x14ac:dyDescent="0.25">
      <c r="V2980"/>
    </row>
    <row r="2981" spans="22:22" ht="15" x14ac:dyDescent="0.25">
      <c r="V2981"/>
    </row>
    <row r="2982" spans="22:22" ht="15" x14ac:dyDescent="0.25">
      <c r="V2982"/>
    </row>
    <row r="2983" spans="22:22" ht="15" x14ac:dyDescent="0.25">
      <c r="V2983"/>
    </row>
    <row r="2984" spans="22:22" ht="15" x14ac:dyDescent="0.25">
      <c r="V2984"/>
    </row>
    <row r="2985" spans="22:22" ht="15" x14ac:dyDescent="0.25">
      <c r="V2985"/>
    </row>
    <row r="2986" spans="22:22" ht="15" x14ac:dyDescent="0.25">
      <c r="V2986"/>
    </row>
    <row r="2987" spans="22:22" ht="15" x14ac:dyDescent="0.25">
      <c r="V2987"/>
    </row>
    <row r="2988" spans="22:22" ht="15" x14ac:dyDescent="0.25">
      <c r="V2988"/>
    </row>
    <row r="2989" spans="22:22" ht="15" x14ac:dyDescent="0.25">
      <c r="V2989"/>
    </row>
    <row r="2990" spans="22:22" ht="15" x14ac:dyDescent="0.25">
      <c r="V2990"/>
    </row>
    <row r="2991" spans="22:22" ht="15" x14ac:dyDescent="0.25">
      <c r="V2991"/>
    </row>
    <row r="2992" spans="22:22" ht="15" x14ac:dyDescent="0.25">
      <c r="V2992"/>
    </row>
    <row r="2993" spans="22:22" ht="15" x14ac:dyDescent="0.25">
      <c r="V2993"/>
    </row>
    <row r="2994" spans="22:22" ht="15" x14ac:dyDescent="0.25">
      <c r="V2994"/>
    </row>
    <row r="2995" spans="22:22" ht="15" x14ac:dyDescent="0.25">
      <c r="V2995"/>
    </row>
    <row r="2996" spans="22:22" ht="15" x14ac:dyDescent="0.25">
      <c r="V2996"/>
    </row>
    <row r="2997" spans="22:22" ht="15" x14ac:dyDescent="0.25">
      <c r="V2997"/>
    </row>
    <row r="2998" spans="22:22" ht="15" x14ac:dyDescent="0.25">
      <c r="V2998"/>
    </row>
    <row r="2999" spans="22:22" ht="15" x14ac:dyDescent="0.25">
      <c r="V2999"/>
    </row>
    <row r="3000" spans="22:22" ht="15" x14ac:dyDescent="0.25">
      <c r="V3000"/>
    </row>
    <row r="3001" spans="22:22" ht="15" x14ac:dyDescent="0.25">
      <c r="V3001"/>
    </row>
    <row r="3002" spans="22:22" ht="15" x14ac:dyDescent="0.25">
      <c r="V3002"/>
    </row>
    <row r="3003" spans="22:22" ht="15" x14ac:dyDescent="0.25">
      <c r="V3003"/>
    </row>
    <row r="3004" spans="22:22" ht="15" x14ac:dyDescent="0.25">
      <c r="V3004"/>
    </row>
    <row r="3005" spans="22:22" ht="15" x14ac:dyDescent="0.25">
      <c r="V3005"/>
    </row>
    <row r="3006" spans="22:22" ht="15" x14ac:dyDescent="0.25">
      <c r="V3006"/>
    </row>
    <row r="3007" spans="22:22" ht="15" x14ac:dyDescent="0.25">
      <c r="V3007"/>
    </row>
    <row r="3008" spans="22:22" ht="15" x14ac:dyDescent="0.25">
      <c r="V3008"/>
    </row>
    <row r="3009" spans="22:22" ht="15" x14ac:dyDescent="0.25">
      <c r="V3009"/>
    </row>
    <row r="3010" spans="22:22" ht="15" x14ac:dyDescent="0.25">
      <c r="V3010"/>
    </row>
    <row r="3011" spans="22:22" ht="15" x14ac:dyDescent="0.25">
      <c r="V3011"/>
    </row>
    <row r="3012" spans="22:22" ht="15" x14ac:dyDescent="0.25">
      <c r="V3012"/>
    </row>
    <row r="3013" spans="22:22" ht="15" x14ac:dyDescent="0.25">
      <c r="V3013"/>
    </row>
    <row r="3014" spans="22:22" ht="15" x14ac:dyDescent="0.25">
      <c r="V3014"/>
    </row>
    <row r="3015" spans="22:22" ht="15" x14ac:dyDescent="0.25">
      <c r="V3015"/>
    </row>
    <row r="3016" spans="22:22" ht="15" x14ac:dyDescent="0.25">
      <c r="V3016"/>
    </row>
    <row r="3017" spans="22:22" ht="15" x14ac:dyDescent="0.25">
      <c r="V3017"/>
    </row>
    <row r="3018" spans="22:22" ht="15" x14ac:dyDescent="0.25">
      <c r="V3018"/>
    </row>
    <row r="3019" spans="22:22" ht="15" x14ac:dyDescent="0.25">
      <c r="V3019"/>
    </row>
    <row r="3020" spans="22:22" ht="15" x14ac:dyDescent="0.25">
      <c r="V3020"/>
    </row>
    <row r="3021" spans="22:22" ht="15" x14ac:dyDescent="0.25">
      <c r="V3021"/>
    </row>
    <row r="3022" spans="22:22" ht="15" x14ac:dyDescent="0.25">
      <c r="V3022"/>
    </row>
    <row r="3023" spans="22:22" ht="15" x14ac:dyDescent="0.25">
      <c r="V3023"/>
    </row>
    <row r="3024" spans="22:22" ht="15" x14ac:dyDescent="0.25">
      <c r="V3024"/>
    </row>
    <row r="3025" spans="22:22" ht="15" x14ac:dyDescent="0.25">
      <c r="V3025"/>
    </row>
    <row r="3026" spans="22:22" ht="15" x14ac:dyDescent="0.25">
      <c r="V3026"/>
    </row>
    <row r="3027" spans="22:22" ht="15" x14ac:dyDescent="0.25">
      <c r="V3027"/>
    </row>
    <row r="3028" spans="22:22" ht="15" x14ac:dyDescent="0.25">
      <c r="V3028"/>
    </row>
    <row r="3029" spans="22:22" ht="15" x14ac:dyDescent="0.25">
      <c r="V3029"/>
    </row>
    <row r="3030" spans="22:22" ht="15" x14ac:dyDescent="0.25">
      <c r="V3030"/>
    </row>
    <row r="3031" spans="22:22" ht="15" x14ac:dyDescent="0.25">
      <c r="V3031"/>
    </row>
    <row r="3032" spans="22:22" ht="15" x14ac:dyDescent="0.25">
      <c r="V3032"/>
    </row>
    <row r="3033" spans="22:22" ht="15" x14ac:dyDescent="0.25">
      <c r="V3033"/>
    </row>
    <row r="3034" spans="22:22" ht="15" x14ac:dyDescent="0.25">
      <c r="V3034"/>
    </row>
    <row r="3035" spans="22:22" ht="15" x14ac:dyDescent="0.25">
      <c r="V3035"/>
    </row>
    <row r="3036" spans="22:22" ht="15" x14ac:dyDescent="0.25">
      <c r="V3036"/>
    </row>
    <row r="3037" spans="22:22" ht="15" x14ac:dyDescent="0.25">
      <c r="V3037"/>
    </row>
    <row r="3038" spans="22:22" ht="15" x14ac:dyDescent="0.25">
      <c r="V3038"/>
    </row>
    <row r="3039" spans="22:22" ht="15" x14ac:dyDescent="0.25">
      <c r="V3039"/>
    </row>
    <row r="3040" spans="22:22" ht="15" x14ac:dyDescent="0.25">
      <c r="V3040"/>
    </row>
    <row r="3041" spans="22:22" ht="15" x14ac:dyDescent="0.25">
      <c r="V3041"/>
    </row>
    <row r="3042" spans="22:22" ht="15" x14ac:dyDescent="0.25">
      <c r="V3042"/>
    </row>
    <row r="3043" spans="22:22" ht="15" x14ac:dyDescent="0.25">
      <c r="V3043"/>
    </row>
    <row r="3044" spans="22:22" ht="15" x14ac:dyDescent="0.25">
      <c r="V3044"/>
    </row>
    <row r="3045" spans="22:22" ht="15" x14ac:dyDescent="0.25">
      <c r="V3045"/>
    </row>
    <row r="3046" spans="22:22" ht="15" x14ac:dyDescent="0.25">
      <c r="V3046"/>
    </row>
    <row r="3047" spans="22:22" ht="15" x14ac:dyDescent="0.25">
      <c r="V3047"/>
    </row>
    <row r="3048" spans="22:22" ht="15" x14ac:dyDescent="0.25">
      <c r="V3048"/>
    </row>
    <row r="3049" spans="22:22" ht="15" x14ac:dyDescent="0.25">
      <c r="V3049"/>
    </row>
    <row r="3050" spans="22:22" ht="15" x14ac:dyDescent="0.25">
      <c r="V3050"/>
    </row>
    <row r="3051" spans="22:22" ht="15" x14ac:dyDescent="0.25">
      <c r="V3051"/>
    </row>
    <row r="3052" spans="22:22" ht="15" x14ac:dyDescent="0.25">
      <c r="V3052"/>
    </row>
    <row r="3053" spans="22:22" ht="15" x14ac:dyDescent="0.25">
      <c r="V3053"/>
    </row>
    <row r="3054" spans="22:22" ht="15" x14ac:dyDescent="0.25">
      <c r="V3054"/>
    </row>
    <row r="3055" spans="22:22" ht="15" x14ac:dyDescent="0.25">
      <c r="V3055"/>
    </row>
    <row r="3056" spans="22:22" ht="15" x14ac:dyDescent="0.25">
      <c r="V3056"/>
    </row>
    <row r="3057" spans="22:22" ht="15" x14ac:dyDescent="0.25">
      <c r="V3057"/>
    </row>
    <row r="3058" spans="22:22" ht="15" x14ac:dyDescent="0.25">
      <c r="V3058"/>
    </row>
    <row r="3059" spans="22:22" ht="15" x14ac:dyDescent="0.25">
      <c r="V3059"/>
    </row>
    <row r="3060" spans="22:22" ht="15" x14ac:dyDescent="0.25">
      <c r="V3060"/>
    </row>
    <row r="3061" spans="22:22" ht="15" x14ac:dyDescent="0.25">
      <c r="V3061"/>
    </row>
    <row r="3062" spans="22:22" ht="15" x14ac:dyDescent="0.25">
      <c r="V3062"/>
    </row>
    <row r="3063" spans="22:22" ht="15" x14ac:dyDescent="0.25">
      <c r="V3063"/>
    </row>
    <row r="3064" spans="22:22" ht="15" x14ac:dyDescent="0.25">
      <c r="V3064"/>
    </row>
    <row r="3065" spans="22:22" ht="15" x14ac:dyDescent="0.25">
      <c r="V3065"/>
    </row>
    <row r="3066" spans="22:22" ht="15" x14ac:dyDescent="0.25">
      <c r="V3066"/>
    </row>
    <row r="3067" spans="22:22" ht="15" x14ac:dyDescent="0.25">
      <c r="V3067"/>
    </row>
    <row r="3068" spans="22:22" ht="15" x14ac:dyDescent="0.25">
      <c r="V3068"/>
    </row>
    <row r="3069" spans="22:22" ht="15" x14ac:dyDescent="0.25">
      <c r="V3069"/>
    </row>
    <row r="3070" spans="22:22" ht="15" x14ac:dyDescent="0.25">
      <c r="V3070"/>
    </row>
    <row r="3071" spans="22:22" ht="15" x14ac:dyDescent="0.25">
      <c r="V3071"/>
    </row>
    <row r="3072" spans="22:22" ht="15" x14ac:dyDescent="0.25">
      <c r="V3072"/>
    </row>
    <row r="3073" spans="22:22" ht="15" x14ac:dyDescent="0.25">
      <c r="V3073"/>
    </row>
    <row r="3074" spans="22:22" ht="15" x14ac:dyDescent="0.25">
      <c r="V3074"/>
    </row>
    <row r="3075" spans="22:22" ht="15" x14ac:dyDescent="0.25">
      <c r="V3075"/>
    </row>
    <row r="3076" spans="22:22" ht="15" x14ac:dyDescent="0.25">
      <c r="V3076"/>
    </row>
    <row r="3077" spans="22:22" ht="15" x14ac:dyDescent="0.25">
      <c r="V3077"/>
    </row>
    <row r="3078" spans="22:22" ht="15" x14ac:dyDescent="0.25">
      <c r="V3078"/>
    </row>
    <row r="3079" spans="22:22" ht="15" x14ac:dyDescent="0.25">
      <c r="V3079"/>
    </row>
    <row r="3080" spans="22:22" ht="15" x14ac:dyDescent="0.25">
      <c r="V3080"/>
    </row>
    <row r="3081" spans="22:22" ht="15" x14ac:dyDescent="0.25">
      <c r="V3081"/>
    </row>
    <row r="3082" spans="22:22" ht="15" x14ac:dyDescent="0.25">
      <c r="V3082"/>
    </row>
    <row r="3083" spans="22:22" ht="15" x14ac:dyDescent="0.25">
      <c r="V3083"/>
    </row>
    <row r="3084" spans="22:22" ht="15" x14ac:dyDescent="0.25">
      <c r="V3084"/>
    </row>
    <row r="3085" spans="22:22" ht="15" x14ac:dyDescent="0.25">
      <c r="V3085"/>
    </row>
    <row r="3086" spans="22:22" ht="15" x14ac:dyDescent="0.25">
      <c r="V3086"/>
    </row>
    <row r="3087" spans="22:22" ht="15" x14ac:dyDescent="0.25">
      <c r="V3087"/>
    </row>
    <row r="3088" spans="22:22" ht="15" x14ac:dyDescent="0.25">
      <c r="V3088"/>
    </row>
    <row r="3089" spans="22:22" ht="15" x14ac:dyDescent="0.25">
      <c r="V3089"/>
    </row>
    <row r="3090" spans="22:22" ht="15" x14ac:dyDescent="0.25">
      <c r="V3090"/>
    </row>
    <row r="3091" spans="22:22" ht="15" x14ac:dyDescent="0.25">
      <c r="V3091"/>
    </row>
    <row r="3092" spans="22:22" ht="15" x14ac:dyDescent="0.25">
      <c r="V3092"/>
    </row>
    <row r="3093" spans="22:22" ht="15" x14ac:dyDescent="0.25">
      <c r="V3093"/>
    </row>
    <row r="3094" spans="22:22" ht="15" x14ac:dyDescent="0.25">
      <c r="V3094"/>
    </row>
    <row r="3095" spans="22:22" ht="15" x14ac:dyDescent="0.25">
      <c r="V3095"/>
    </row>
    <row r="3096" spans="22:22" ht="15" x14ac:dyDescent="0.25">
      <c r="V3096"/>
    </row>
    <row r="3097" spans="22:22" ht="15" x14ac:dyDescent="0.25">
      <c r="V3097"/>
    </row>
    <row r="3098" spans="22:22" ht="15" x14ac:dyDescent="0.25">
      <c r="V3098"/>
    </row>
    <row r="3099" spans="22:22" ht="15" x14ac:dyDescent="0.25">
      <c r="V3099"/>
    </row>
    <row r="3100" spans="22:22" ht="15" x14ac:dyDescent="0.25">
      <c r="V3100"/>
    </row>
    <row r="3101" spans="22:22" ht="15" x14ac:dyDescent="0.25">
      <c r="V3101"/>
    </row>
    <row r="3102" spans="22:22" ht="15" x14ac:dyDescent="0.25">
      <c r="V3102"/>
    </row>
    <row r="3103" spans="22:22" ht="15" x14ac:dyDescent="0.25">
      <c r="V3103"/>
    </row>
    <row r="3104" spans="22:22" ht="15" x14ac:dyDescent="0.25">
      <c r="V3104"/>
    </row>
    <row r="3105" spans="22:22" ht="15" x14ac:dyDescent="0.25">
      <c r="V3105"/>
    </row>
    <row r="3106" spans="22:22" ht="15" x14ac:dyDescent="0.25">
      <c r="V3106"/>
    </row>
    <row r="3107" spans="22:22" ht="15" x14ac:dyDescent="0.25">
      <c r="V3107"/>
    </row>
    <row r="3108" spans="22:22" ht="15" x14ac:dyDescent="0.25">
      <c r="V3108"/>
    </row>
    <row r="3109" spans="22:22" ht="15" x14ac:dyDescent="0.25">
      <c r="V3109"/>
    </row>
    <row r="3110" spans="22:22" ht="15" x14ac:dyDescent="0.25">
      <c r="V3110"/>
    </row>
    <row r="3111" spans="22:22" ht="15" x14ac:dyDescent="0.25">
      <c r="V3111"/>
    </row>
    <row r="3112" spans="22:22" ht="15" x14ac:dyDescent="0.25">
      <c r="V3112"/>
    </row>
    <row r="3113" spans="22:22" ht="15" x14ac:dyDescent="0.25">
      <c r="V3113"/>
    </row>
    <row r="3114" spans="22:22" ht="15" x14ac:dyDescent="0.25">
      <c r="V3114"/>
    </row>
    <row r="3115" spans="22:22" ht="15" x14ac:dyDescent="0.25">
      <c r="V3115"/>
    </row>
    <row r="3116" spans="22:22" ht="15" x14ac:dyDescent="0.25">
      <c r="V3116"/>
    </row>
    <row r="3117" spans="22:22" ht="15" x14ac:dyDescent="0.25">
      <c r="V3117"/>
    </row>
    <row r="3118" spans="22:22" ht="15" x14ac:dyDescent="0.25">
      <c r="V3118"/>
    </row>
    <row r="3119" spans="22:22" ht="15" x14ac:dyDescent="0.25">
      <c r="V3119"/>
    </row>
    <row r="3120" spans="22:22" ht="15" x14ac:dyDescent="0.25">
      <c r="V3120"/>
    </row>
    <row r="3121" spans="22:22" ht="15" x14ac:dyDescent="0.25">
      <c r="V3121"/>
    </row>
    <row r="3122" spans="22:22" ht="15" x14ac:dyDescent="0.25">
      <c r="V3122"/>
    </row>
    <row r="3123" spans="22:22" ht="15" x14ac:dyDescent="0.25">
      <c r="V3123"/>
    </row>
    <row r="3124" spans="22:22" ht="15" x14ac:dyDescent="0.25">
      <c r="V3124"/>
    </row>
    <row r="3125" spans="22:22" ht="15" x14ac:dyDescent="0.25">
      <c r="V3125"/>
    </row>
    <row r="3126" spans="22:22" ht="15" x14ac:dyDescent="0.25">
      <c r="V3126"/>
    </row>
    <row r="3127" spans="22:22" ht="15" x14ac:dyDescent="0.25">
      <c r="V3127"/>
    </row>
    <row r="3128" spans="22:22" ht="15" x14ac:dyDescent="0.25">
      <c r="V3128"/>
    </row>
    <row r="3129" spans="22:22" ht="15" x14ac:dyDescent="0.25">
      <c r="V3129"/>
    </row>
    <row r="3130" spans="22:22" ht="15" x14ac:dyDescent="0.25">
      <c r="V3130"/>
    </row>
    <row r="3131" spans="22:22" ht="15" x14ac:dyDescent="0.25">
      <c r="V3131"/>
    </row>
    <row r="3132" spans="22:22" ht="15" x14ac:dyDescent="0.25">
      <c r="V3132"/>
    </row>
    <row r="3133" spans="22:22" ht="15" x14ac:dyDescent="0.25">
      <c r="V3133"/>
    </row>
    <row r="3134" spans="22:22" ht="15" x14ac:dyDescent="0.25">
      <c r="V3134"/>
    </row>
    <row r="3135" spans="22:22" ht="15" x14ac:dyDescent="0.25">
      <c r="V3135"/>
    </row>
    <row r="3136" spans="22:22" ht="15" x14ac:dyDescent="0.25">
      <c r="V3136"/>
    </row>
    <row r="3137" spans="22:22" ht="15" x14ac:dyDescent="0.25">
      <c r="V3137"/>
    </row>
    <row r="3138" spans="22:22" ht="15" x14ac:dyDescent="0.25">
      <c r="V3138"/>
    </row>
    <row r="3139" spans="22:22" ht="15" x14ac:dyDescent="0.25">
      <c r="V3139"/>
    </row>
    <row r="3140" spans="22:22" ht="15" x14ac:dyDescent="0.25">
      <c r="V3140"/>
    </row>
    <row r="3141" spans="22:22" ht="15" x14ac:dyDescent="0.25">
      <c r="V3141"/>
    </row>
    <row r="3142" spans="22:22" ht="15" x14ac:dyDescent="0.25">
      <c r="V3142"/>
    </row>
    <row r="3143" spans="22:22" ht="15" x14ac:dyDescent="0.25">
      <c r="V3143"/>
    </row>
    <row r="3144" spans="22:22" ht="15" x14ac:dyDescent="0.25">
      <c r="V3144"/>
    </row>
    <row r="3145" spans="22:22" ht="15" x14ac:dyDescent="0.25">
      <c r="V3145"/>
    </row>
    <row r="3146" spans="22:22" ht="15" x14ac:dyDescent="0.25">
      <c r="V3146"/>
    </row>
    <row r="3147" spans="22:22" ht="15" x14ac:dyDescent="0.25">
      <c r="V3147"/>
    </row>
    <row r="3148" spans="22:22" ht="15" x14ac:dyDescent="0.25">
      <c r="V3148"/>
    </row>
    <row r="3149" spans="22:22" ht="15" x14ac:dyDescent="0.25">
      <c r="V3149"/>
    </row>
    <row r="3150" spans="22:22" ht="15" x14ac:dyDescent="0.25">
      <c r="V3150"/>
    </row>
    <row r="3151" spans="22:22" ht="15" x14ac:dyDescent="0.25">
      <c r="V3151"/>
    </row>
    <row r="3152" spans="22:22" ht="15" x14ac:dyDescent="0.25">
      <c r="V3152"/>
    </row>
    <row r="3153" spans="22:22" ht="15" x14ac:dyDescent="0.25">
      <c r="V3153"/>
    </row>
    <row r="3154" spans="22:22" ht="15" x14ac:dyDescent="0.25">
      <c r="V3154"/>
    </row>
    <row r="3155" spans="22:22" ht="15" x14ac:dyDescent="0.25">
      <c r="V3155"/>
    </row>
    <row r="3156" spans="22:22" ht="15" x14ac:dyDescent="0.25">
      <c r="V3156"/>
    </row>
    <row r="3157" spans="22:22" ht="15" x14ac:dyDescent="0.25">
      <c r="V3157"/>
    </row>
    <row r="3158" spans="22:22" ht="15" x14ac:dyDescent="0.25">
      <c r="V3158"/>
    </row>
    <row r="3159" spans="22:22" ht="15" x14ac:dyDescent="0.25">
      <c r="V3159"/>
    </row>
    <row r="3160" spans="22:22" ht="15" x14ac:dyDescent="0.25">
      <c r="V3160"/>
    </row>
    <row r="3161" spans="22:22" ht="15" x14ac:dyDescent="0.25">
      <c r="V3161"/>
    </row>
    <row r="3162" spans="22:22" ht="15" x14ac:dyDescent="0.25">
      <c r="V3162"/>
    </row>
    <row r="3163" spans="22:22" ht="15" x14ac:dyDescent="0.25">
      <c r="V3163"/>
    </row>
    <row r="3164" spans="22:22" ht="15" x14ac:dyDescent="0.25">
      <c r="V3164"/>
    </row>
    <row r="3165" spans="22:22" ht="15" x14ac:dyDescent="0.25">
      <c r="V3165"/>
    </row>
    <row r="3166" spans="22:22" ht="15" x14ac:dyDescent="0.25">
      <c r="V3166"/>
    </row>
    <row r="3167" spans="22:22" ht="15" x14ac:dyDescent="0.25">
      <c r="V3167"/>
    </row>
    <row r="3168" spans="22:22" ht="15" x14ac:dyDescent="0.25">
      <c r="V3168"/>
    </row>
    <row r="3169" spans="22:22" ht="15" x14ac:dyDescent="0.25">
      <c r="V3169"/>
    </row>
    <row r="3170" spans="22:22" ht="15" x14ac:dyDescent="0.25">
      <c r="V3170"/>
    </row>
    <row r="3171" spans="22:22" ht="15" x14ac:dyDescent="0.25">
      <c r="V3171"/>
    </row>
    <row r="3172" spans="22:22" ht="15" x14ac:dyDescent="0.25">
      <c r="V3172"/>
    </row>
    <row r="3173" spans="22:22" ht="15" x14ac:dyDescent="0.25">
      <c r="V3173"/>
    </row>
    <row r="3174" spans="22:22" ht="15" x14ac:dyDescent="0.25">
      <c r="V3174"/>
    </row>
    <row r="3175" spans="22:22" ht="15" x14ac:dyDescent="0.25">
      <c r="V3175"/>
    </row>
    <row r="3176" spans="22:22" ht="15" x14ac:dyDescent="0.25">
      <c r="V3176"/>
    </row>
    <row r="3177" spans="22:22" ht="15" x14ac:dyDescent="0.25">
      <c r="V3177"/>
    </row>
    <row r="3178" spans="22:22" ht="15" x14ac:dyDescent="0.25">
      <c r="V3178"/>
    </row>
    <row r="3179" spans="22:22" ht="15" x14ac:dyDescent="0.25">
      <c r="V3179"/>
    </row>
    <row r="3180" spans="22:22" ht="15" x14ac:dyDescent="0.25">
      <c r="V3180"/>
    </row>
    <row r="3181" spans="22:22" ht="15" x14ac:dyDescent="0.25">
      <c r="V3181"/>
    </row>
    <row r="3182" spans="22:22" ht="15" x14ac:dyDescent="0.25">
      <c r="V3182"/>
    </row>
    <row r="3183" spans="22:22" ht="15" x14ac:dyDescent="0.25">
      <c r="V3183"/>
    </row>
    <row r="3184" spans="22:22" ht="15" x14ac:dyDescent="0.25">
      <c r="V3184"/>
    </row>
    <row r="3185" spans="22:22" ht="15" x14ac:dyDescent="0.25">
      <c r="V3185"/>
    </row>
    <row r="3186" spans="22:22" ht="15" x14ac:dyDescent="0.25">
      <c r="V3186"/>
    </row>
    <row r="3187" spans="22:22" ht="15" x14ac:dyDescent="0.25">
      <c r="V3187"/>
    </row>
    <row r="3188" spans="22:22" ht="15" x14ac:dyDescent="0.25">
      <c r="V3188"/>
    </row>
    <row r="3189" spans="22:22" ht="15" x14ac:dyDescent="0.25">
      <c r="V3189"/>
    </row>
    <row r="3190" spans="22:22" ht="15" x14ac:dyDescent="0.25">
      <c r="V3190"/>
    </row>
    <row r="3191" spans="22:22" ht="15" x14ac:dyDescent="0.25">
      <c r="V3191"/>
    </row>
    <row r="3192" spans="22:22" ht="15" x14ac:dyDescent="0.25">
      <c r="V3192"/>
    </row>
    <row r="3193" spans="22:22" ht="15" x14ac:dyDescent="0.25">
      <c r="V3193"/>
    </row>
    <row r="3194" spans="22:22" ht="15" x14ac:dyDescent="0.25">
      <c r="V3194"/>
    </row>
    <row r="3195" spans="22:22" ht="15" x14ac:dyDescent="0.25">
      <c r="V3195"/>
    </row>
    <row r="3196" spans="22:22" ht="15" x14ac:dyDescent="0.25">
      <c r="V3196"/>
    </row>
    <row r="3197" spans="22:22" ht="15" x14ac:dyDescent="0.25">
      <c r="V3197"/>
    </row>
    <row r="3198" spans="22:22" ht="15" x14ac:dyDescent="0.25">
      <c r="V3198"/>
    </row>
    <row r="3199" spans="22:22" ht="15" x14ac:dyDescent="0.25">
      <c r="V3199"/>
    </row>
    <row r="3200" spans="22:22" ht="15" x14ac:dyDescent="0.25">
      <c r="V3200"/>
    </row>
    <row r="3201" spans="22:22" ht="15" x14ac:dyDescent="0.25">
      <c r="V3201"/>
    </row>
    <row r="3202" spans="22:22" ht="15" x14ac:dyDescent="0.25">
      <c r="V3202"/>
    </row>
    <row r="3203" spans="22:22" ht="15" x14ac:dyDescent="0.25">
      <c r="V3203"/>
    </row>
    <row r="3204" spans="22:22" ht="15" x14ac:dyDescent="0.25">
      <c r="V3204"/>
    </row>
    <row r="3205" spans="22:22" ht="15" x14ac:dyDescent="0.25">
      <c r="V3205"/>
    </row>
    <row r="3206" spans="22:22" ht="15" x14ac:dyDescent="0.25">
      <c r="V3206"/>
    </row>
    <row r="3207" spans="22:22" ht="15" x14ac:dyDescent="0.25">
      <c r="V3207"/>
    </row>
    <row r="3208" spans="22:22" ht="15" x14ac:dyDescent="0.25">
      <c r="V3208"/>
    </row>
    <row r="3209" spans="22:22" ht="15" x14ac:dyDescent="0.25">
      <c r="V3209"/>
    </row>
    <row r="3210" spans="22:22" ht="15" x14ac:dyDescent="0.25">
      <c r="V3210"/>
    </row>
    <row r="3211" spans="22:22" ht="15" x14ac:dyDescent="0.25">
      <c r="V3211"/>
    </row>
    <row r="3212" spans="22:22" ht="15" x14ac:dyDescent="0.25">
      <c r="V3212"/>
    </row>
    <row r="3213" spans="22:22" ht="15" x14ac:dyDescent="0.25">
      <c r="V3213"/>
    </row>
    <row r="3214" spans="22:22" ht="15" x14ac:dyDescent="0.25">
      <c r="V3214"/>
    </row>
    <row r="3215" spans="22:22" ht="15" x14ac:dyDescent="0.25">
      <c r="V3215"/>
    </row>
    <row r="3216" spans="22:22" ht="15" x14ac:dyDescent="0.25">
      <c r="V3216"/>
    </row>
    <row r="3217" spans="22:22" ht="15" x14ac:dyDescent="0.25">
      <c r="V3217"/>
    </row>
    <row r="3218" spans="22:22" ht="15" x14ac:dyDescent="0.25">
      <c r="V3218"/>
    </row>
    <row r="3219" spans="22:22" ht="15" x14ac:dyDescent="0.25">
      <c r="V3219"/>
    </row>
    <row r="3220" spans="22:22" ht="15" x14ac:dyDescent="0.25">
      <c r="V3220"/>
    </row>
    <row r="3221" spans="22:22" ht="15" x14ac:dyDescent="0.25">
      <c r="V3221"/>
    </row>
    <row r="3222" spans="22:22" ht="15" x14ac:dyDescent="0.25">
      <c r="V3222"/>
    </row>
    <row r="3223" spans="22:22" ht="15" x14ac:dyDescent="0.25">
      <c r="V3223"/>
    </row>
    <row r="3224" spans="22:22" ht="15" x14ac:dyDescent="0.25">
      <c r="V3224"/>
    </row>
    <row r="3225" spans="22:22" ht="15" x14ac:dyDescent="0.25">
      <c r="V3225"/>
    </row>
    <row r="3226" spans="22:22" ht="15" x14ac:dyDescent="0.25">
      <c r="V3226"/>
    </row>
    <row r="3227" spans="22:22" ht="15" x14ac:dyDescent="0.25">
      <c r="V3227"/>
    </row>
    <row r="3228" spans="22:22" ht="15" x14ac:dyDescent="0.25">
      <c r="V3228"/>
    </row>
    <row r="3229" spans="22:22" ht="15" x14ac:dyDescent="0.25">
      <c r="V3229"/>
    </row>
    <row r="3230" spans="22:22" ht="15" x14ac:dyDescent="0.25">
      <c r="V3230"/>
    </row>
    <row r="3231" spans="22:22" ht="15" x14ac:dyDescent="0.25">
      <c r="V3231"/>
    </row>
    <row r="3232" spans="22:22" ht="15" x14ac:dyDescent="0.25">
      <c r="V3232"/>
    </row>
    <row r="3233" spans="22:22" ht="15" x14ac:dyDescent="0.25">
      <c r="V3233"/>
    </row>
    <row r="3234" spans="22:22" ht="15" x14ac:dyDescent="0.25">
      <c r="V3234"/>
    </row>
    <row r="3235" spans="22:22" ht="15" x14ac:dyDescent="0.25">
      <c r="V3235"/>
    </row>
    <row r="3236" spans="22:22" ht="15" x14ac:dyDescent="0.25">
      <c r="V3236"/>
    </row>
    <row r="3237" spans="22:22" ht="15" x14ac:dyDescent="0.25">
      <c r="V3237"/>
    </row>
    <row r="3238" spans="22:22" ht="15" x14ac:dyDescent="0.25">
      <c r="V3238"/>
    </row>
    <row r="3239" spans="22:22" ht="15" x14ac:dyDescent="0.25">
      <c r="V3239"/>
    </row>
    <row r="3240" spans="22:22" ht="15" x14ac:dyDescent="0.25">
      <c r="V3240"/>
    </row>
    <row r="3241" spans="22:22" ht="15" x14ac:dyDescent="0.25">
      <c r="V3241"/>
    </row>
    <row r="3242" spans="22:22" ht="15" x14ac:dyDescent="0.25">
      <c r="V3242"/>
    </row>
    <row r="3243" spans="22:22" ht="15" x14ac:dyDescent="0.25">
      <c r="V3243"/>
    </row>
    <row r="3244" spans="22:22" ht="15" x14ac:dyDescent="0.25">
      <c r="V3244"/>
    </row>
    <row r="3245" spans="22:22" ht="15" x14ac:dyDescent="0.25">
      <c r="V3245"/>
    </row>
    <row r="3246" spans="22:22" ht="15" x14ac:dyDescent="0.25">
      <c r="V3246"/>
    </row>
    <row r="3247" spans="22:22" ht="15" x14ac:dyDescent="0.25">
      <c r="V3247"/>
    </row>
    <row r="3248" spans="22:22" ht="15" x14ac:dyDescent="0.25">
      <c r="V3248"/>
    </row>
    <row r="3249" spans="22:22" ht="15" x14ac:dyDescent="0.25">
      <c r="V3249"/>
    </row>
    <row r="3250" spans="22:22" ht="15" x14ac:dyDescent="0.25">
      <c r="V3250"/>
    </row>
    <row r="3251" spans="22:22" ht="15" x14ac:dyDescent="0.25">
      <c r="V3251"/>
    </row>
    <row r="3252" spans="22:22" ht="15" x14ac:dyDescent="0.25">
      <c r="V3252"/>
    </row>
    <row r="3253" spans="22:22" ht="15" x14ac:dyDescent="0.25">
      <c r="V3253"/>
    </row>
    <row r="3254" spans="22:22" ht="15" x14ac:dyDescent="0.25">
      <c r="V3254"/>
    </row>
    <row r="3255" spans="22:22" ht="15" x14ac:dyDescent="0.25">
      <c r="V3255"/>
    </row>
    <row r="3256" spans="22:22" ht="15" x14ac:dyDescent="0.25">
      <c r="V3256"/>
    </row>
    <row r="3257" spans="22:22" ht="15" x14ac:dyDescent="0.25">
      <c r="V3257"/>
    </row>
    <row r="3258" spans="22:22" ht="15" x14ac:dyDescent="0.25">
      <c r="V3258"/>
    </row>
    <row r="3259" spans="22:22" ht="15" x14ac:dyDescent="0.25">
      <c r="V3259"/>
    </row>
    <row r="3260" spans="22:22" ht="15" x14ac:dyDescent="0.25">
      <c r="V3260"/>
    </row>
    <row r="3261" spans="22:22" ht="15" x14ac:dyDescent="0.25">
      <c r="V3261"/>
    </row>
    <row r="3262" spans="22:22" ht="15" x14ac:dyDescent="0.25">
      <c r="V3262"/>
    </row>
    <row r="3263" spans="22:22" ht="15" x14ac:dyDescent="0.25">
      <c r="V3263"/>
    </row>
    <row r="3264" spans="22:22" ht="15" x14ac:dyDescent="0.25">
      <c r="V3264"/>
    </row>
    <row r="3265" spans="22:22" ht="15" x14ac:dyDescent="0.25">
      <c r="V3265"/>
    </row>
    <row r="3266" spans="22:22" ht="15" x14ac:dyDescent="0.25">
      <c r="V3266"/>
    </row>
    <row r="3267" spans="22:22" ht="15" x14ac:dyDescent="0.25">
      <c r="V3267"/>
    </row>
    <row r="3268" spans="22:22" ht="15" x14ac:dyDescent="0.25">
      <c r="V3268"/>
    </row>
    <row r="3269" spans="22:22" ht="15" x14ac:dyDescent="0.25">
      <c r="V3269"/>
    </row>
    <row r="3270" spans="22:22" ht="15" x14ac:dyDescent="0.25">
      <c r="V3270"/>
    </row>
    <row r="3271" spans="22:22" ht="15" x14ac:dyDescent="0.25">
      <c r="V3271"/>
    </row>
    <row r="3272" spans="22:22" ht="15" x14ac:dyDescent="0.25">
      <c r="V3272"/>
    </row>
    <row r="3273" spans="22:22" ht="15" x14ac:dyDescent="0.25">
      <c r="V3273"/>
    </row>
    <row r="3274" spans="22:22" ht="15" x14ac:dyDescent="0.25">
      <c r="V3274"/>
    </row>
    <row r="3275" spans="22:22" ht="15" x14ac:dyDescent="0.25">
      <c r="V3275"/>
    </row>
    <row r="3276" spans="22:22" ht="15" x14ac:dyDescent="0.25">
      <c r="V3276"/>
    </row>
    <row r="3277" spans="22:22" ht="15" x14ac:dyDescent="0.25">
      <c r="V3277"/>
    </row>
    <row r="3278" spans="22:22" ht="15" x14ac:dyDescent="0.25">
      <c r="V3278"/>
    </row>
    <row r="3279" spans="22:22" ht="15" x14ac:dyDescent="0.25">
      <c r="V3279"/>
    </row>
    <row r="3280" spans="22:22" ht="15" x14ac:dyDescent="0.25">
      <c r="V3280"/>
    </row>
    <row r="3281" spans="22:22" ht="15" x14ac:dyDescent="0.25">
      <c r="V3281"/>
    </row>
    <row r="3282" spans="22:22" ht="15" x14ac:dyDescent="0.25">
      <c r="V3282"/>
    </row>
    <row r="3283" spans="22:22" ht="15" x14ac:dyDescent="0.25">
      <c r="V3283"/>
    </row>
    <row r="3284" spans="22:22" ht="15" x14ac:dyDescent="0.25">
      <c r="V3284"/>
    </row>
    <row r="3285" spans="22:22" ht="15" x14ac:dyDescent="0.25">
      <c r="V3285"/>
    </row>
    <row r="3286" spans="22:22" ht="15" x14ac:dyDescent="0.25">
      <c r="V3286"/>
    </row>
    <row r="3287" spans="22:22" ht="15" x14ac:dyDescent="0.25">
      <c r="V3287"/>
    </row>
    <row r="3288" spans="22:22" ht="15" x14ac:dyDescent="0.25">
      <c r="V3288"/>
    </row>
    <row r="3289" spans="22:22" ht="15" x14ac:dyDescent="0.25">
      <c r="V3289"/>
    </row>
    <row r="3290" spans="22:22" ht="15" x14ac:dyDescent="0.25">
      <c r="V3290"/>
    </row>
    <row r="3291" spans="22:22" ht="15" x14ac:dyDescent="0.25">
      <c r="V3291"/>
    </row>
    <row r="3292" spans="22:22" ht="15" x14ac:dyDescent="0.25">
      <c r="V3292"/>
    </row>
    <row r="3293" spans="22:22" ht="15" x14ac:dyDescent="0.25">
      <c r="V3293"/>
    </row>
    <row r="3294" spans="22:22" ht="15" x14ac:dyDescent="0.25">
      <c r="V3294"/>
    </row>
    <row r="3295" spans="22:22" ht="15" x14ac:dyDescent="0.25">
      <c r="V3295"/>
    </row>
    <row r="3296" spans="22:22" ht="15" x14ac:dyDescent="0.25">
      <c r="V3296"/>
    </row>
    <row r="3297" spans="22:22" ht="15" x14ac:dyDescent="0.25">
      <c r="V3297"/>
    </row>
    <row r="3298" spans="22:22" ht="15" x14ac:dyDescent="0.25">
      <c r="V3298"/>
    </row>
    <row r="3299" spans="22:22" ht="15" x14ac:dyDescent="0.25">
      <c r="V3299"/>
    </row>
    <row r="3300" spans="22:22" ht="15" x14ac:dyDescent="0.25">
      <c r="V3300"/>
    </row>
    <row r="3301" spans="22:22" ht="15" x14ac:dyDescent="0.25">
      <c r="V3301"/>
    </row>
    <row r="3302" spans="22:22" ht="15" x14ac:dyDescent="0.25">
      <c r="V3302"/>
    </row>
    <row r="3303" spans="22:22" ht="15" x14ac:dyDescent="0.25">
      <c r="V3303"/>
    </row>
    <row r="3304" spans="22:22" ht="15" x14ac:dyDescent="0.25">
      <c r="V3304"/>
    </row>
    <row r="3305" spans="22:22" ht="15" x14ac:dyDescent="0.25">
      <c r="V3305"/>
    </row>
    <row r="3306" spans="22:22" ht="15" x14ac:dyDescent="0.25">
      <c r="V3306"/>
    </row>
    <row r="3307" spans="22:22" ht="15" x14ac:dyDescent="0.25">
      <c r="V3307"/>
    </row>
    <row r="3308" spans="22:22" ht="15" x14ac:dyDescent="0.25">
      <c r="V3308"/>
    </row>
    <row r="3309" spans="22:22" ht="15" x14ac:dyDescent="0.25">
      <c r="V3309"/>
    </row>
    <row r="3310" spans="22:22" ht="15" x14ac:dyDescent="0.25">
      <c r="V3310"/>
    </row>
    <row r="3311" spans="22:22" ht="15" x14ac:dyDescent="0.25">
      <c r="V3311"/>
    </row>
    <row r="3312" spans="22:22" ht="15" x14ac:dyDescent="0.25">
      <c r="V3312"/>
    </row>
    <row r="3313" spans="22:22" ht="15" x14ac:dyDescent="0.25">
      <c r="V3313"/>
    </row>
    <row r="3314" spans="22:22" ht="15" x14ac:dyDescent="0.25">
      <c r="V3314"/>
    </row>
    <row r="3315" spans="22:22" ht="15" x14ac:dyDescent="0.25">
      <c r="V3315"/>
    </row>
    <row r="3316" spans="22:22" ht="15" x14ac:dyDescent="0.25">
      <c r="V3316"/>
    </row>
    <row r="3317" spans="22:22" ht="15" x14ac:dyDescent="0.25">
      <c r="V3317"/>
    </row>
    <row r="3318" spans="22:22" ht="15" x14ac:dyDescent="0.25">
      <c r="V3318"/>
    </row>
    <row r="3319" spans="22:22" ht="15" x14ac:dyDescent="0.25">
      <c r="V3319"/>
    </row>
    <row r="3320" spans="22:22" ht="15" x14ac:dyDescent="0.25">
      <c r="V3320"/>
    </row>
    <row r="3321" spans="22:22" ht="15" x14ac:dyDescent="0.25">
      <c r="V3321"/>
    </row>
    <row r="3322" spans="22:22" ht="15" x14ac:dyDescent="0.25">
      <c r="V3322"/>
    </row>
    <row r="3323" spans="22:22" ht="15" x14ac:dyDescent="0.25">
      <c r="V3323"/>
    </row>
    <row r="3324" spans="22:22" ht="15" x14ac:dyDescent="0.25">
      <c r="V3324"/>
    </row>
    <row r="3325" spans="22:22" ht="15" x14ac:dyDescent="0.25">
      <c r="V3325"/>
    </row>
    <row r="3326" spans="22:22" ht="15" x14ac:dyDescent="0.25">
      <c r="V3326"/>
    </row>
    <row r="3327" spans="22:22" ht="15" x14ac:dyDescent="0.25">
      <c r="V3327"/>
    </row>
    <row r="3328" spans="22:22" ht="15" x14ac:dyDescent="0.25">
      <c r="V3328"/>
    </row>
    <row r="3329" spans="22:22" ht="15" x14ac:dyDescent="0.25">
      <c r="V3329"/>
    </row>
    <row r="3330" spans="22:22" ht="15" x14ac:dyDescent="0.25">
      <c r="V3330"/>
    </row>
    <row r="3331" spans="22:22" ht="15" x14ac:dyDescent="0.25">
      <c r="V3331"/>
    </row>
    <row r="3332" spans="22:22" ht="15" x14ac:dyDescent="0.25">
      <c r="V3332"/>
    </row>
    <row r="3333" spans="22:22" ht="15" x14ac:dyDescent="0.25">
      <c r="V3333"/>
    </row>
    <row r="3334" spans="22:22" ht="15" x14ac:dyDescent="0.25">
      <c r="V3334"/>
    </row>
    <row r="3335" spans="22:22" ht="15" x14ac:dyDescent="0.25">
      <c r="V3335"/>
    </row>
    <row r="3336" spans="22:22" ht="15" x14ac:dyDescent="0.25">
      <c r="V3336"/>
    </row>
    <row r="3337" spans="22:22" ht="15" x14ac:dyDescent="0.25">
      <c r="V3337"/>
    </row>
    <row r="3338" spans="22:22" ht="15" x14ac:dyDescent="0.25">
      <c r="V3338"/>
    </row>
    <row r="3339" spans="22:22" ht="15" x14ac:dyDescent="0.25">
      <c r="V3339"/>
    </row>
    <row r="3340" spans="22:22" ht="15" x14ac:dyDescent="0.25">
      <c r="V3340"/>
    </row>
    <row r="3341" spans="22:22" ht="15" x14ac:dyDescent="0.25">
      <c r="V3341"/>
    </row>
    <row r="3342" spans="22:22" ht="15" x14ac:dyDescent="0.25">
      <c r="V3342"/>
    </row>
    <row r="3343" spans="22:22" ht="15" x14ac:dyDescent="0.25">
      <c r="V3343"/>
    </row>
    <row r="3344" spans="22:22" ht="15" x14ac:dyDescent="0.25">
      <c r="V3344"/>
    </row>
    <row r="3345" spans="22:22" ht="15" x14ac:dyDescent="0.25">
      <c r="V3345"/>
    </row>
    <row r="3346" spans="22:22" ht="15" x14ac:dyDescent="0.25">
      <c r="V3346"/>
    </row>
    <row r="3347" spans="22:22" ht="15" x14ac:dyDescent="0.25">
      <c r="V3347"/>
    </row>
    <row r="3348" spans="22:22" ht="15" x14ac:dyDescent="0.25">
      <c r="V3348"/>
    </row>
    <row r="3349" spans="22:22" ht="15" x14ac:dyDescent="0.25">
      <c r="V3349"/>
    </row>
    <row r="3350" spans="22:22" ht="15" x14ac:dyDescent="0.25">
      <c r="V3350"/>
    </row>
    <row r="3351" spans="22:22" ht="15" x14ac:dyDescent="0.25">
      <c r="V3351"/>
    </row>
    <row r="3352" spans="22:22" ht="15" x14ac:dyDescent="0.25">
      <c r="V3352"/>
    </row>
    <row r="3353" spans="22:22" ht="15" x14ac:dyDescent="0.25">
      <c r="V3353"/>
    </row>
    <row r="3354" spans="22:22" ht="15" x14ac:dyDescent="0.25">
      <c r="V3354"/>
    </row>
    <row r="3355" spans="22:22" ht="15" x14ac:dyDescent="0.25">
      <c r="V3355"/>
    </row>
    <row r="3356" spans="22:22" ht="15" x14ac:dyDescent="0.25">
      <c r="V3356"/>
    </row>
    <row r="3357" spans="22:22" ht="15" x14ac:dyDescent="0.25">
      <c r="V3357"/>
    </row>
    <row r="3358" spans="22:22" ht="15" x14ac:dyDescent="0.25">
      <c r="V3358"/>
    </row>
    <row r="3359" spans="22:22" ht="15" x14ac:dyDescent="0.25">
      <c r="V3359"/>
    </row>
    <row r="3360" spans="22:22" ht="15" x14ac:dyDescent="0.25">
      <c r="V3360"/>
    </row>
    <row r="3361" spans="22:22" ht="15" x14ac:dyDescent="0.25">
      <c r="V3361"/>
    </row>
    <row r="3362" spans="22:22" ht="15" x14ac:dyDescent="0.25">
      <c r="V3362"/>
    </row>
    <row r="3363" spans="22:22" ht="15" x14ac:dyDescent="0.25">
      <c r="V3363"/>
    </row>
    <row r="3364" spans="22:22" ht="15" x14ac:dyDescent="0.25">
      <c r="V3364"/>
    </row>
    <row r="3365" spans="22:22" ht="15" x14ac:dyDescent="0.25">
      <c r="V3365"/>
    </row>
    <row r="3366" spans="22:22" ht="15" x14ac:dyDescent="0.25">
      <c r="V3366"/>
    </row>
    <row r="3367" spans="22:22" ht="15" x14ac:dyDescent="0.25">
      <c r="V3367"/>
    </row>
    <row r="3368" spans="22:22" ht="15" x14ac:dyDescent="0.25">
      <c r="V3368"/>
    </row>
    <row r="3369" spans="22:22" ht="15" x14ac:dyDescent="0.25">
      <c r="V3369"/>
    </row>
    <row r="3370" spans="22:22" ht="15" x14ac:dyDescent="0.25">
      <c r="V3370"/>
    </row>
    <row r="3371" spans="22:22" ht="15" x14ac:dyDescent="0.25">
      <c r="V3371"/>
    </row>
    <row r="3372" spans="22:22" ht="15" x14ac:dyDescent="0.25">
      <c r="V3372"/>
    </row>
    <row r="3373" spans="22:22" ht="15" x14ac:dyDescent="0.25">
      <c r="V3373"/>
    </row>
    <row r="3374" spans="22:22" ht="15" x14ac:dyDescent="0.25">
      <c r="V3374"/>
    </row>
    <row r="3375" spans="22:22" ht="15" x14ac:dyDescent="0.25">
      <c r="V3375"/>
    </row>
    <row r="3376" spans="22:22" ht="15" x14ac:dyDescent="0.25">
      <c r="V3376"/>
    </row>
    <row r="3377" spans="22:22" ht="15" x14ac:dyDescent="0.25">
      <c r="V3377"/>
    </row>
    <row r="3378" spans="22:22" ht="15" x14ac:dyDescent="0.25">
      <c r="V3378"/>
    </row>
    <row r="3379" spans="22:22" ht="15" x14ac:dyDescent="0.25">
      <c r="V3379"/>
    </row>
    <row r="3380" spans="22:22" ht="15" x14ac:dyDescent="0.25">
      <c r="V3380"/>
    </row>
    <row r="3381" spans="22:22" ht="15" x14ac:dyDescent="0.25">
      <c r="V3381"/>
    </row>
    <row r="3382" spans="22:22" ht="15" x14ac:dyDescent="0.25">
      <c r="V3382"/>
    </row>
    <row r="3383" spans="22:22" ht="15" x14ac:dyDescent="0.25">
      <c r="V3383"/>
    </row>
    <row r="3384" spans="22:22" ht="15" x14ac:dyDescent="0.25">
      <c r="V3384"/>
    </row>
    <row r="3385" spans="22:22" ht="15" x14ac:dyDescent="0.25">
      <c r="V3385"/>
    </row>
    <row r="3386" spans="22:22" ht="15" x14ac:dyDescent="0.25">
      <c r="V3386"/>
    </row>
    <row r="3387" spans="22:22" ht="15" x14ac:dyDescent="0.25">
      <c r="V3387"/>
    </row>
    <row r="3388" spans="22:22" ht="15" x14ac:dyDescent="0.25">
      <c r="V3388"/>
    </row>
    <row r="3389" spans="22:22" ht="15" x14ac:dyDescent="0.25">
      <c r="V3389"/>
    </row>
    <row r="3390" spans="22:22" ht="15" x14ac:dyDescent="0.25">
      <c r="V3390"/>
    </row>
    <row r="3391" spans="22:22" ht="15" x14ac:dyDescent="0.25">
      <c r="V3391"/>
    </row>
    <row r="3392" spans="22:22" ht="15" x14ac:dyDescent="0.25">
      <c r="V3392"/>
    </row>
    <row r="3393" spans="22:22" ht="15" x14ac:dyDescent="0.25">
      <c r="V3393"/>
    </row>
    <row r="3394" spans="22:22" ht="15" x14ac:dyDescent="0.25">
      <c r="V3394"/>
    </row>
    <row r="3395" spans="22:22" ht="15" x14ac:dyDescent="0.25">
      <c r="V3395"/>
    </row>
    <row r="3396" spans="22:22" ht="15" x14ac:dyDescent="0.25">
      <c r="V3396"/>
    </row>
    <row r="3397" spans="22:22" ht="15" x14ac:dyDescent="0.25">
      <c r="V3397"/>
    </row>
    <row r="3398" spans="22:22" ht="15" x14ac:dyDescent="0.25">
      <c r="V3398"/>
    </row>
    <row r="3399" spans="22:22" ht="15" x14ac:dyDescent="0.25">
      <c r="V3399"/>
    </row>
    <row r="3400" spans="22:22" ht="15" x14ac:dyDescent="0.25">
      <c r="V3400"/>
    </row>
    <row r="3401" spans="22:22" ht="15" x14ac:dyDescent="0.25">
      <c r="V3401"/>
    </row>
    <row r="3402" spans="22:22" ht="15" x14ac:dyDescent="0.25">
      <c r="V3402"/>
    </row>
    <row r="3403" spans="22:22" ht="15" x14ac:dyDescent="0.25">
      <c r="V3403"/>
    </row>
    <row r="3404" spans="22:22" ht="15" x14ac:dyDescent="0.25">
      <c r="V3404"/>
    </row>
    <row r="3405" spans="22:22" ht="15" x14ac:dyDescent="0.25">
      <c r="V3405"/>
    </row>
    <row r="3406" spans="22:22" ht="15" x14ac:dyDescent="0.25">
      <c r="V3406"/>
    </row>
    <row r="3407" spans="22:22" ht="15" x14ac:dyDescent="0.25">
      <c r="V3407"/>
    </row>
    <row r="3408" spans="22:22" ht="15" x14ac:dyDescent="0.25">
      <c r="V3408"/>
    </row>
    <row r="3409" spans="22:22" ht="15" x14ac:dyDescent="0.25">
      <c r="V3409"/>
    </row>
    <row r="3410" spans="22:22" ht="15" x14ac:dyDescent="0.25">
      <c r="V3410"/>
    </row>
    <row r="3411" spans="22:22" ht="15" x14ac:dyDescent="0.25">
      <c r="V3411"/>
    </row>
    <row r="3412" spans="22:22" ht="15" x14ac:dyDescent="0.25">
      <c r="V3412"/>
    </row>
    <row r="3413" spans="22:22" ht="15" x14ac:dyDescent="0.25">
      <c r="V3413"/>
    </row>
    <row r="3414" spans="22:22" ht="15" x14ac:dyDescent="0.25">
      <c r="V3414"/>
    </row>
    <row r="3415" spans="22:22" ht="15" x14ac:dyDescent="0.25">
      <c r="V3415"/>
    </row>
    <row r="3416" spans="22:22" ht="15" x14ac:dyDescent="0.25">
      <c r="V3416"/>
    </row>
    <row r="3417" spans="22:22" ht="15" x14ac:dyDescent="0.25">
      <c r="V3417"/>
    </row>
    <row r="3418" spans="22:22" ht="15" x14ac:dyDescent="0.25">
      <c r="V3418"/>
    </row>
    <row r="3419" spans="22:22" ht="15" x14ac:dyDescent="0.25">
      <c r="V3419"/>
    </row>
    <row r="3420" spans="22:22" ht="15" x14ac:dyDescent="0.25">
      <c r="V3420"/>
    </row>
    <row r="3421" spans="22:22" ht="15" x14ac:dyDescent="0.25">
      <c r="V3421"/>
    </row>
    <row r="3422" spans="22:22" ht="15" x14ac:dyDescent="0.25">
      <c r="V3422"/>
    </row>
    <row r="3423" spans="22:22" ht="15" x14ac:dyDescent="0.25">
      <c r="V3423"/>
    </row>
    <row r="3424" spans="22:22" ht="15" x14ac:dyDescent="0.25">
      <c r="V3424"/>
    </row>
    <row r="3425" spans="22:22" ht="15" x14ac:dyDescent="0.25">
      <c r="V3425"/>
    </row>
    <row r="3426" spans="22:22" ht="15" x14ac:dyDescent="0.25">
      <c r="V3426"/>
    </row>
    <row r="3427" spans="22:22" ht="15" x14ac:dyDescent="0.25">
      <c r="V3427"/>
    </row>
    <row r="3428" spans="22:22" ht="15" x14ac:dyDescent="0.25">
      <c r="V3428"/>
    </row>
    <row r="3429" spans="22:22" ht="15" x14ac:dyDescent="0.25">
      <c r="V3429"/>
    </row>
    <row r="3430" spans="22:22" ht="15" x14ac:dyDescent="0.25">
      <c r="V3430"/>
    </row>
    <row r="3431" spans="22:22" ht="15" x14ac:dyDescent="0.25">
      <c r="V3431"/>
    </row>
    <row r="3432" spans="22:22" ht="15" x14ac:dyDescent="0.25">
      <c r="V3432"/>
    </row>
    <row r="3433" spans="22:22" ht="15" x14ac:dyDescent="0.25">
      <c r="V3433"/>
    </row>
    <row r="3434" spans="22:22" ht="15" x14ac:dyDescent="0.25">
      <c r="V3434"/>
    </row>
    <row r="3435" spans="22:22" ht="15" x14ac:dyDescent="0.25">
      <c r="V3435"/>
    </row>
    <row r="3436" spans="22:22" ht="15" x14ac:dyDescent="0.25">
      <c r="V3436"/>
    </row>
    <row r="3437" spans="22:22" ht="15" x14ac:dyDescent="0.25">
      <c r="V3437"/>
    </row>
    <row r="3438" spans="22:22" ht="15" x14ac:dyDescent="0.25">
      <c r="V3438"/>
    </row>
    <row r="3439" spans="22:22" ht="15" x14ac:dyDescent="0.25">
      <c r="V3439"/>
    </row>
    <row r="3440" spans="22:22" ht="15" x14ac:dyDescent="0.25">
      <c r="V3440"/>
    </row>
    <row r="3441" spans="22:22" ht="15" x14ac:dyDescent="0.25">
      <c r="V3441"/>
    </row>
    <row r="3442" spans="22:22" ht="15" x14ac:dyDescent="0.25">
      <c r="V3442"/>
    </row>
    <row r="3443" spans="22:22" ht="15" x14ac:dyDescent="0.25">
      <c r="V3443"/>
    </row>
    <row r="3444" spans="22:22" ht="15" x14ac:dyDescent="0.25">
      <c r="V3444"/>
    </row>
    <row r="3445" spans="22:22" ht="15" x14ac:dyDescent="0.25">
      <c r="V3445"/>
    </row>
    <row r="3446" spans="22:22" ht="15" x14ac:dyDescent="0.25">
      <c r="V3446"/>
    </row>
    <row r="3447" spans="22:22" ht="15" x14ac:dyDescent="0.25">
      <c r="V3447"/>
    </row>
    <row r="3448" spans="22:22" ht="15" x14ac:dyDescent="0.25">
      <c r="V3448"/>
    </row>
    <row r="3449" spans="22:22" ht="15" x14ac:dyDescent="0.25">
      <c r="V3449"/>
    </row>
    <row r="3450" spans="22:22" ht="15" x14ac:dyDescent="0.25">
      <c r="V3450"/>
    </row>
    <row r="3451" spans="22:22" ht="15" x14ac:dyDescent="0.25">
      <c r="V3451"/>
    </row>
    <row r="3452" spans="22:22" ht="15" x14ac:dyDescent="0.25">
      <c r="V3452"/>
    </row>
    <row r="3453" spans="22:22" ht="15" x14ac:dyDescent="0.25">
      <c r="V3453"/>
    </row>
    <row r="3454" spans="22:22" ht="15" x14ac:dyDescent="0.25">
      <c r="V3454"/>
    </row>
    <row r="3455" spans="22:22" ht="15" x14ac:dyDescent="0.25">
      <c r="V3455"/>
    </row>
    <row r="3456" spans="22:22" ht="15" x14ac:dyDescent="0.25">
      <c r="V3456"/>
    </row>
    <row r="3457" spans="22:22" ht="15" x14ac:dyDescent="0.25">
      <c r="V3457"/>
    </row>
    <row r="3458" spans="22:22" ht="15" x14ac:dyDescent="0.25">
      <c r="V3458"/>
    </row>
    <row r="3459" spans="22:22" ht="15" x14ac:dyDescent="0.25">
      <c r="V3459"/>
    </row>
    <row r="3460" spans="22:22" ht="15" x14ac:dyDescent="0.25">
      <c r="V3460"/>
    </row>
    <row r="3461" spans="22:22" ht="15" x14ac:dyDescent="0.25">
      <c r="V3461"/>
    </row>
    <row r="3462" spans="22:22" ht="15" x14ac:dyDescent="0.25">
      <c r="V3462"/>
    </row>
    <row r="3463" spans="22:22" ht="15" x14ac:dyDescent="0.25">
      <c r="V3463"/>
    </row>
    <row r="3464" spans="22:22" ht="15" x14ac:dyDescent="0.25">
      <c r="V3464"/>
    </row>
    <row r="3465" spans="22:22" ht="15" x14ac:dyDescent="0.25">
      <c r="V3465"/>
    </row>
    <row r="3466" spans="22:22" ht="15" x14ac:dyDescent="0.25">
      <c r="V3466"/>
    </row>
    <row r="3467" spans="22:22" ht="15" x14ac:dyDescent="0.25">
      <c r="V3467"/>
    </row>
    <row r="3468" spans="22:22" ht="15" x14ac:dyDescent="0.25">
      <c r="V3468"/>
    </row>
    <row r="3469" spans="22:22" ht="15" x14ac:dyDescent="0.25">
      <c r="V3469"/>
    </row>
    <row r="3470" spans="22:22" ht="15" x14ac:dyDescent="0.25">
      <c r="V3470"/>
    </row>
    <row r="3471" spans="22:22" ht="15" x14ac:dyDescent="0.25">
      <c r="V3471"/>
    </row>
    <row r="3472" spans="22:22" ht="15" x14ac:dyDescent="0.25">
      <c r="V3472"/>
    </row>
    <row r="3473" spans="22:22" ht="15" x14ac:dyDescent="0.25">
      <c r="V3473"/>
    </row>
    <row r="3474" spans="22:22" ht="15" x14ac:dyDescent="0.25">
      <c r="V3474"/>
    </row>
    <row r="3475" spans="22:22" ht="15" x14ac:dyDescent="0.25">
      <c r="V3475"/>
    </row>
    <row r="3476" spans="22:22" ht="15" x14ac:dyDescent="0.25">
      <c r="V3476"/>
    </row>
    <row r="3477" spans="22:22" ht="15" x14ac:dyDescent="0.25">
      <c r="V3477"/>
    </row>
    <row r="3478" spans="22:22" ht="15" x14ac:dyDescent="0.25">
      <c r="V3478"/>
    </row>
    <row r="3479" spans="22:22" ht="15" x14ac:dyDescent="0.25">
      <c r="V3479"/>
    </row>
    <row r="3480" spans="22:22" ht="15" x14ac:dyDescent="0.25">
      <c r="V3480"/>
    </row>
    <row r="3481" spans="22:22" ht="15" x14ac:dyDescent="0.25">
      <c r="V3481"/>
    </row>
    <row r="3482" spans="22:22" ht="15" x14ac:dyDescent="0.25">
      <c r="V3482"/>
    </row>
    <row r="3483" spans="22:22" ht="15" x14ac:dyDescent="0.25">
      <c r="V3483"/>
    </row>
    <row r="3484" spans="22:22" ht="15" x14ac:dyDescent="0.25">
      <c r="V3484"/>
    </row>
    <row r="3485" spans="22:22" ht="15" x14ac:dyDescent="0.25">
      <c r="V3485"/>
    </row>
    <row r="3486" spans="22:22" ht="15" x14ac:dyDescent="0.25">
      <c r="V3486"/>
    </row>
    <row r="3487" spans="22:22" ht="15" x14ac:dyDescent="0.25">
      <c r="V3487"/>
    </row>
    <row r="3488" spans="22:22" ht="15" x14ac:dyDescent="0.25">
      <c r="V3488"/>
    </row>
    <row r="3489" spans="22:22" ht="15" x14ac:dyDescent="0.25">
      <c r="V3489"/>
    </row>
    <row r="3490" spans="22:22" ht="15" x14ac:dyDescent="0.25">
      <c r="V3490"/>
    </row>
    <row r="3491" spans="22:22" ht="15" x14ac:dyDescent="0.25">
      <c r="V3491"/>
    </row>
    <row r="3492" spans="22:22" ht="15" x14ac:dyDescent="0.25">
      <c r="V3492"/>
    </row>
    <row r="3493" spans="22:22" ht="15" x14ac:dyDescent="0.25">
      <c r="V3493"/>
    </row>
    <row r="3494" spans="22:22" ht="15" x14ac:dyDescent="0.25">
      <c r="V3494"/>
    </row>
    <row r="3495" spans="22:22" ht="15" x14ac:dyDescent="0.25">
      <c r="V3495"/>
    </row>
    <row r="3496" spans="22:22" ht="15" x14ac:dyDescent="0.25">
      <c r="V3496"/>
    </row>
    <row r="3497" spans="22:22" ht="15" x14ac:dyDescent="0.25">
      <c r="V3497"/>
    </row>
    <row r="3498" spans="22:22" ht="15" x14ac:dyDescent="0.25">
      <c r="V3498"/>
    </row>
    <row r="3499" spans="22:22" ht="15" x14ac:dyDescent="0.25">
      <c r="V3499"/>
    </row>
    <row r="3500" spans="22:22" ht="15" x14ac:dyDescent="0.25">
      <c r="V3500"/>
    </row>
    <row r="3501" spans="22:22" ht="15" x14ac:dyDescent="0.25">
      <c r="V3501"/>
    </row>
    <row r="3502" spans="22:22" ht="15" x14ac:dyDescent="0.25">
      <c r="V3502"/>
    </row>
    <row r="3503" spans="22:22" ht="15" x14ac:dyDescent="0.25">
      <c r="V3503"/>
    </row>
    <row r="3504" spans="22:22" ht="15" x14ac:dyDescent="0.25">
      <c r="V3504"/>
    </row>
    <row r="3505" spans="22:22" ht="15" x14ac:dyDescent="0.25">
      <c r="V3505"/>
    </row>
    <row r="3506" spans="22:22" ht="15" x14ac:dyDescent="0.25">
      <c r="V3506"/>
    </row>
    <row r="3507" spans="22:22" ht="15" x14ac:dyDescent="0.25">
      <c r="V3507"/>
    </row>
    <row r="3508" spans="22:22" ht="15" x14ac:dyDescent="0.25">
      <c r="V3508"/>
    </row>
    <row r="3509" spans="22:22" ht="15" x14ac:dyDescent="0.25">
      <c r="V3509"/>
    </row>
    <row r="3510" spans="22:22" ht="15" x14ac:dyDescent="0.25">
      <c r="V3510"/>
    </row>
    <row r="3511" spans="22:22" ht="15" x14ac:dyDescent="0.25">
      <c r="V3511"/>
    </row>
    <row r="3512" spans="22:22" ht="15" x14ac:dyDescent="0.25">
      <c r="V3512"/>
    </row>
    <row r="3513" spans="22:22" ht="15" x14ac:dyDescent="0.25">
      <c r="V3513"/>
    </row>
    <row r="3514" spans="22:22" ht="15" x14ac:dyDescent="0.25">
      <c r="V3514"/>
    </row>
    <row r="3515" spans="22:22" ht="15" x14ac:dyDescent="0.25">
      <c r="V3515"/>
    </row>
    <row r="3516" spans="22:22" ht="15" x14ac:dyDescent="0.25">
      <c r="V3516"/>
    </row>
    <row r="3517" spans="22:22" ht="15" x14ac:dyDescent="0.25">
      <c r="V3517"/>
    </row>
    <row r="3518" spans="22:22" ht="15" x14ac:dyDescent="0.25">
      <c r="V3518"/>
    </row>
    <row r="3519" spans="22:22" ht="15" x14ac:dyDescent="0.25">
      <c r="V3519"/>
    </row>
    <row r="3520" spans="22:22" ht="15" x14ac:dyDescent="0.25">
      <c r="V3520"/>
    </row>
    <row r="3521" spans="22:22" ht="15" x14ac:dyDescent="0.25">
      <c r="V3521"/>
    </row>
    <row r="3522" spans="22:22" ht="15" x14ac:dyDescent="0.25">
      <c r="V3522"/>
    </row>
    <row r="3523" spans="22:22" ht="15" x14ac:dyDescent="0.25">
      <c r="V3523"/>
    </row>
    <row r="3524" spans="22:22" ht="15" x14ac:dyDescent="0.25">
      <c r="V3524"/>
    </row>
    <row r="3525" spans="22:22" ht="15" x14ac:dyDescent="0.25">
      <c r="V3525"/>
    </row>
    <row r="3526" spans="22:22" ht="15" x14ac:dyDescent="0.25">
      <c r="V3526"/>
    </row>
    <row r="3527" spans="22:22" ht="15" x14ac:dyDescent="0.25">
      <c r="V3527"/>
    </row>
    <row r="3528" spans="22:22" ht="15" x14ac:dyDescent="0.25">
      <c r="V3528"/>
    </row>
    <row r="3529" spans="22:22" ht="15" x14ac:dyDescent="0.25">
      <c r="V3529"/>
    </row>
    <row r="3530" spans="22:22" ht="15" x14ac:dyDescent="0.25">
      <c r="V3530"/>
    </row>
    <row r="3531" spans="22:22" ht="15" x14ac:dyDescent="0.25">
      <c r="V3531"/>
    </row>
    <row r="3532" spans="22:22" ht="15" x14ac:dyDescent="0.25">
      <c r="V3532"/>
    </row>
    <row r="3533" spans="22:22" ht="15" x14ac:dyDescent="0.25">
      <c r="V3533"/>
    </row>
    <row r="3534" spans="22:22" ht="15" x14ac:dyDescent="0.25">
      <c r="V3534"/>
    </row>
    <row r="3535" spans="22:22" ht="15" x14ac:dyDescent="0.25">
      <c r="V3535"/>
    </row>
    <row r="3536" spans="22:22" ht="15" x14ac:dyDescent="0.25">
      <c r="V3536"/>
    </row>
    <row r="3537" spans="22:22" ht="15" x14ac:dyDescent="0.25">
      <c r="V3537"/>
    </row>
    <row r="3538" spans="22:22" ht="15" x14ac:dyDescent="0.25">
      <c r="V3538"/>
    </row>
    <row r="3539" spans="22:22" ht="15" x14ac:dyDescent="0.25">
      <c r="V3539"/>
    </row>
    <row r="3540" spans="22:22" ht="15" x14ac:dyDescent="0.25">
      <c r="V3540"/>
    </row>
    <row r="3541" spans="22:22" ht="15" x14ac:dyDescent="0.25">
      <c r="V3541"/>
    </row>
    <row r="3542" spans="22:22" ht="15" x14ac:dyDescent="0.25">
      <c r="V3542"/>
    </row>
    <row r="3543" spans="22:22" ht="15" x14ac:dyDescent="0.25">
      <c r="V3543"/>
    </row>
    <row r="3544" spans="22:22" ht="15" x14ac:dyDescent="0.25">
      <c r="V3544"/>
    </row>
    <row r="3545" spans="22:22" ht="15" x14ac:dyDescent="0.25">
      <c r="V3545"/>
    </row>
    <row r="3546" spans="22:22" ht="15" x14ac:dyDescent="0.25">
      <c r="V3546"/>
    </row>
    <row r="3547" spans="22:22" ht="15" x14ac:dyDescent="0.25">
      <c r="V3547"/>
    </row>
    <row r="3548" spans="22:22" ht="15" x14ac:dyDescent="0.25">
      <c r="V3548"/>
    </row>
    <row r="3549" spans="22:22" ht="15" x14ac:dyDescent="0.25">
      <c r="V3549"/>
    </row>
    <row r="3550" spans="22:22" ht="15" x14ac:dyDescent="0.25">
      <c r="V3550"/>
    </row>
    <row r="3551" spans="22:22" ht="15" x14ac:dyDescent="0.25">
      <c r="V3551"/>
    </row>
    <row r="3552" spans="22:22" ht="15" x14ac:dyDescent="0.25">
      <c r="V3552"/>
    </row>
    <row r="3553" spans="22:22" ht="15" x14ac:dyDescent="0.25">
      <c r="V3553"/>
    </row>
    <row r="3554" spans="22:22" ht="15" x14ac:dyDescent="0.25">
      <c r="V3554"/>
    </row>
    <row r="3555" spans="22:22" ht="15" x14ac:dyDescent="0.25">
      <c r="V3555"/>
    </row>
    <row r="3556" spans="22:22" ht="15" x14ac:dyDescent="0.25">
      <c r="V3556"/>
    </row>
    <row r="3557" spans="22:22" ht="15" x14ac:dyDescent="0.25">
      <c r="V3557"/>
    </row>
    <row r="3558" spans="22:22" ht="15" x14ac:dyDescent="0.25">
      <c r="V3558"/>
    </row>
    <row r="3559" spans="22:22" ht="15" x14ac:dyDescent="0.25">
      <c r="V3559"/>
    </row>
    <row r="3560" spans="22:22" ht="15" x14ac:dyDescent="0.25">
      <c r="V3560"/>
    </row>
    <row r="3561" spans="22:22" ht="15" x14ac:dyDescent="0.25">
      <c r="V3561"/>
    </row>
    <row r="3562" spans="22:22" ht="15" x14ac:dyDescent="0.25">
      <c r="V3562"/>
    </row>
    <row r="3563" spans="22:22" ht="15" x14ac:dyDescent="0.25">
      <c r="V3563"/>
    </row>
    <row r="3564" spans="22:22" ht="15" x14ac:dyDescent="0.25">
      <c r="V3564"/>
    </row>
    <row r="3565" spans="22:22" ht="15" x14ac:dyDescent="0.25">
      <c r="V3565"/>
    </row>
    <row r="3566" spans="22:22" ht="15" x14ac:dyDescent="0.25">
      <c r="V3566"/>
    </row>
    <row r="3567" spans="22:22" ht="15" x14ac:dyDescent="0.25">
      <c r="V3567"/>
    </row>
    <row r="3568" spans="22:22" ht="15" x14ac:dyDescent="0.25">
      <c r="V3568"/>
    </row>
    <row r="3569" spans="22:22" ht="15" x14ac:dyDescent="0.25">
      <c r="V3569"/>
    </row>
    <row r="3570" spans="22:22" ht="15" x14ac:dyDescent="0.25">
      <c r="V3570"/>
    </row>
    <row r="3571" spans="22:22" ht="15" x14ac:dyDescent="0.25">
      <c r="V3571"/>
    </row>
    <row r="3572" spans="22:22" ht="15" x14ac:dyDescent="0.25">
      <c r="V3572"/>
    </row>
    <row r="3573" spans="22:22" ht="15" x14ac:dyDescent="0.25">
      <c r="V3573"/>
    </row>
    <row r="3574" spans="22:22" ht="15" x14ac:dyDescent="0.25">
      <c r="V3574"/>
    </row>
    <row r="3575" spans="22:22" ht="15" x14ac:dyDescent="0.25">
      <c r="V3575"/>
    </row>
    <row r="3576" spans="22:22" ht="15" x14ac:dyDescent="0.25">
      <c r="V3576"/>
    </row>
    <row r="3577" spans="22:22" ht="15" x14ac:dyDescent="0.25">
      <c r="V3577"/>
    </row>
    <row r="3578" spans="22:22" ht="15" x14ac:dyDescent="0.25">
      <c r="V3578"/>
    </row>
    <row r="3579" spans="22:22" ht="15" x14ac:dyDescent="0.25">
      <c r="V3579"/>
    </row>
    <row r="3580" spans="22:22" ht="15" x14ac:dyDescent="0.25">
      <c r="V3580"/>
    </row>
    <row r="3581" spans="22:22" ht="15" x14ac:dyDescent="0.25">
      <c r="V3581"/>
    </row>
    <row r="3582" spans="22:22" ht="15" x14ac:dyDescent="0.25">
      <c r="V3582"/>
    </row>
    <row r="3583" spans="22:22" ht="15" x14ac:dyDescent="0.25">
      <c r="V3583"/>
    </row>
    <row r="3584" spans="22:22" ht="15" x14ac:dyDescent="0.25">
      <c r="V3584"/>
    </row>
    <row r="3585" spans="22:22" ht="15" x14ac:dyDescent="0.25">
      <c r="V3585"/>
    </row>
    <row r="3586" spans="22:22" ht="15" x14ac:dyDescent="0.25">
      <c r="V3586"/>
    </row>
    <row r="3587" spans="22:22" ht="15" x14ac:dyDescent="0.25">
      <c r="V3587"/>
    </row>
    <row r="3588" spans="22:22" ht="15" x14ac:dyDescent="0.25">
      <c r="V3588"/>
    </row>
    <row r="3589" spans="22:22" ht="15" x14ac:dyDescent="0.25">
      <c r="V3589"/>
    </row>
    <row r="3590" spans="22:22" ht="15" x14ac:dyDescent="0.25">
      <c r="V3590"/>
    </row>
    <row r="3591" spans="22:22" ht="15" x14ac:dyDescent="0.25">
      <c r="V3591"/>
    </row>
    <row r="3592" spans="22:22" ht="15" x14ac:dyDescent="0.25">
      <c r="V3592"/>
    </row>
    <row r="3593" spans="22:22" ht="15" x14ac:dyDescent="0.25">
      <c r="V3593"/>
    </row>
    <row r="3594" spans="22:22" ht="15" x14ac:dyDescent="0.25">
      <c r="V3594"/>
    </row>
    <row r="3595" spans="22:22" ht="15" x14ac:dyDescent="0.25">
      <c r="V3595"/>
    </row>
    <row r="3596" spans="22:22" ht="15" x14ac:dyDescent="0.25">
      <c r="V3596"/>
    </row>
    <row r="3597" spans="22:22" ht="15" x14ac:dyDescent="0.25">
      <c r="V3597"/>
    </row>
    <row r="3598" spans="22:22" ht="15" x14ac:dyDescent="0.25">
      <c r="V3598"/>
    </row>
    <row r="3599" spans="22:22" ht="15" x14ac:dyDescent="0.25">
      <c r="V3599"/>
    </row>
    <row r="3600" spans="22:22" ht="15" x14ac:dyDescent="0.25">
      <c r="V3600"/>
    </row>
    <row r="3601" spans="22:22" ht="15" x14ac:dyDescent="0.25">
      <c r="V3601"/>
    </row>
    <row r="3602" spans="22:22" ht="15" x14ac:dyDescent="0.25">
      <c r="V3602"/>
    </row>
    <row r="3603" spans="22:22" ht="15" x14ac:dyDescent="0.25">
      <c r="V3603"/>
    </row>
    <row r="3604" spans="22:22" ht="15" x14ac:dyDescent="0.25">
      <c r="V3604"/>
    </row>
    <row r="3605" spans="22:22" ht="15" x14ac:dyDescent="0.25">
      <c r="V3605"/>
    </row>
    <row r="3606" spans="22:22" ht="15" x14ac:dyDescent="0.25">
      <c r="V3606"/>
    </row>
    <row r="3607" spans="22:22" ht="15" x14ac:dyDescent="0.25">
      <c r="V3607"/>
    </row>
    <row r="3608" spans="22:22" ht="15" x14ac:dyDescent="0.25">
      <c r="V3608"/>
    </row>
    <row r="3609" spans="22:22" ht="15" x14ac:dyDescent="0.25">
      <c r="V3609"/>
    </row>
    <row r="3610" spans="22:22" ht="15" x14ac:dyDescent="0.25">
      <c r="V3610"/>
    </row>
    <row r="3611" spans="22:22" ht="15" x14ac:dyDescent="0.25">
      <c r="V3611"/>
    </row>
    <row r="3612" spans="22:22" ht="15" x14ac:dyDescent="0.25">
      <c r="V3612"/>
    </row>
    <row r="3613" spans="22:22" ht="15" x14ac:dyDescent="0.25">
      <c r="V3613"/>
    </row>
    <row r="3614" spans="22:22" ht="15" x14ac:dyDescent="0.25">
      <c r="V3614"/>
    </row>
    <row r="3615" spans="22:22" ht="15" x14ac:dyDescent="0.25">
      <c r="V3615"/>
    </row>
    <row r="3616" spans="22:22" ht="15" x14ac:dyDescent="0.25">
      <c r="V3616"/>
    </row>
    <row r="3617" spans="22:22" ht="15" x14ac:dyDescent="0.25">
      <c r="V3617"/>
    </row>
    <row r="3618" spans="22:22" ht="15" x14ac:dyDescent="0.25">
      <c r="V3618"/>
    </row>
    <row r="3619" spans="22:22" ht="15" x14ac:dyDescent="0.25">
      <c r="V3619"/>
    </row>
    <row r="3620" spans="22:22" ht="15" x14ac:dyDescent="0.25">
      <c r="V3620"/>
    </row>
    <row r="3621" spans="22:22" ht="15" x14ac:dyDescent="0.25">
      <c r="V3621"/>
    </row>
    <row r="3622" spans="22:22" ht="15" x14ac:dyDescent="0.25">
      <c r="V3622"/>
    </row>
    <row r="3623" spans="22:22" ht="15" x14ac:dyDescent="0.25">
      <c r="V3623"/>
    </row>
    <row r="3624" spans="22:22" ht="15" x14ac:dyDescent="0.25">
      <c r="V3624"/>
    </row>
    <row r="3625" spans="22:22" ht="15" x14ac:dyDescent="0.25">
      <c r="V3625"/>
    </row>
    <row r="3626" spans="22:22" ht="15" x14ac:dyDescent="0.25">
      <c r="V3626"/>
    </row>
    <row r="3627" spans="22:22" ht="15" x14ac:dyDescent="0.25">
      <c r="V3627"/>
    </row>
    <row r="3628" spans="22:22" ht="15" x14ac:dyDescent="0.25">
      <c r="V3628"/>
    </row>
    <row r="3629" spans="22:22" ht="15" x14ac:dyDescent="0.25">
      <c r="V3629"/>
    </row>
    <row r="3630" spans="22:22" ht="15" x14ac:dyDescent="0.25">
      <c r="V3630"/>
    </row>
    <row r="3631" spans="22:22" ht="15" x14ac:dyDescent="0.25">
      <c r="V3631"/>
    </row>
    <row r="3632" spans="22:22" ht="15" x14ac:dyDescent="0.25">
      <c r="V3632"/>
    </row>
    <row r="3633" spans="22:22" ht="15" x14ac:dyDescent="0.25">
      <c r="V3633"/>
    </row>
    <row r="3634" spans="22:22" ht="15" x14ac:dyDescent="0.25">
      <c r="V3634"/>
    </row>
    <row r="3635" spans="22:22" ht="15" x14ac:dyDescent="0.25">
      <c r="V3635"/>
    </row>
    <row r="3636" spans="22:22" ht="15" x14ac:dyDescent="0.25">
      <c r="V3636"/>
    </row>
    <row r="3637" spans="22:22" ht="15" x14ac:dyDescent="0.25">
      <c r="V3637"/>
    </row>
    <row r="3638" spans="22:22" ht="15" x14ac:dyDescent="0.25">
      <c r="V3638"/>
    </row>
    <row r="3639" spans="22:22" ht="15" x14ac:dyDescent="0.25">
      <c r="V3639"/>
    </row>
    <row r="3640" spans="22:22" ht="15" x14ac:dyDescent="0.25">
      <c r="V3640"/>
    </row>
    <row r="3641" spans="22:22" ht="15" x14ac:dyDescent="0.25">
      <c r="V3641"/>
    </row>
    <row r="3642" spans="22:22" ht="15" x14ac:dyDescent="0.25">
      <c r="V3642"/>
    </row>
    <row r="3643" spans="22:22" ht="15" x14ac:dyDescent="0.25">
      <c r="V3643"/>
    </row>
    <row r="3644" spans="22:22" ht="15" x14ac:dyDescent="0.25">
      <c r="V3644"/>
    </row>
    <row r="3645" spans="22:22" ht="15" x14ac:dyDescent="0.25">
      <c r="V3645"/>
    </row>
    <row r="3646" spans="22:22" ht="15" x14ac:dyDescent="0.25">
      <c r="V3646"/>
    </row>
    <row r="3647" spans="22:22" ht="15" x14ac:dyDescent="0.25">
      <c r="V3647"/>
    </row>
    <row r="3648" spans="22:22" ht="15" x14ac:dyDescent="0.25">
      <c r="V3648"/>
    </row>
    <row r="3649" spans="22:22" ht="15" x14ac:dyDescent="0.25">
      <c r="V3649"/>
    </row>
    <row r="3650" spans="22:22" ht="15" x14ac:dyDescent="0.25">
      <c r="V3650"/>
    </row>
    <row r="3651" spans="22:22" ht="15" x14ac:dyDescent="0.25">
      <c r="V3651"/>
    </row>
    <row r="3652" spans="22:22" ht="15" x14ac:dyDescent="0.25">
      <c r="V3652"/>
    </row>
    <row r="3653" spans="22:22" ht="15" x14ac:dyDescent="0.25">
      <c r="V3653"/>
    </row>
    <row r="3654" spans="22:22" ht="15" x14ac:dyDescent="0.25">
      <c r="V3654"/>
    </row>
    <row r="3655" spans="22:22" ht="15" x14ac:dyDescent="0.25">
      <c r="V3655"/>
    </row>
    <row r="3656" spans="22:22" ht="15" x14ac:dyDescent="0.25">
      <c r="V3656"/>
    </row>
    <row r="3657" spans="22:22" ht="15" x14ac:dyDescent="0.25">
      <c r="V3657"/>
    </row>
    <row r="3658" spans="22:22" ht="15" x14ac:dyDescent="0.25">
      <c r="V3658"/>
    </row>
    <row r="3659" spans="22:22" ht="15" x14ac:dyDescent="0.25">
      <c r="V3659"/>
    </row>
    <row r="3660" spans="22:22" ht="15" x14ac:dyDescent="0.25">
      <c r="V3660"/>
    </row>
    <row r="3661" spans="22:22" ht="15" x14ac:dyDescent="0.25">
      <c r="V3661"/>
    </row>
    <row r="3662" spans="22:22" ht="15" x14ac:dyDescent="0.25">
      <c r="V3662"/>
    </row>
    <row r="3663" spans="22:22" ht="15" x14ac:dyDescent="0.25">
      <c r="V3663"/>
    </row>
    <row r="3664" spans="22:22" ht="15" x14ac:dyDescent="0.25">
      <c r="V3664"/>
    </row>
    <row r="3665" spans="22:22" ht="15" x14ac:dyDescent="0.25">
      <c r="V3665"/>
    </row>
    <row r="3666" spans="22:22" ht="15" x14ac:dyDescent="0.25">
      <c r="V3666"/>
    </row>
    <row r="3667" spans="22:22" ht="15" x14ac:dyDescent="0.25">
      <c r="V3667"/>
    </row>
    <row r="3668" spans="22:22" ht="15" x14ac:dyDescent="0.25">
      <c r="V3668"/>
    </row>
    <row r="3669" spans="22:22" ht="15" x14ac:dyDescent="0.25">
      <c r="V3669"/>
    </row>
    <row r="3670" spans="22:22" ht="15" x14ac:dyDescent="0.25">
      <c r="V3670"/>
    </row>
    <row r="3671" spans="22:22" ht="15" x14ac:dyDescent="0.25">
      <c r="V3671"/>
    </row>
    <row r="3672" spans="22:22" ht="15" x14ac:dyDescent="0.25">
      <c r="V3672"/>
    </row>
    <row r="3673" spans="22:22" ht="15" x14ac:dyDescent="0.25">
      <c r="V3673"/>
    </row>
    <row r="3674" spans="22:22" ht="15" x14ac:dyDescent="0.25">
      <c r="V3674"/>
    </row>
    <row r="3675" spans="22:22" ht="15" x14ac:dyDescent="0.25">
      <c r="V3675"/>
    </row>
    <row r="3676" spans="22:22" ht="15" x14ac:dyDescent="0.25">
      <c r="V3676"/>
    </row>
    <row r="3677" spans="22:22" ht="15" x14ac:dyDescent="0.25">
      <c r="V3677"/>
    </row>
    <row r="3678" spans="22:22" ht="15" x14ac:dyDescent="0.25">
      <c r="V3678"/>
    </row>
    <row r="3679" spans="22:22" ht="15" x14ac:dyDescent="0.25">
      <c r="V3679"/>
    </row>
    <row r="3680" spans="22:22" ht="15" x14ac:dyDescent="0.25">
      <c r="V3680"/>
    </row>
    <row r="3681" spans="22:22" ht="15" x14ac:dyDescent="0.25">
      <c r="V3681"/>
    </row>
    <row r="3682" spans="22:22" ht="15" x14ac:dyDescent="0.25">
      <c r="V3682"/>
    </row>
    <row r="3683" spans="22:22" ht="15" x14ac:dyDescent="0.25">
      <c r="V3683"/>
    </row>
    <row r="3684" spans="22:22" ht="15" x14ac:dyDescent="0.25">
      <c r="V3684"/>
    </row>
    <row r="3685" spans="22:22" ht="15" x14ac:dyDescent="0.25">
      <c r="V3685"/>
    </row>
    <row r="3686" spans="22:22" ht="15" x14ac:dyDescent="0.25">
      <c r="V3686"/>
    </row>
    <row r="3687" spans="22:22" ht="15" x14ac:dyDescent="0.25">
      <c r="V3687"/>
    </row>
    <row r="3688" spans="22:22" ht="15" x14ac:dyDescent="0.25">
      <c r="V3688"/>
    </row>
    <row r="3689" spans="22:22" ht="15" x14ac:dyDescent="0.25">
      <c r="V3689"/>
    </row>
    <row r="3690" spans="22:22" ht="15" x14ac:dyDescent="0.25">
      <c r="V3690"/>
    </row>
    <row r="3691" spans="22:22" ht="15" x14ac:dyDescent="0.25">
      <c r="V3691"/>
    </row>
    <row r="3692" spans="22:22" ht="15" x14ac:dyDescent="0.25">
      <c r="V3692"/>
    </row>
    <row r="3693" spans="22:22" ht="15" x14ac:dyDescent="0.25">
      <c r="V3693"/>
    </row>
    <row r="3694" spans="22:22" ht="15" x14ac:dyDescent="0.25">
      <c r="V3694"/>
    </row>
    <row r="3695" spans="22:22" ht="15" x14ac:dyDescent="0.25">
      <c r="V3695"/>
    </row>
    <row r="3696" spans="22:22" ht="15" x14ac:dyDescent="0.25">
      <c r="V3696"/>
    </row>
    <row r="3697" spans="22:22" ht="15" x14ac:dyDescent="0.25">
      <c r="V3697"/>
    </row>
    <row r="3698" spans="22:22" ht="15" x14ac:dyDescent="0.25">
      <c r="V3698"/>
    </row>
    <row r="3699" spans="22:22" ht="15" x14ac:dyDescent="0.25">
      <c r="V3699"/>
    </row>
    <row r="3700" spans="22:22" ht="15" x14ac:dyDescent="0.25">
      <c r="V3700"/>
    </row>
    <row r="3701" spans="22:22" ht="15" x14ac:dyDescent="0.25">
      <c r="V3701"/>
    </row>
    <row r="3702" spans="22:22" ht="15" x14ac:dyDescent="0.25">
      <c r="V3702"/>
    </row>
    <row r="3703" spans="22:22" ht="15" x14ac:dyDescent="0.25">
      <c r="V3703"/>
    </row>
    <row r="3704" spans="22:22" ht="15" x14ac:dyDescent="0.25">
      <c r="V3704"/>
    </row>
    <row r="3705" spans="22:22" ht="15" x14ac:dyDescent="0.25">
      <c r="V3705"/>
    </row>
    <row r="3706" spans="22:22" ht="15" x14ac:dyDescent="0.25">
      <c r="V3706"/>
    </row>
    <row r="3707" spans="22:22" ht="15" x14ac:dyDescent="0.25">
      <c r="V3707"/>
    </row>
    <row r="3708" spans="22:22" ht="15" x14ac:dyDescent="0.25">
      <c r="V3708"/>
    </row>
    <row r="3709" spans="22:22" ht="15" x14ac:dyDescent="0.25">
      <c r="V3709"/>
    </row>
    <row r="3710" spans="22:22" ht="15" x14ac:dyDescent="0.25">
      <c r="V3710"/>
    </row>
    <row r="3711" spans="22:22" ht="15" x14ac:dyDescent="0.25">
      <c r="V3711"/>
    </row>
    <row r="3712" spans="22:22" ht="15" x14ac:dyDescent="0.25">
      <c r="V3712"/>
    </row>
    <row r="3713" spans="22:22" ht="15" x14ac:dyDescent="0.25">
      <c r="V3713"/>
    </row>
    <row r="3714" spans="22:22" ht="15" x14ac:dyDescent="0.25">
      <c r="V3714"/>
    </row>
    <row r="3715" spans="22:22" ht="15" x14ac:dyDescent="0.25">
      <c r="V3715"/>
    </row>
    <row r="3716" spans="22:22" ht="15" x14ac:dyDescent="0.25">
      <c r="V3716"/>
    </row>
    <row r="3717" spans="22:22" ht="15" x14ac:dyDescent="0.25">
      <c r="V3717"/>
    </row>
    <row r="3718" spans="22:22" ht="15" x14ac:dyDescent="0.25">
      <c r="V3718"/>
    </row>
    <row r="3719" spans="22:22" ht="15" x14ac:dyDescent="0.25">
      <c r="V3719"/>
    </row>
    <row r="3720" spans="22:22" ht="15" x14ac:dyDescent="0.25">
      <c r="V3720"/>
    </row>
    <row r="3721" spans="22:22" ht="15" x14ac:dyDescent="0.25">
      <c r="V3721"/>
    </row>
    <row r="3722" spans="22:22" ht="15" x14ac:dyDescent="0.25">
      <c r="V3722"/>
    </row>
    <row r="3723" spans="22:22" ht="15" x14ac:dyDescent="0.25">
      <c r="V3723"/>
    </row>
    <row r="3724" spans="22:22" ht="15" x14ac:dyDescent="0.25">
      <c r="V3724"/>
    </row>
    <row r="3725" spans="22:22" ht="15" x14ac:dyDescent="0.25">
      <c r="V3725"/>
    </row>
    <row r="3726" spans="22:22" ht="15" x14ac:dyDescent="0.25">
      <c r="V3726"/>
    </row>
    <row r="3727" spans="22:22" ht="15" x14ac:dyDescent="0.25">
      <c r="V3727"/>
    </row>
    <row r="3728" spans="22:22" ht="15" x14ac:dyDescent="0.25">
      <c r="V3728"/>
    </row>
    <row r="3729" spans="22:22" ht="15" x14ac:dyDescent="0.25">
      <c r="V3729"/>
    </row>
    <row r="3730" spans="22:22" ht="15" x14ac:dyDescent="0.25">
      <c r="V3730"/>
    </row>
    <row r="3731" spans="22:22" ht="15" x14ac:dyDescent="0.25">
      <c r="V3731"/>
    </row>
    <row r="3732" spans="22:22" ht="15" x14ac:dyDescent="0.25">
      <c r="V3732"/>
    </row>
    <row r="3733" spans="22:22" ht="15" x14ac:dyDescent="0.25">
      <c r="V3733"/>
    </row>
    <row r="3734" spans="22:22" ht="15" x14ac:dyDescent="0.25">
      <c r="V3734"/>
    </row>
    <row r="3735" spans="22:22" ht="15" x14ac:dyDescent="0.25">
      <c r="V3735"/>
    </row>
    <row r="3736" spans="22:22" ht="15" x14ac:dyDescent="0.25">
      <c r="V3736"/>
    </row>
    <row r="3737" spans="22:22" ht="15" x14ac:dyDescent="0.25">
      <c r="V3737"/>
    </row>
    <row r="3738" spans="22:22" ht="15" x14ac:dyDescent="0.25">
      <c r="V3738"/>
    </row>
    <row r="3739" spans="22:22" ht="15" x14ac:dyDescent="0.25">
      <c r="V3739"/>
    </row>
    <row r="3740" spans="22:22" ht="15" x14ac:dyDescent="0.25">
      <c r="V3740"/>
    </row>
    <row r="3741" spans="22:22" ht="15" x14ac:dyDescent="0.25">
      <c r="V3741"/>
    </row>
    <row r="3742" spans="22:22" ht="15" x14ac:dyDescent="0.25">
      <c r="V3742"/>
    </row>
    <row r="3743" spans="22:22" ht="15" x14ac:dyDescent="0.25">
      <c r="V3743"/>
    </row>
    <row r="3744" spans="22:22" ht="15" x14ac:dyDescent="0.25">
      <c r="V3744"/>
    </row>
    <row r="3745" spans="22:22" ht="15" x14ac:dyDescent="0.25">
      <c r="V3745"/>
    </row>
    <row r="3746" spans="22:22" ht="15" x14ac:dyDescent="0.25">
      <c r="V3746"/>
    </row>
    <row r="3747" spans="22:22" ht="15" x14ac:dyDescent="0.25">
      <c r="V3747"/>
    </row>
    <row r="3748" spans="22:22" ht="15" x14ac:dyDescent="0.25">
      <c r="V3748"/>
    </row>
    <row r="3749" spans="22:22" ht="15" x14ac:dyDescent="0.25">
      <c r="V3749"/>
    </row>
    <row r="3750" spans="22:22" ht="15" x14ac:dyDescent="0.25">
      <c r="V3750"/>
    </row>
    <row r="3751" spans="22:22" ht="15" x14ac:dyDescent="0.25">
      <c r="V3751"/>
    </row>
    <row r="3752" spans="22:22" ht="15" x14ac:dyDescent="0.25">
      <c r="V3752"/>
    </row>
    <row r="3753" spans="22:22" ht="15" x14ac:dyDescent="0.25">
      <c r="V3753"/>
    </row>
    <row r="3754" spans="22:22" ht="15" x14ac:dyDescent="0.25">
      <c r="V3754"/>
    </row>
    <row r="3755" spans="22:22" ht="15" x14ac:dyDescent="0.25">
      <c r="V3755"/>
    </row>
    <row r="3756" spans="22:22" ht="15" x14ac:dyDescent="0.25">
      <c r="V3756"/>
    </row>
    <row r="3757" spans="22:22" ht="15" x14ac:dyDescent="0.25">
      <c r="V3757"/>
    </row>
    <row r="3758" spans="22:22" ht="15" x14ac:dyDescent="0.25">
      <c r="V3758"/>
    </row>
    <row r="3759" spans="22:22" ht="15" x14ac:dyDescent="0.25">
      <c r="V3759"/>
    </row>
    <row r="3760" spans="22:22" ht="15" x14ac:dyDescent="0.25">
      <c r="V3760"/>
    </row>
    <row r="3761" spans="22:22" ht="15" x14ac:dyDescent="0.25">
      <c r="V3761"/>
    </row>
    <row r="3762" spans="22:22" ht="15" x14ac:dyDescent="0.25">
      <c r="V3762"/>
    </row>
    <row r="3763" spans="22:22" ht="15" x14ac:dyDescent="0.25">
      <c r="V3763"/>
    </row>
    <row r="3764" spans="22:22" ht="15" x14ac:dyDescent="0.25">
      <c r="V3764"/>
    </row>
    <row r="3765" spans="22:22" ht="15" x14ac:dyDescent="0.25">
      <c r="V3765"/>
    </row>
    <row r="3766" spans="22:22" ht="15" x14ac:dyDescent="0.25">
      <c r="V3766"/>
    </row>
    <row r="3767" spans="22:22" ht="15" x14ac:dyDescent="0.25">
      <c r="V3767"/>
    </row>
    <row r="3768" spans="22:22" ht="15" x14ac:dyDescent="0.25">
      <c r="V3768"/>
    </row>
    <row r="3769" spans="22:22" ht="15" x14ac:dyDescent="0.25">
      <c r="V3769"/>
    </row>
    <row r="3770" spans="22:22" ht="15" x14ac:dyDescent="0.25">
      <c r="V3770"/>
    </row>
    <row r="3771" spans="22:22" ht="15" x14ac:dyDescent="0.25">
      <c r="V3771"/>
    </row>
    <row r="3772" spans="22:22" ht="15" x14ac:dyDescent="0.25">
      <c r="V3772"/>
    </row>
    <row r="3773" spans="22:22" ht="15" x14ac:dyDescent="0.25">
      <c r="V3773"/>
    </row>
    <row r="3774" spans="22:22" ht="15" x14ac:dyDescent="0.25">
      <c r="V3774"/>
    </row>
    <row r="3775" spans="22:22" ht="15" x14ac:dyDescent="0.25">
      <c r="V3775"/>
    </row>
    <row r="3776" spans="22:22" ht="15" x14ac:dyDescent="0.25">
      <c r="V3776"/>
    </row>
    <row r="3777" spans="22:22" ht="15" x14ac:dyDescent="0.25">
      <c r="V3777"/>
    </row>
    <row r="3778" spans="22:22" ht="15" x14ac:dyDescent="0.25">
      <c r="V3778"/>
    </row>
    <row r="3779" spans="22:22" ht="15" x14ac:dyDescent="0.25">
      <c r="V3779"/>
    </row>
    <row r="3780" spans="22:22" ht="15" x14ac:dyDescent="0.25">
      <c r="V3780"/>
    </row>
    <row r="3781" spans="22:22" ht="15" x14ac:dyDescent="0.25">
      <c r="V3781"/>
    </row>
    <row r="3782" spans="22:22" ht="15" x14ac:dyDescent="0.25">
      <c r="V3782"/>
    </row>
    <row r="3783" spans="22:22" ht="15" x14ac:dyDescent="0.25">
      <c r="V3783"/>
    </row>
    <row r="3784" spans="22:22" ht="15" x14ac:dyDescent="0.25">
      <c r="V3784"/>
    </row>
    <row r="3785" spans="22:22" ht="15" x14ac:dyDescent="0.25">
      <c r="V3785"/>
    </row>
    <row r="3786" spans="22:22" ht="15" x14ac:dyDescent="0.25">
      <c r="V3786"/>
    </row>
    <row r="3787" spans="22:22" ht="15" x14ac:dyDescent="0.25">
      <c r="V3787"/>
    </row>
    <row r="3788" spans="22:22" ht="15" x14ac:dyDescent="0.25">
      <c r="V3788"/>
    </row>
    <row r="3789" spans="22:22" ht="15" x14ac:dyDescent="0.25">
      <c r="V3789"/>
    </row>
    <row r="3790" spans="22:22" ht="15" x14ac:dyDescent="0.25">
      <c r="V3790"/>
    </row>
    <row r="3791" spans="22:22" ht="15" x14ac:dyDescent="0.25">
      <c r="V3791"/>
    </row>
    <row r="3792" spans="22:22" ht="15" x14ac:dyDescent="0.25">
      <c r="V3792"/>
    </row>
    <row r="3793" spans="22:22" ht="15" x14ac:dyDescent="0.25">
      <c r="V3793"/>
    </row>
    <row r="3794" spans="22:22" ht="15" x14ac:dyDescent="0.25">
      <c r="V3794"/>
    </row>
    <row r="3795" spans="22:22" ht="15" x14ac:dyDescent="0.25">
      <c r="V3795"/>
    </row>
    <row r="3796" spans="22:22" ht="15" x14ac:dyDescent="0.25">
      <c r="V3796"/>
    </row>
    <row r="3797" spans="22:22" ht="15" x14ac:dyDescent="0.25">
      <c r="V3797"/>
    </row>
    <row r="3798" spans="22:22" ht="15" x14ac:dyDescent="0.25">
      <c r="V3798"/>
    </row>
    <row r="3799" spans="22:22" ht="15" x14ac:dyDescent="0.25">
      <c r="V3799"/>
    </row>
    <row r="3800" spans="22:22" ht="15" x14ac:dyDescent="0.25">
      <c r="V3800"/>
    </row>
    <row r="3801" spans="22:22" ht="15" x14ac:dyDescent="0.25">
      <c r="V3801"/>
    </row>
    <row r="3802" spans="22:22" ht="15" x14ac:dyDescent="0.25">
      <c r="V3802"/>
    </row>
    <row r="3803" spans="22:22" ht="15" x14ac:dyDescent="0.25">
      <c r="V3803"/>
    </row>
    <row r="3804" spans="22:22" ht="15" x14ac:dyDescent="0.25">
      <c r="V3804"/>
    </row>
    <row r="3805" spans="22:22" ht="15" x14ac:dyDescent="0.25">
      <c r="V3805"/>
    </row>
    <row r="3806" spans="22:22" ht="15" x14ac:dyDescent="0.25">
      <c r="V3806"/>
    </row>
    <row r="3807" spans="22:22" ht="15" x14ac:dyDescent="0.25">
      <c r="V3807"/>
    </row>
    <row r="3808" spans="22:22" ht="15" x14ac:dyDescent="0.25">
      <c r="V3808"/>
    </row>
    <row r="3809" spans="22:22" ht="15" x14ac:dyDescent="0.25">
      <c r="V3809"/>
    </row>
    <row r="3810" spans="22:22" ht="15" x14ac:dyDescent="0.25">
      <c r="V3810"/>
    </row>
    <row r="3811" spans="22:22" ht="15" x14ac:dyDescent="0.25">
      <c r="V3811"/>
    </row>
    <row r="3812" spans="22:22" ht="15" x14ac:dyDescent="0.25">
      <c r="V3812"/>
    </row>
    <row r="3813" spans="22:22" ht="15" x14ac:dyDescent="0.25">
      <c r="V3813"/>
    </row>
    <row r="3814" spans="22:22" ht="15" x14ac:dyDescent="0.25">
      <c r="V3814"/>
    </row>
    <row r="3815" spans="22:22" ht="15" x14ac:dyDescent="0.25">
      <c r="V3815"/>
    </row>
    <row r="3816" spans="22:22" ht="15" x14ac:dyDescent="0.25">
      <c r="V3816"/>
    </row>
    <row r="3817" spans="22:22" ht="15" x14ac:dyDescent="0.25">
      <c r="V3817"/>
    </row>
    <row r="3818" spans="22:22" ht="15" x14ac:dyDescent="0.25">
      <c r="V3818"/>
    </row>
    <row r="3819" spans="22:22" ht="15" x14ac:dyDescent="0.25">
      <c r="V3819"/>
    </row>
    <row r="3820" spans="22:22" ht="15" x14ac:dyDescent="0.25">
      <c r="V3820"/>
    </row>
    <row r="3821" spans="22:22" ht="15" x14ac:dyDescent="0.25">
      <c r="V3821"/>
    </row>
    <row r="3822" spans="22:22" ht="15" x14ac:dyDescent="0.25">
      <c r="V3822"/>
    </row>
    <row r="3823" spans="22:22" ht="15" x14ac:dyDescent="0.25">
      <c r="V3823"/>
    </row>
    <row r="3824" spans="22:22" ht="15" x14ac:dyDescent="0.25">
      <c r="V3824"/>
    </row>
    <row r="3825" spans="22:22" ht="15" x14ac:dyDescent="0.25">
      <c r="V3825"/>
    </row>
    <row r="3826" spans="22:22" ht="15" x14ac:dyDescent="0.25">
      <c r="V3826"/>
    </row>
    <row r="3827" spans="22:22" ht="15" x14ac:dyDescent="0.25">
      <c r="V3827"/>
    </row>
    <row r="3828" spans="22:22" ht="15" x14ac:dyDescent="0.25">
      <c r="V3828"/>
    </row>
    <row r="3829" spans="22:22" ht="15" x14ac:dyDescent="0.25">
      <c r="V3829"/>
    </row>
    <row r="3830" spans="22:22" ht="15" x14ac:dyDescent="0.25">
      <c r="V3830"/>
    </row>
    <row r="3831" spans="22:22" ht="15" x14ac:dyDescent="0.25">
      <c r="V3831"/>
    </row>
    <row r="3832" spans="22:22" ht="15" x14ac:dyDescent="0.25">
      <c r="V3832"/>
    </row>
    <row r="3833" spans="22:22" ht="15" x14ac:dyDescent="0.25">
      <c r="V3833"/>
    </row>
    <row r="3834" spans="22:22" ht="15" x14ac:dyDescent="0.25">
      <c r="V3834"/>
    </row>
    <row r="3835" spans="22:22" ht="15" x14ac:dyDescent="0.25">
      <c r="V3835"/>
    </row>
    <row r="3836" spans="22:22" ht="15" x14ac:dyDescent="0.25">
      <c r="V3836"/>
    </row>
    <row r="3837" spans="22:22" ht="15" x14ac:dyDescent="0.25">
      <c r="V3837"/>
    </row>
    <row r="3838" spans="22:22" ht="15" x14ac:dyDescent="0.25">
      <c r="V3838"/>
    </row>
    <row r="3839" spans="22:22" ht="15" x14ac:dyDescent="0.25">
      <c r="V3839"/>
    </row>
    <row r="3840" spans="22:22" ht="15" x14ac:dyDescent="0.25">
      <c r="V3840"/>
    </row>
    <row r="3841" spans="22:22" ht="15" x14ac:dyDescent="0.25">
      <c r="V3841"/>
    </row>
    <row r="3842" spans="22:22" ht="15" x14ac:dyDescent="0.25">
      <c r="V3842"/>
    </row>
    <row r="3843" spans="22:22" ht="15" x14ac:dyDescent="0.25">
      <c r="V3843"/>
    </row>
    <row r="3844" spans="22:22" ht="15" x14ac:dyDescent="0.25">
      <c r="V3844"/>
    </row>
    <row r="3845" spans="22:22" ht="15" x14ac:dyDescent="0.25">
      <c r="V3845"/>
    </row>
    <row r="3846" spans="22:22" ht="15" x14ac:dyDescent="0.25">
      <c r="V3846"/>
    </row>
    <row r="3847" spans="22:22" ht="15" x14ac:dyDescent="0.25">
      <c r="V3847"/>
    </row>
    <row r="3848" spans="22:22" ht="15" x14ac:dyDescent="0.25">
      <c r="V3848"/>
    </row>
    <row r="3849" spans="22:22" ht="15" x14ac:dyDescent="0.25">
      <c r="V3849"/>
    </row>
    <row r="3850" spans="22:22" ht="15" x14ac:dyDescent="0.25">
      <c r="V3850"/>
    </row>
    <row r="3851" spans="22:22" ht="15" x14ac:dyDescent="0.25">
      <c r="V3851"/>
    </row>
    <row r="3852" spans="22:22" ht="15" x14ac:dyDescent="0.25">
      <c r="V3852"/>
    </row>
    <row r="3853" spans="22:22" ht="15" x14ac:dyDescent="0.25">
      <c r="V3853"/>
    </row>
    <row r="3854" spans="22:22" ht="15" x14ac:dyDescent="0.25">
      <c r="V3854"/>
    </row>
    <row r="3855" spans="22:22" ht="15" x14ac:dyDescent="0.25">
      <c r="V3855"/>
    </row>
    <row r="3856" spans="22:22" ht="15" x14ac:dyDescent="0.25">
      <c r="V3856"/>
    </row>
    <row r="3857" spans="22:22" ht="15" x14ac:dyDescent="0.25">
      <c r="V3857"/>
    </row>
    <row r="3858" spans="22:22" ht="15" x14ac:dyDescent="0.25">
      <c r="V3858"/>
    </row>
    <row r="3859" spans="22:22" ht="15" x14ac:dyDescent="0.25">
      <c r="V3859"/>
    </row>
    <row r="3860" spans="22:22" ht="15" x14ac:dyDescent="0.25">
      <c r="V3860"/>
    </row>
    <row r="3861" spans="22:22" ht="15" x14ac:dyDescent="0.25">
      <c r="V3861"/>
    </row>
    <row r="3862" spans="22:22" ht="15" x14ac:dyDescent="0.25">
      <c r="V3862"/>
    </row>
    <row r="3863" spans="22:22" ht="15" x14ac:dyDescent="0.25">
      <c r="V3863"/>
    </row>
    <row r="3864" spans="22:22" ht="15" x14ac:dyDescent="0.25">
      <c r="V3864"/>
    </row>
    <row r="3865" spans="22:22" ht="15" x14ac:dyDescent="0.25">
      <c r="V3865"/>
    </row>
    <row r="3866" spans="22:22" ht="15" x14ac:dyDescent="0.25">
      <c r="V3866"/>
    </row>
    <row r="3867" spans="22:22" ht="15" x14ac:dyDescent="0.25">
      <c r="V3867"/>
    </row>
    <row r="3868" spans="22:22" ht="15" x14ac:dyDescent="0.25">
      <c r="V3868"/>
    </row>
    <row r="3869" spans="22:22" ht="15" x14ac:dyDescent="0.25">
      <c r="V3869"/>
    </row>
    <row r="3870" spans="22:22" ht="15" x14ac:dyDescent="0.25">
      <c r="V3870"/>
    </row>
    <row r="3871" spans="22:22" ht="15" x14ac:dyDescent="0.25">
      <c r="V3871"/>
    </row>
    <row r="3872" spans="22:22" ht="15" x14ac:dyDescent="0.25">
      <c r="V3872"/>
    </row>
    <row r="3873" spans="22:22" ht="15" x14ac:dyDescent="0.25">
      <c r="V3873"/>
    </row>
    <row r="3874" spans="22:22" ht="15" x14ac:dyDescent="0.25">
      <c r="V3874"/>
    </row>
    <row r="3875" spans="22:22" ht="15" x14ac:dyDescent="0.25">
      <c r="V3875"/>
    </row>
    <row r="3876" spans="22:22" ht="15" x14ac:dyDescent="0.25">
      <c r="V3876"/>
    </row>
    <row r="3877" spans="22:22" ht="15" x14ac:dyDescent="0.25">
      <c r="V3877"/>
    </row>
    <row r="3878" spans="22:22" ht="15" x14ac:dyDescent="0.25">
      <c r="V3878"/>
    </row>
    <row r="3879" spans="22:22" ht="15" x14ac:dyDescent="0.25">
      <c r="V3879"/>
    </row>
    <row r="3880" spans="22:22" ht="15" x14ac:dyDescent="0.25">
      <c r="V3880"/>
    </row>
    <row r="3881" spans="22:22" ht="15" x14ac:dyDescent="0.25">
      <c r="V3881"/>
    </row>
    <row r="3882" spans="22:22" ht="15" x14ac:dyDescent="0.25">
      <c r="V3882"/>
    </row>
    <row r="3883" spans="22:22" ht="15" x14ac:dyDescent="0.25">
      <c r="V3883"/>
    </row>
    <row r="3884" spans="22:22" ht="15" x14ac:dyDescent="0.25">
      <c r="V3884"/>
    </row>
    <row r="3885" spans="22:22" ht="15" x14ac:dyDescent="0.25">
      <c r="V3885"/>
    </row>
    <row r="3886" spans="22:22" ht="15" x14ac:dyDescent="0.25">
      <c r="V3886"/>
    </row>
    <row r="3887" spans="22:22" ht="15" x14ac:dyDescent="0.25">
      <c r="V3887"/>
    </row>
    <row r="3888" spans="22:22" ht="15" x14ac:dyDescent="0.25">
      <c r="V3888"/>
    </row>
    <row r="3889" spans="22:22" ht="15" x14ac:dyDescent="0.25">
      <c r="V3889"/>
    </row>
    <row r="3890" spans="22:22" ht="15" x14ac:dyDescent="0.25">
      <c r="V3890"/>
    </row>
    <row r="3891" spans="22:22" ht="15" x14ac:dyDescent="0.25">
      <c r="V3891"/>
    </row>
    <row r="3892" spans="22:22" ht="15" x14ac:dyDescent="0.25">
      <c r="V3892"/>
    </row>
    <row r="3893" spans="22:22" ht="15" x14ac:dyDescent="0.25">
      <c r="V3893"/>
    </row>
    <row r="3894" spans="22:22" ht="15" x14ac:dyDescent="0.25">
      <c r="V3894"/>
    </row>
    <row r="3895" spans="22:22" ht="15" x14ac:dyDescent="0.25">
      <c r="V3895"/>
    </row>
    <row r="3896" spans="22:22" ht="15" x14ac:dyDescent="0.25">
      <c r="V3896"/>
    </row>
    <row r="3897" spans="22:22" ht="15" x14ac:dyDescent="0.25">
      <c r="V3897"/>
    </row>
    <row r="3898" spans="22:22" ht="15" x14ac:dyDescent="0.25">
      <c r="V3898"/>
    </row>
    <row r="3899" spans="22:22" ht="15" x14ac:dyDescent="0.25">
      <c r="V3899"/>
    </row>
    <row r="3900" spans="22:22" ht="15" x14ac:dyDescent="0.25">
      <c r="V3900"/>
    </row>
    <row r="3901" spans="22:22" ht="15" x14ac:dyDescent="0.25">
      <c r="V3901"/>
    </row>
    <row r="3902" spans="22:22" ht="15" x14ac:dyDescent="0.25">
      <c r="V3902"/>
    </row>
    <row r="3903" spans="22:22" ht="15" x14ac:dyDescent="0.25">
      <c r="V3903"/>
    </row>
    <row r="3904" spans="22:22" ht="15" x14ac:dyDescent="0.25">
      <c r="V3904"/>
    </row>
    <row r="3905" spans="22:22" ht="15" x14ac:dyDescent="0.25">
      <c r="V3905"/>
    </row>
    <row r="3906" spans="22:22" ht="15" x14ac:dyDescent="0.25">
      <c r="V3906"/>
    </row>
    <row r="3907" spans="22:22" ht="15" x14ac:dyDescent="0.25">
      <c r="V3907"/>
    </row>
    <row r="3908" spans="22:22" ht="15" x14ac:dyDescent="0.25">
      <c r="V3908"/>
    </row>
    <row r="3909" spans="22:22" ht="15" x14ac:dyDescent="0.25">
      <c r="V3909"/>
    </row>
    <row r="3910" spans="22:22" ht="15" x14ac:dyDescent="0.25">
      <c r="V3910"/>
    </row>
    <row r="3911" spans="22:22" ht="15" x14ac:dyDescent="0.25">
      <c r="V3911"/>
    </row>
    <row r="3912" spans="22:22" ht="15" x14ac:dyDescent="0.25">
      <c r="V3912"/>
    </row>
    <row r="3913" spans="22:22" ht="15" x14ac:dyDescent="0.25">
      <c r="V3913"/>
    </row>
    <row r="3914" spans="22:22" ht="15" x14ac:dyDescent="0.25">
      <c r="V3914"/>
    </row>
    <row r="3915" spans="22:22" ht="15" x14ac:dyDescent="0.25">
      <c r="V3915"/>
    </row>
    <row r="3916" spans="22:22" ht="15" x14ac:dyDescent="0.25">
      <c r="V3916"/>
    </row>
    <row r="3917" spans="22:22" ht="15" x14ac:dyDescent="0.25">
      <c r="V3917"/>
    </row>
    <row r="3918" spans="22:22" ht="15" x14ac:dyDescent="0.25">
      <c r="V3918"/>
    </row>
    <row r="3919" spans="22:22" ht="15" x14ac:dyDescent="0.25">
      <c r="V3919"/>
    </row>
    <row r="3920" spans="22:22" ht="15" x14ac:dyDescent="0.25">
      <c r="V3920"/>
    </row>
    <row r="3921" spans="22:22" ht="15" x14ac:dyDescent="0.25">
      <c r="V3921"/>
    </row>
    <row r="3922" spans="22:22" ht="15" x14ac:dyDescent="0.25">
      <c r="V3922"/>
    </row>
    <row r="3923" spans="22:22" ht="15" x14ac:dyDescent="0.25">
      <c r="V3923"/>
    </row>
    <row r="3924" spans="22:22" ht="15" x14ac:dyDescent="0.25">
      <c r="V3924"/>
    </row>
    <row r="3925" spans="22:22" ht="15" x14ac:dyDescent="0.25">
      <c r="V3925"/>
    </row>
    <row r="3926" spans="22:22" ht="15" x14ac:dyDescent="0.25">
      <c r="V3926"/>
    </row>
    <row r="3927" spans="22:22" ht="15" x14ac:dyDescent="0.25">
      <c r="V3927"/>
    </row>
    <row r="3928" spans="22:22" ht="15" x14ac:dyDescent="0.25">
      <c r="V3928"/>
    </row>
    <row r="3929" spans="22:22" ht="15" x14ac:dyDescent="0.25">
      <c r="V3929"/>
    </row>
    <row r="3930" spans="22:22" ht="15" x14ac:dyDescent="0.25">
      <c r="V3930"/>
    </row>
    <row r="3931" spans="22:22" ht="15" x14ac:dyDescent="0.25">
      <c r="V3931"/>
    </row>
    <row r="3932" spans="22:22" ht="15" x14ac:dyDescent="0.25">
      <c r="V3932"/>
    </row>
    <row r="3933" spans="22:22" ht="15" x14ac:dyDescent="0.25">
      <c r="V3933"/>
    </row>
    <row r="3934" spans="22:22" ht="15" x14ac:dyDescent="0.25">
      <c r="V3934"/>
    </row>
    <row r="3935" spans="22:22" ht="15" x14ac:dyDescent="0.25">
      <c r="V3935"/>
    </row>
    <row r="3936" spans="22:22" ht="15" x14ac:dyDescent="0.25">
      <c r="V3936"/>
    </row>
    <row r="3937" spans="22:22" ht="15" x14ac:dyDescent="0.25">
      <c r="V3937"/>
    </row>
    <row r="3938" spans="22:22" ht="15" x14ac:dyDescent="0.25">
      <c r="V3938"/>
    </row>
    <row r="3939" spans="22:22" ht="15" x14ac:dyDescent="0.25">
      <c r="V3939"/>
    </row>
    <row r="3940" spans="22:22" ht="15" x14ac:dyDescent="0.25">
      <c r="V3940"/>
    </row>
    <row r="3941" spans="22:22" ht="15" x14ac:dyDescent="0.25">
      <c r="V3941"/>
    </row>
    <row r="3942" spans="22:22" ht="15" x14ac:dyDescent="0.25">
      <c r="V3942"/>
    </row>
    <row r="3943" spans="22:22" ht="15" x14ac:dyDescent="0.25">
      <c r="V3943"/>
    </row>
    <row r="3944" spans="22:22" ht="15" x14ac:dyDescent="0.25">
      <c r="V3944"/>
    </row>
    <row r="3945" spans="22:22" ht="15" x14ac:dyDescent="0.25">
      <c r="V3945"/>
    </row>
    <row r="3946" spans="22:22" ht="15" x14ac:dyDescent="0.25">
      <c r="V3946"/>
    </row>
    <row r="3947" spans="22:22" ht="15" x14ac:dyDescent="0.25">
      <c r="V3947"/>
    </row>
    <row r="3948" spans="22:22" ht="15" x14ac:dyDescent="0.25">
      <c r="V3948"/>
    </row>
    <row r="3949" spans="22:22" ht="15" x14ac:dyDescent="0.25">
      <c r="V3949"/>
    </row>
    <row r="3950" spans="22:22" ht="15" x14ac:dyDescent="0.25">
      <c r="V3950"/>
    </row>
    <row r="3951" spans="22:22" ht="15" x14ac:dyDescent="0.25">
      <c r="V3951"/>
    </row>
    <row r="3952" spans="22:22" ht="15" x14ac:dyDescent="0.25">
      <c r="V3952"/>
    </row>
    <row r="3953" spans="22:22" ht="15" x14ac:dyDescent="0.25">
      <c r="V3953"/>
    </row>
    <row r="3954" spans="22:22" ht="15" x14ac:dyDescent="0.25">
      <c r="V3954"/>
    </row>
    <row r="3955" spans="22:22" ht="15" x14ac:dyDescent="0.25">
      <c r="V3955"/>
    </row>
    <row r="3956" spans="22:22" ht="15" x14ac:dyDescent="0.25">
      <c r="V3956"/>
    </row>
    <row r="3957" spans="22:22" ht="15" x14ac:dyDescent="0.25">
      <c r="V3957"/>
    </row>
    <row r="3958" spans="22:22" ht="15" x14ac:dyDescent="0.25">
      <c r="V3958"/>
    </row>
    <row r="3959" spans="22:22" ht="15" x14ac:dyDescent="0.25">
      <c r="V3959"/>
    </row>
    <row r="3960" spans="22:22" ht="15" x14ac:dyDescent="0.25">
      <c r="V3960"/>
    </row>
    <row r="3961" spans="22:22" ht="15" x14ac:dyDescent="0.25">
      <c r="V3961"/>
    </row>
    <row r="3962" spans="22:22" ht="15" x14ac:dyDescent="0.25">
      <c r="V3962"/>
    </row>
    <row r="3963" spans="22:22" ht="15" x14ac:dyDescent="0.25">
      <c r="V3963"/>
    </row>
    <row r="3964" spans="22:22" ht="15" x14ac:dyDescent="0.25">
      <c r="V3964"/>
    </row>
    <row r="3965" spans="22:22" ht="15" x14ac:dyDescent="0.25">
      <c r="V3965"/>
    </row>
    <row r="3966" spans="22:22" ht="15" x14ac:dyDescent="0.25">
      <c r="V3966"/>
    </row>
    <row r="3967" spans="22:22" ht="15" x14ac:dyDescent="0.25">
      <c r="V3967"/>
    </row>
    <row r="3968" spans="22:22" ht="15" x14ac:dyDescent="0.25">
      <c r="V3968"/>
    </row>
    <row r="3969" spans="22:22" ht="15" x14ac:dyDescent="0.25">
      <c r="V3969"/>
    </row>
    <row r="3970" spans="22:22" ht="15" x14ac:dyDescent="0.25">
      <c r="V3970"/>
    </row>
    <row r="3971" spans="22:22" ht="15" x14ac:dyDescent="0.25">
      <c r="V3971"/>
    </row>
    <row r="3972" spans="22:22" ht="15" x14ac:dyDescent="0.25">
      <c r="V3972"/>
    </row>
    <row r="3973" spans="22:22" ht="15" x14ac:dyDescent="0.25">
      <c r="V3973"/>
    </row>
    <row r="3974" spans="22:22" ht="15" x14ac:dyDescent="0.25">
      <c r="V3974"/>
    </row>
    <row r="3975" spans="22:22" ht="15" x14ac:dyDescent="0.25">
      <c r="V3975"/>
    </row>
    <row r="3976" spans="22:22" ht="15" x14ac:dyDescent="0.25">
      <c r="V3976"/>
    </row>
    <row r="3977" spans="22:22" ht="15" x14ac:dyDescent="0.25">
      <c r="V3977"/>
    </row>
    <row r="3978" spans="22:22" ht="15" x14ac:dyDescent="0.25">
      <c r="V3978"/>
    </row>
    <row r="3979" spans="22:22" ht="15" x14ac:dyDescent="0.25">
      <c r="V3979"/>
    </row>
    <row r="3980" spans="22:22" ht="15" x14ac:dyDescent="0.25">
      <c r="V3980"/>
    </row>
    <row r="3981" spans="22:22" ht="15" x14ac:dyDescent="0.25">
      <c r="V3981"/>
    </row>
    <row r="3982" spans="22:22" ht="15" x14ac:dyDescent="0.25">
      <c r="V3982"/>
    </row>
    <row r="3983" spans="22:22" ht="15" x14ac:dyDescent="0.25">
      <c r="V3983"/>
    </row>
    <row r="3984" spans="22:22" ht="15" x14ac:dyDescent="0.25">
      <c r="V3984"/>
    </row>
    <row r="3985" spans="22:22" ht="15" x14ac:dyDescent="0.25">
      <c r="V3985"/>
    </row>
    <row r="3986" spans="22:22" ht="15" x14ac:dyDescent="0.25">
      <c r="V3986"/>
    </row>
    <row r="3987" spans="22:22" ht="15" x14ac:dyDescent="0.25">
      <c r="V3987"/>
    </row>
    <row r="3988" spans="22:22" ht="15" x14ac:dyDescent="0.25">
      <c r="V3988"/>
    </row>
    <row r="3989" spans="22:22" ht="15" x14ac:dyDescent="0.25">
      <c r="V3989"/>
    </row>
    <row r="3990" spans="22:22" ht="15" x14ac:dyDescent="0.25">
      <c r="V3990"/>
    </row>
    <row r="3991" spans="22:22" ht="15" x14ac:dyDescent="0.25">
      <c r="V3991"/>
    </row>
    <row r="3992" spans="22:22" ht="15" x14ac:dyDescent="0.25">
      <c r="V3992"/>
    </row>
    <row r="3993" spans="22:22" ht="15" x14ac:dyDescent="0.25">
      <c r="V3993"/>
    </row>
    <row r="3994" spans="22:22" ht="15" x14ac:dyDescent="0.25">
      <c r="V3994"/>
    </row>
    <row r="3995" spans="22:22" ht="15" x14ac:dyDescent="0.25">
      <c r="V3995"/>
    </row>
    <row r="3996" spans="22:22" ht="15" x14ac:dyDescent="0.25">
      <c r="V3996"/>
    </row>
    <row r="3997" spans="22:22" ht="15" x14ac:dyDescent="0.25">
      <c r="V3997"/>
    </row>
    <row r="3998" spans="22:22" ht="15" x14ac:dyDescent="0.25">
      <c r="V3998"/>
    </row>
    <row r="3999" spans="22:22" ht="15" x14ac:dyDescent="0.25">
      <c r="V3999"/>
    </row>
    <row r="4000" spans="22:22" ht="15" x14ac:dyDescent="0.25">
      <c r="V4000"/>
    </row>
    <row r="4001" spans="22:22" ht="15" x14ac:dyDescent="0.25">
      <c r="V4001"/>
    </row>
    <row r="4002" spans="22:22" ht="15" x14ac:dyDescent="0.25">
      <c r="V4002"/>
    </row>
    <row r="4003" spans="22:22" ht="15" x14ac:dyDescent="0.25">
      <c r="V4003"/>
    </row>
    <row r="4004" spans="22:22" ht="15" x14ac:dyDescent="0.25">
      <c r="V4004"/>
    </row>
    <row r="4005" spans="22:22" ht="15" x14ac:dyDescent="0.25">
      <c r="V4005"/>
    </row>
    <row r="4006" spans="22:22" ht="15" x14ac:dyDescent="0.25">
      <c r="V4006"/>
    </row>
    <row r="4007" spans="22:22" ht="15" x14ac:dyDescent="0.25">
      <c r="V4007"/>
    </row>
    <row r="4008" spans="22:22" ht="15" x14ac:dyDescent="0.25">
      <c r="V4008"/>
    </row>
    <row r="4009" spans="22:22" ht="15" x14ac:dyDescent="0.25">
      <c r="V4009"/>
    </row>
    <row r="4010" spans="22:22" ht="15" x14ac:dyDescent="0.25">
      <c r="V4010"/>
    </row>
    <row r="4011" spans="22:22" ht="15" x14ac:dyDescent="0.25">
      <c r="V4011"/>
    </row>
    <row r="4012" spans="22:22" ht="15" x14ac:dyDescent="0.25">
      <c r="V4012"/>
    </row>
    <row r="4013" spans="22:22" ht="15" x14ac:dyDescent="0.25">
      <c r="V4013"/>
    </row>
    <row r="4014" spans="22:22" ht="15" x14ac:dyDescent="0.25">
      <c r="V4014"/>
    </row>
    <row r="4015" spans="22:22" ht="15" x14ac:dyDescent="0.25">
      <c r="V4015"/>
    </row>
    <row r="4016" spans="22:22" ht="15" x14ac:dyDescent="0.25">
      <c r="V4016"/>
    </row>
    <row r="4017" spans="22:22" ht="15" x14ac:dyDescent="0.25">
      <c r="V4017"/>
    </row>
    <row r="4018" spans="22:22" ht="15" x14ac:dyDescent="0.25">
      <c r="V4018"/>
    </row>
    <row r="4019" spans="22:22" ht="15" x14ac:dyDescent="0.25">
      <c r="V4019"/>
    </row>
    <row r="4020" spans="22:22" ht="15" x14ac:dyDescent="0.25">
      <c r="V4020"/>
    </row>
    <row r="4021" spans="22:22" ht="15" x14ac:dyDescent="0.25">
      <c r="V4021"/>
    </row>
    <row r="4022" spans="22:22" ht="15" x14ac:dyDescent="0.25">
      <c r="V4022"/>
    </row>
    <row r="4023" spans="22:22" ht="15" x14ac:dyDescent="0.25">
      <c r="V4023"/>
    </row>
    <row r="4024" spans="22:22" ht="15" x14ac:dyDescent="0.25">
      <c r="V4024"/>
    </row>
    <row r="4025" spans="22:22" ht="15" x14ac:dyDescent="0.25">
      <c r="V4025"/>
    </row>
    <row r="4026" spans="22:22" ht="15" x14ac:dyDescent="0.25">
      <c r="V4026"/>
    </row>
    <row r="4027" spans="22:22" ht="15" x14ac:dyDescent="0.25">
      <c r="V4027"/>
    </row>
    <row r="4028" spans="22:22" ht="15" x14ac:dyDescent="0.25">
      <c r="V4028"/>
    </row>
    <row r="4029" spans="22:22" ht="15" x14ac:dyDescent="0.25">
      <c r="V4029"/>
    </row>
    <row r="4030" spans="22:22" ht="15" x14ac:dyDescent="0.25">
      <c r="V4030"/>
    </row>
    <row r="4031" spans="22:22" ht="15" x14ac:dyDescent="0.25">
      <c r="V4031"/>
    </row>
    <row r="4032" spans="22:22" ht="15" x14ac:dyDescent="0.25">
      <c r="V4032"/>
    </row>
    <row r="4033" spans="22:22" ht="15" x14ac:dyDescent="0.25">
      <c r="V4033"/>
    </row>
    <row r="4034" spans="22:22" ht="15" x14ac:dyDescent="0.25">
      <c r="V4034"/>
    </row>
    <row r="4035" spans="22:22" ht="15" x14ac:dyDescent="0.25">
      <c r="V4035"/>
    </row>
    <row r="4036" spans="22:22" ht="15" x14ac:dyDescent="0.25">
      <c r="V4036"/>
    </row>
    <row r="4037" spans="22:22" ht="15" x14ac:dyDescent="0.25">
      <c r="V4037"/>
    </row>
    <row r="4038" spans="22:22" ht="15" x14ac:dyDescent="0.25">
      <c r="V4038"/>
    </row>
    <row r="4039" spans="22:22" ht="15" x14ac:dyDescent="0.25">
      <c r="V4039"/>
    </row>
    <row r="4040" spans="22:22" ht="15" x14ac:dyDescent="0.25">
      <c r="V4040"/>
    </row>
    <row r="4041" spans="22:22" ht="15" x14ac:dyDescent="0.25">
      <c r="V4041"/>
    </row>
    <row r="4042" spans="22:22" ht="15" x14ac:dyDescent="0.25">
      <c r="V4042"/>
    </row>
    <row r="4043" spans="22:22" ht="15" x14ac:dyDescent="0.25">
      <c r="V4043"/>
    </row>
    <row r="4044" spans="22:22" ht="15" x14ac:dyDescent="0.25">
      <c r="V4044"/>
    </row>
    <row r="4045" spans="22:22" ht="15" x14ac:dyDescent="0.25">
      <c r="V4045"/>
    </row>
    <row r="4046" spans="22:22" ht="15" x14ac:dyDescent="0.25">
      <c r="V4046"/>
    </row>
    <row r="4047" spans="22:22" ht="15" x14ac:dyDescent="0.25">
      <c r="V4047"/>
    </row>
    <row r="4048" spans="22:22" ht="15" x14ac:dyDescent="0.25">
      <c r="V4048"/>
    </row>
    <row r="4049" spans="22:22" ht="15" x14ac:dyDescent="0.25">
      <c r="V4049"/>
    </row>
    <row r="4050" spans="22:22" ht="15" x14ac:dyDescent="0.25">
      <c r="V4050"/>
    </row>
    <row r="4051" spans="22:22" ht="15" x14ac:dyDescent="0.25">
      <c r="V4051"/>
    </row>
    <row r="4052" spans="22:22" ht="15" x14ac:dyDescent="0.25">
      <c r="V4052"/>
    </row>
    <row r="4053" spans="22:22" ht="15" x14ac:dyDescent="0.25">
      <c r="V4053"/>
    </row>
    <row r="4054" spans="22:22" ht="15" x14ac:dyDescent="0.25">
      <c r="V4054"/>
    </row>
    <row r="4055" spans="22:22" ht="15" x14ac:dyDescent="0.25">
      <c r="V4055"/>
    </row>
    <row r="4056" spans="22:22" ht="15" x14ac:dyDescent="0.25">
      <c r="V4056"/>
    </row>
    <row r="4057" spans="22:22" ht="15" x14ac:dyDescent="0.25">
      <c r="V4057"/>
    </row>
    <row r="4058" spans="22:22" ht="15" x14ac:dyDescent="0.25">
      <c r="V4058"/>
    </row>
    <row r="4059" spans="22:22" ht="15" x14ac:dyDescent="0.25">
      <c r="V4059"/>
    </row>
    <row r="4060" spans="22:22" ht="15" x14ac:dyDescent="0.25">
      <c r="V4060"/>
    </row>
    <row r="4061" spans="22:22" ht="15" x14ac:dyDescent="0.25">
      <c r="V4061"/>
    </row>
    <row r="4062" spans="22:22" ht="15" x14ac:dyDescent="0.25">
      <c r="V4062"/>
    </row>
    <row r="4063" spans="22:22" ht="15" x14ac:dyDescent="0.25">
      <c r="V4063"/>
    </row>
    <row r="4064" spans="22:22" ht="15" x14ac:dyDescent="0.25">
      <c r="V4064"/>
    </row>
    <row r="4065" spans="22:22" ht="15" x14ac:dyDescent="0.25">
      <c r="V4065"/>
    </row>
    <row r="4066" spans="22:22" ht="15" x14ac:dyDescent="0.25">
      <c r="V4066"/>
    </row>
    <row r="4067" spans="22:22" ht="15" x14ac:dyDescent="0.25">
      <c r="V4067"/>
    </row>
    <row r="4068" spans="22:22" ht="15" x14ac:dyDescent="0.25">
      <c r="V4068"/>
    </row>
    <row r="4069" spans="22:22" ht="15" x14ac:dyDescent="0.25">
      <c r="V4069"/>
    </row>
    <row r="4070" spans="22:22" ht="15" x14ac:dyDescent="0.25">
      <c r="V4070"/>
    </row>
    <row r="4071" spans="22:22" ht="15" x14ac:dyDescent="0.25">
      <c r="V4071"/>
    </row>
    <row r="4072" spans="22:22" ht="15" x14ac:dyDescent="0.25">
      <c r="V4072"/>
    </row>
    <row r="4073" spans="22:22" ht="15" x14ac:dyDescent="0.25">
      <c r="V4073"/>
    </row>
    <row r="4074" spans="22:22" ht="15" x14ac:dyDescent="0.25">
      <c r="V4074"/>
    </row>
    <row r="4075" spans="22:22" ht="15" x14ac:dyDescent="0.25">
      <c r="V4075"/>
    </row>
    <row r="4076" spans="22:22" ht="15" x14ac:dyDescent="0.25">
      <c r="V4076"/>
    </row>
    <row r="4077" spans="22:22" ht="15" x14ac:dyDescent="0.25">
      <c r="V4077"/>
    </row>
    <row r="4078" spans="22:22" ht="15" x14ac:dyDescent="0.25">
      <c r="V4078"/>
    </row>
    <row r="4079" spans="22:22" ht="15" x14ac:dyDescent="0.25">
      <c r="V4079"/>
    </row>
    <row r="4080" spans="22:22" ht="15" x14ac:dyDescent="0.25">
      <c r="V4080"/>
    </row>
    <row r="4081" spans="22:22" ht="15" x14ac:dyDescent="0.25">
      <c r="V4081"/>
    </row>
    <row r="4082" spans="22:22" ht="15" x14ac:dyDescent="0.25">
      <c r="V4082"/>
    </row>
    <row r="4083" spans="22:22" ht="15" x14ac:dyDescent="0.25">
      <c r="V4083"/>
    </row>
    <row r="4084" spans="22:22" ht="15" x14ac:dyDescent="0.25">
      <c r="V4084"/>
    </row>
    <row r="4085" spans="22:22" ht="15" x14ac:dyDescent="0.25">
      <c r="V4085"/>
    </row>
    <row r="4086" spans="22:22" ht="15" x14ac:dyDescent="0.25">
      <c r="V4086"/>
    </row>
    <row r="4087" spans="22:22" ht="15" x14ac:dyDescent="0.25">
      <c r="V4087"/>
    </row>
    <row r="4088" spans="22:22" ht="15" x14ac:dyDescent="0.25">
      <c r="V4088"/>
    </row>
    <row r="4089" spans="22:22" ht="15" x14ac:dyDescent="0.25">
      <c r="V4089"/>
    </row>
    <row r="4090" spans="22:22" ht="15" x14ac:dyDescent="0.25">
      <c r="V4090"/>
    </row>
    <row r="4091" spans="22:22" ht="15" x14ac:dyDescent="0.25">
      <c r="V4091"/>
    </row>
    <row r="4092" spans="22:22" ht="15" x14ac:dyDescent="0.25">
      <c r="V4092"/>
    </row>
    <row r="4093" spans="22:22" ht="15" x14ac:dyDescent="0.25">
      <c r="V4093"/>
    </row>
    <row r="4094" spans="22:22" ht="15" x14ac:dyDescent="0.25">
      <c r="V4094"/>
    </row>
    <row r="4095" spans="22:22" ht="15" x14ac:dyDescent="0.25">
      <c r="V4095"/>
    </row>
    <row r="4096" spans="22:22" ht="15" x14ac:dyDescent="0.25">
      <c r="V4096"/>
    </row>
    <row r="4097" spans="22:22" ht="15" x14ac:dyDescent="0.25">
      <c r="V4097"/>
    </row>
    <row r="4098" spans="22:22" ht="15" x14ac:dyDescent="0.25">
      <c r="V4098"/>
    </row>
    <row r="4099" spans="22:22" ht="15" x14ac:dyDescent="0.25">
      <c r="V4099"/>
    </row>
    <row r="4100" spans="22:22" ht="15" x14ac:dyDescent="0.25">
      <c r="V4100"/>
    </row>
    <row r="4101" spans="22:22" ht="15" x14ac:dyDescent="0.25">
      <c r="V4101"/>
    </row>
    <row r="4102" spans="22:22" ht="15" x14ac:dyDescent="0.25">
      <c r="V4102"/>
    </row>
    <row r="4103" spans="22:22" ht="15" x14ac:dyDescent="0.25">
      <c r="V4103"/>
    </row>
    <row r="4104" spans="22:22" ht="15" x14ac:dyDescent="0.25">
      <c r="V4104"/>
    </row>
    <row r="4105" spans="22:22" ht="15" x14ac:dyDescent="0.25">
      <c r="V4105"/>
    </row>
    <row r="4106" spans="22:22" ht="15" x14ac:dyDescent="0.25">
      <c r="V4106"/>
    </row>
    <row r="4107" spans="22:22" ht="15" x14ac:dyDescent="0.25">
      <c r="V4107"/>
    </row>
    <row r="4108" spans="22:22" ht="15" x14ac:dyDescent="0.25">
      <c r="V4108"/>
    </row>
    <row r="4109" spans="22:22" ht="15" x14ac:dyDescent="0.25">
      <c r="V4109"/>
    </row>
    <row r="4110" spans="22:22" ht="15" x14ac:dyDescent="0.25">
      <c r="V4110"/>
    </row>
    <row r="4111" spans="22:22" ht="15" x14ac:dyDescent="0.25">
      <c r="V4111"/>
    </row>
    <row r="4112" spans="22:22" ht="15" x14ac:dyDescent="0.25">
      <c r="V4112"/>
    </row>
    <row r="4113" spans="22:22" ht="15" x14ac:dyDescent="0.25">
      <c r="V4113"/>
    </row>
    <row r="4114" spans="22:22" ht="15" x14ac:dyDescent="0.25">
      <c r="V4114"/>
    </row>
    <row r="4115" spans="22:22" ht="15" x14ac:dyDescent="0.25">
      <c r="V4115"/>
    </row>
    <row r="4116" spans="22:22" ht="15" x14ac:dyDescent="0.25">
      <c r="V4116"/>
    </row>
    <row r="4117" spans="22:22" ht="15" x14ac:dyDescent="0.25">
      <c r="V4117"/>
    </row>
    <row r="4118" spans="22:22" ht="15" x14ac:dyDescent="0.25">
      <c r="V4118"/>
    </row>
    <row r="4119" spans="22:22" ht="15" x14ac:dyDescent="0.25">
      <c r="V4119"/>
    </row>
    <row r="4120" spans="22:22" ht="15" x14ac:dyDescent="0.25">
      <c r="V4120"/>
    </row>
    <row r="4121" spans="22:22" ht="15" x14ac:dyDescent="0.25">
      <c r="V4121"/>
    </row>
    <row r="4122" spans="22:22" ht="15" x14ac:dyDescent="0.25">
      <c r="V4122"/>
    </row>
    <row r="4123" spans="22:22" ht="15" x14ac:dyDescent="0.25">
      <c r="V4123"/>
    </row>
    <row r="4124" spans="22:22" ht="15" x14ac:dyDescent="0.25">
      <c r="V4124"/>
    </row>
    <row r="4125" spans="22:22" ht="15" x14ac:dyDescent="0.25">
      <c r="V4125"/>
    </row>
    <row r="4126" spans="22:22" ht="15" x14ac:dyDescent="0.25">
      <c r="V4126"/>
    </row>
    <row r="4127" spans="22:22" ht="15" x14ac:dyDescent="0.25">
      <c r="V4127"/>
    </row>
    <row r="4128" spans="22:22" ht="15" x14ac:dyDescent="0.25">
      <c r="V4128"/>
    </row>
    <row r="4129" spans="22:22" ht="15" x14ac:dyDescent="0.25">
      <c r="V4129"/>
    </row>
    <row r="4130" spans="22:22" ht="15" x14ac:dyDescent="0.25">
      <c r="V4130"/>
    </row>
    <row r="4131" spans="22:22" ht="15" x14ac:dyDescent="0.25">
      <c r="V4131"/>
    </row>
    <row r="4132" spans="22:22" ht="15" x14ac:dyDescent="0.25">
      <c r="V4132"/>
    </row>
    <row r="4133" spans="22:22" ht="15" x14ac:dyDescent="0.25">
      <c r="V4133"/>
    </row>
    <row r="4134" spans="22:22" ht="15" x14ac:dyDescent="0.25">
      <c r="V4134"/>
    </row>
    <row r="4135" spans="22:22" ht="15" x14ac:dyDescent="0.25">
      <c r="V4135"/>
    </row>
    <row r="4136" spans="22:22" ht="15" x14ac:dyDescent="0.25">
      <c r="V4136"/>
    </row>
    <row r="4137" spans="22:22" ht="15" x14ac:dyDescent="0.25">
      <c r="V4137"/>
    </row>
    <row r="4138" spans="22:22" ht="15" x14ac:dyDescent="0.25">
      <c r="V4138"/>
    </row>
    <row r="4139" spans="22:22" ht="15" x14ac:dyDescent="0.25">
      <c r="V4139"/>
    </row>
    <row r="4140" spans="22:22" ht="15" x14ac:dyDescent="0.25">
      <c r="V4140"/>
    </row>
    <row r="4141" spans="22:22" ht="15" x14ac:dyDescent="0.25">
      <c r="V4141"/>
    </row>
    <row r="4142" spans="22:22" ht="15" x14ac:dyDescent="0.25">
      <c r="V4142"/>
    </row>
    <row r="4143" spans="22:22" ht="15" x14ac:dyDescent="0.25">
      <c r="V4143"/>
    </row>
    <row r="4144" spans="22:22" ht="15" x14ac:dyDescent="0.25">
      <c r="V4144"/>
    </row>
    <row r="4145" spans="22:22" ht="15" x14ac:dyDescent="0.25">
      <c r="V4145"/>
    </row>
    <row r="4146" spans="22:22" ht="15" x14ac:dyDescent="0.25">
      <c r="V4146"/>
    </row>
    <row r="4147" spans="22:22" ht="15" x14ac:dyDescent="0.25">
      <c r="V4147"/>
    </row>
    <row r="4148" spans="22:22" ht="15" x14ac:dyDescent="0.25">
      <c r="V4148"/>
    </row>
    <row r="4149" spans="22:22" ht="15" x14ac:dyDescent="0.25">
      <c r="V4149"/>
    </row>
    <row r="4150" spans="22:22" ht="15" x14ac:dyDescent="0.25">
      <c r="V4150"/>
    </row>
    <row r="4151" spans="22:22" ht="15" x14ac:dyDescent="0.25">
      <c r="V4151"/>
    </row>
    <row r="4152" spans="22:22" ht="15" x14ac:dyDescent="0.25">
      <c r="V4152"/>
    </row>
    <row r="4153" spans="22:22" ht="15" x14ac:dyDescent="0.25">
      <c r="V4153"/>
    </row>
    <row r="4154" spans="22:22" ht="15" x14ac:dyDescent="0.25">
      <c r="V4154"/>
    </row>
    <row r="4155" spans="22:22" ht="15" x14ac:dyDescent="0.25">
      <c r="V4155"/>
    </row>
    <row r="4156" spans="22:22" ht="15" x14ac:dyDescent="0.25">
      <c r="V4156"/>
    </row>
    <row r="4157" spans="22:22" ht="15" x14ac:dyDescent="0.25">
      <c r="V4157"/>
    </row>
    <row r="4158" spans="22:22" ht="15" x14ac:dyDescent="0.25">
      <c r="V4158"/>
    </row>
    <row r="4159" spans="22:22" ht="15" x14ac:dyDescent="0.25">
      <c r="V4159"/>
    </row>
    <row r="4160" spans="22:22" ht="15" x14ac:dyDescent="0.25">
      <c r="V4160"/>
    </row>
    <row r="4161" spans="22:22" ht="15" x14ac:dyDescent="0.25">
      <c r="V4161"/>
    </row>
    <row r="4162" spans="22:22" ht="15" x14ac:dyDescent="0.25">
      <c r="V4162"/>
    </row>
    <row r="4163" spans="22:22" ht="15" x14ac:dyDescent="0.25">
      <c r="V4163"/>
    </row>
    <row r="4164" spans="22:22" ht="15" x14ac:dyDescent="0.25">
      <c r="V4164"/>
    </row>
    <row r="4165" spans="22:22" ht="15" x14ac:dyDescent="0.25">
      <c r="V4165"/>
    </row>
    <row r="4166" spans="22:22" ht="15" x14ac:dyDescent="0.25">
      <c r="V4166"/>
    </row>
    <row r="4167" spans="22:22" ht="15" x14ac:dyDescent="0.25">
      <c r="V4167"/>
    </row>
    <row r="4168" spans="22:22" ht="15" x14ac:dyDescent="0.25">
      <c r="V4168"/>
    </row>
    <row r="4169" spans="22:22" ht="15" x14ac:dyDescent="0.25">
      <c r="V4169"/>
    </row>
    <row r="4170" spans="22:22" ht="15" x14ac:dyDescent="0.25">
      <c r="V4170"/>
    </row>
    <row r="4171" spans="22:22" ht="15" x14ac:dyDescent="0.25">
      <c r="V4171"/>
    </row>
    <row r="4172" spans="22:22" ht="15" x14ac:dyDescent="0.25">
      <c r="V4172"/>
    </row>
    <row r="4173" spans="22:22" ht="15" x14ac:dyDescent="0.25">
      <c r="V4173"/>
    </row>
    <row r="4174" spans="22:22" ht="15" x14ac:dyDescent="0.25">
      <c r="V4174"/>
    </row>
    <row r="4175" spans="22:22" ht="15" x14ac:dyDescent="0.25">
      <c r="V4175"/>
    </row>
    <row r="4176" spans="22:22" ht="15" x14ac:dyDescent="0.25">
      <c r="V4176"/>
    </row>
    <row r="4177" spans="22:22" ht="15" x14ac:dyDescent="0.25">
      <c r="V4177"/>
    </row>
    <row r="4178" spans="22:22" ht="15" x14ac:dyDescent="0.25">
      <c r="V4178"/>
    </row>
    <row r="4179" spans="22:22" ht="15" x14ac:dyDescent="0.25">
      <c r="V4179"/>
    </row>
    <row r="4180" spans="22:22" ht="15" x14ac:dyDescent="0.25">
      <c r="V4180"/>
    </row>
    <row r="4181" spans="22:22" ht="15" x14ac:dyDescent="0.25">
      <c r="V4181"/>
    </row>
    <row r="4182" spans="22:22" ht="15" x14ac:dyDescent="0.25">
      <c r="V4182"/>
    </row>
    <row r="4183" spans="22:22" ht="15" x14ac:dyDescent="0.25">
      <c r="V4183"/>
    </row>
    <row r="4184" spans="22:22" ht="15" x14ac:dyDescent="0.25">
      <c r="V4184"/>
    </row>
    <row r="4185" spans="22:22" ht="15" x14ac:dyDescent="0.25">
      <c r="V4185"/>
    </row>
    <row r="4186" spans="22:22" ht="15" x14ac:dyDescent="0.25">
      <c r="V4186"/>
    </row>
    <row r="4187" spans="22:22" ht="15" x14ac:dyDescent="0.25">
      <c r="V4187"/>
    </row>
    <row r="4188" spans="22:22" ht="15" x14ac:dyDescent="0.25">
      <c r="V4188"/>
    </row>
    <row r="4189" spans="22:22" ht="15" x14ac:dyDescent="0.25">
      <c r="V4189"/>
    </row>
    <row r="4190" spans="22:22" ht="15" x14ac:dyDescent="0.25">
      <c r="V4190"/>
    </row>
    <row r="4191" spans="22:22" ht="15" x14ac:dyDescent="0.25">
      <c r="V4191"/>
    </row>
    <row r="4192" spans="22:22" ht="15" x14ac:dyDescent="0.25">
      <c r="V4192"/>
    </row>
    <row r="4193" spans="22:22" ht="15" x14ac:dyDescent="0.25">
      <c r="V4193"/>
    </row>
    <row r="4194" spans="22:22" ht="15" x14ac:dyDescent="0.25">
      <c r="V4194"/>
    </row>
    <row r="4195" spans="22:22" ht="15" x14ac:dyDescent="0.25">
      <c r="V4195"/>
    </row>
    <row r="4196" spans="22:22" ht="15" x14ac:dyDescent="0.25">
      <c r="V4196"/>
    </row>
    <row r="4197" spans="22:22" ht="15" x14ac:dyDescent="0.25">
      <c r="V4197"/>
    </row>
    <row r="4198" spans="22:22" ht="15" x14ac:dyDescent="0.25">
      <c r="V4198"/>
    </row>
    <row r="4199" spans="22:22" ht="15" x14ac:dyDescent="0.25">
      <c r="V4199"/>
    </row>
    <row r="4200" spans="22:22" ht="15" x14ac:dyDescent="0.25">
      <c r="V4200"/>
    </row>
    <row r="4201" spans="22:22" ht="15" x14ac:dyDescent="0.25">
      <c r="V4201"/>
    </row>
    <row r="4202" spans="22:22" ht="15" x14ac:dyDescent="0.25">
      <c r="V4202"/>
    </row>
    <row r="4203" spans="22:22" ht="15" x14ac:dyDescent="0.25">
      <c r="V4203"/>
    </row>
    <row r="4204" spans="22:22" ht="15" x14ac:dyDescent="0.25">
      <c r="V4204"/>
    </row>
    <row r="4205" spans="22:22" ht="15" x14ac:dyDescent="0.25">
      <c r="V4205"/>
    </row>
    <row r="4206" spans="22:22" ht="15" x14ac:dyDescent="0.25">
      <c r="V4206"/>
    </row>
    <row r="4207" spans="22:22" ht="15" x14ac:dyDescent="0.25">
      <c r="V4207"/>
    </row>
    <row r="4208" spans="22:22" ht="15" x14ac:dyDescent="0.25">
      <c r="V4208"/>
    </row>
    <row r="4209" spans="22:22" ht="15" x14ac:dyDescent="0.25">
      <c r="V4209"/>
    </row>
    <row r="4210" spans="22:22" ht="15" x14ac:dyDescent="0.25">
      <c r="V4210"/>
    </row>
    <row r="4211" spans="22:22" ht="15" x14ac:dyDescent="0.25">
      <c r="V4211"/>
    </row>
    <row r="4212" spans="22:22" ht="15" x14ac:dyDescent="0.25">
      <c r="V4212"/>
    </row>
    <row r="4213" spans="22:22" ht="15" x14ac:dyDescent="0.25">
      <c r="V4213"/>
    </row>
    <row r="4214" spans="22:22" ht="15" x14ac:dyDescent="0.25">
      <c r="V4214"/>
    </row>
    <row r="4215" spans="22:22" ht="15" x14ac:dyDescent="0.25">
      <c r="V4215"/>
    </row>
    <row r="4216" spans="22:22" ht="15" x14ac:dyDescent="0.25">
      <c r="V4216"/>
    </row>
    <row r="4217" spans="22:22" ht="15" x14ac:dyDescent="0.25">
      <c r="V4217"/>
    </row>
    <row r="4218" spans="22:22" ht="15" x14ac:dyDescent="0.25">
      <c r="V4218"/>
    </row>
    <row r="4219" spans="22:22" ht="15" x14ac:dyDescent="0.25">
      <c r="V4219"/>
    </row>
    <row r="4220" spans="22:22" ht="15" x14ac:dyDescent="0.25">
      <c r="V4220"/>
    </row>
    <row r="4221" spans="22:22" ht="15" x14ac:dyDescent="0.25">
      <c r="V4221"/>
    </row>
    <row r="4222" spans="22:22" ht="15" x14ac:dyDescent="0.25">
      <c r="V4222"/>
    </row>
    <row r="4223" spans="22:22" ht="15" x14ac:dyDescent="0.25">
      <c r="V4223"/>
    </row>
    <row r="4224" spans="22:22" ht="15" x14ac:dyDescent="0.25">
      <c r="V4224"/>
    </row>
    <row r="4225" spans="22:22" ht="15" x14ac:dyDescent="0.25">
      <c r="V4225"/>
    </row>
    <row r="4226" spans="22:22" ht="15" x14ac:dyDescent="0.25">
      <c r="V4226"/>
    </row>
    <row r="4227" spans="22:22" ht="15" x14ac:dyDescent="0.25">
      <c r="V4227"/>
    </row>
    <row r="4228" spans="22:22" ht="15" x14ac:dyDescent="0.25">
      <c r="V4228"/>
    </row>
    <row r="4229" spans="22:22" ht="15" x14ac:dyDescent="0.25">
      <c r="V4229"/>
    </row>
    <row r="4230" spans="22:22" ht="15" x14ac:dyDescent="0.25">
      <c r="V4230"/>
    </row>
    <row r="4231" spans="22:22" ht="15" x14ac:dyDescent="0.25">
      <c r="V4231"/>
    </row>
    <row r="4232" spans="22:22" ht="15" x14ac:dyDescent="0.25">
      <c r="V4232"/>
    </row>
    <row r="4233" spans="22:22" ht="15" x14ac:dyDescent="0.25">
      <c r="V4233"/>
    </row>
    <row r="4234" spans="22:22" ht="15" x14ac:dyDescent="0.25">
      <c r="V4234"/>
    </row>
    <row r="4235" spans="22:22" ht="15" x14ac:dyDescent="0.25">
      <c r="V4235"/>
    </row>
    <row r="4236" spans="22:22" ht="15" x14ac:dyDescent="0.25">
      <c r="V4236"/>
    </row>
    <row r="4237" spans="22:22" ht="15" x14ac:dyDescent="0.25">
      <c r="V4237"/>
    </row>
    <row r="4238" spans="22:22" ht="15" x14ac:dyDescent="0.25">
      <c r="V4238"/>
    </row>
    <row r="4239" spans="22:22" ht="15" x14ac:dyDescent="0.25">
      <c r="V4239"/>
    </row>
    <row r="4240" spans="22:22" ht="15" x14ac:dyDescent="0.25">
      <c r="V4240"/>
    </row>
    <row r="4241" spans="22:22" ht="15" x14ac:dyDescent="0.25">
      <c r="V4241"/>
    </row>
    <row r="4242" spans="22:22" ht="15" x14ac:dyDescent="0.25">
      <c r="V4242"/>
    </row>
    <row r="4243" spans="22:22" ht="15" x14ac:dyDescent="0.25">
      <c r="V4243"/>
    </row>
    <row r="4244" spans="22:22" ht="15" x14ac:dyDescent="0.25">
      <c r="V4244"/>
    </row>
    <row r="4245" spans="22:22" ht="15" x14ac:dyDescent="0.25">
      <c r="V4245"/>
    </row>
    <row r="4246" spans="22:22" ht="15" x14ac:dyDescent="0.25">
      <c r="V4246"/>
    </row>
    <row r="4247" spans="22:22" ht="15" x14ac:dyDescent="0.25">
      <c r="V4247"/>
    </row>
    <row r="4248" spans="22:22" ht="15" x14ac:dyDescent="0.25">
      <c r="V4248"/>
    </row>
    <row r="4249" spans="22:22" ht="15" x14ac:dyDescent="0.25">
      <c r="V4249"/>
    </row>
    <row r="4250" spans="22:22" ht="15" x14ac:dyDescent="0.25">
      <c r="V4250"/>
    </row>
    <row r="4251" spans="22:22" ht="15" x14ac:dyDescent="0.25">
      <c r="V4251"/>
    </row>
    <row r="4252" spans="22:22" ht="15" x14ac:dyDescent="0.25">
      <c r="V4252"/>
    </row>
    <row r="4253" spans="22:22" ht="15" x14ac:dyDescent="0.25">
      <c r="V4253"/>
    </row>
    <row r="4254" spans="22:22" ht="15" x14ac:dyDescent="0.25">
      <c r="V4254"/>
    </row>
    <row r="4255" spans="22:22" ht="15" x14ac:dyDescent="0.25">
      <c r="V4255"/>
    </row>
    <row r="4256" spans="22:22" ht="15" x14ac:dyDescent="0.25">
      <c r="V4256"/>
    </row>
    <row r="4257" spans="22:22" ht="15" x14ac:dyDescent="0.25">
      <c r="V4257"/>
    </row>
    <row r="4258" spans="22:22" ht="15" x14ac:dyDescent="0.25">
      <c r="V4258"/>
    </row>
    <row r="4259" spans="22:22" ht="15" x14ac:dyDescent="0.25">
      <c r="V4259"/>
    </row>
    <row r="4260" spans="22:22" ht="15" x14ac:dyDescent="0.25">
      <c r="V4260"/>
    </row>
    <row r="4261" spans="22:22" ht="15" x14ac:dyDescent="0.25">
      <c r="V4261"/>
    </row>
    <row r="4262" spans="22:22" ht="15" x14ac:dyDescent="0.25">
      <c r="V4262"/>
    </row>
    <row r="4263" spans="22:22" ht="15" x14ac:dyDescent="0.25">
      <c r="V4263"/>
    </row>
    <row r="4264" spans="22:22" ht="15" x14ac:dyDescent="0.25">
      <c r="V4264"/>
    </row>
    <row r="4265" spans="22:22" ht="15" x14ac:dyDescent="0.25">
      <c r="V4265"/>
    </row>
    <row r="4266" spans="22:22" ht="15" x14ac:dyDescent="0.25">
      <c r="V4266"/>
    </row>
    <row r="4267" spans="22:22" ht="15" x14ac:dyDescent="0.25">
      <c r="V4267"/>
    </row>
    <row r="4268" spans="22:22" ht="15" x14ac:dyDescent="0.25">
      <c r="V4268"/>
    </row>
    <row r="4269" spans="22:22" ht="15" x14ac:dyDescent="0.25">
      <c r="V4269"/>
    </row>
    <row r="4270" spans="22:22" ht="15" x14ac:dyDescent="0.25">
      <c r="V4270"/>
    </row>
    <row r="4271" spans="22:22" ht="15" x14ac:dyDescent="0.25">
      <c r="V4271"/>
    </row>
    <row r="4272" spans="22:22" ht="15" x14ac:dyDescent="0.25">
      <c r="V4272"/>
    </row>
    <row r="4273" spans="22:22" ht="15" x14ac:dyDescent="0.25">
      <c r="V4273"/>
    </row>
    <row r="4274" spans="22:22" ht="15" x14ac:dyDescent="0.25">
      <c r="V4274"/>
    </row>
    <row r="4275" spans="22:22" ht="15" x14ac:dyDescent="0.25">
      <c r="V4275"/>
    </row>
    <row r="4276" spans="22:22" ht="15" x14ac:dyDescent="0.25">
      <c r="V4276"/>
    </row>
    <row r="4277" spans="22:22" ht="15" x14ac:dyDescent="0.25">
      <c r="V4277"/>
    </row>
    <row r="4278" spans="22:22" ht="15" x14ac:dyDescent="0.25">
      <c r="V4278"/>
    </row>
    <row r="4279" spans="22:22" ht="15" x14ac:dyDescent="0.25">
      <c r="V4279"/>
    </row>
    <row r="4280" spans="22:22" ht="15" x14ac:dyDescent="0.25">
      <c r="V4280"/>
    </row>
    <row r="4281" spans="22:22" ht="15" x14ac:dyDescent="0.25">
      <c r="V4281"/>
    </row>
    <row r="4282" spans="22:22" ht="15" x14ac:dyDescent="0.25">
      <c r="V4282"/>
    </row>
    <row r="4283" spans="22:22" ht="15" x14ac:dyDescent="0.25">
      <c r="V4283"/>
    </row>
    <row r="4284" spans="22:22" ht="15" x14ac:dyDescent="0.25">
      <c r="V4284"/>
    </row>
    <row r="4285" spans="22:22" ht="15" x14ac:dyDescent="0.25">
      <c r="V4285"/>
    </row>
    <row r="4286" spans="22:22" ht="15" x14ac:dyDescent="0.25">
      <c r="V4286"/>
    </row>
    <row r="4287" spans="22:22" ht="15" x14ac:dyDescent="0.25">
      <c r="V4287"/>
    </row>
    <row r="4288" spans="22:22" ht="15" x14ac:dyDescent="0.25">
      <c r="V4288"/>
    </row>
    <row r="4289" spans="22:22" ht="15" x14ac:dyDescent="0.25">
      <c r="V4289"/>
    </row>
    <row r="4290" spans="22:22" ht="15" x14ac:dyDescent="0.25">
      <c r="V4290"/>
    </row>
    <row r="4291" spans="22:22" ht="15" x14ac:dyDescent="0.25">
      <c r="V4291"/>
    </row>
    <row r="4292" spans="22:22" ht="15" x14ac:dyDescent="0.25">
      <c r="V4292"/>
    </row>
    <row r="4293" spans="22:22" ht="15" x14ac:dyDescent="0.25">
      <c r="V4293"/>
    </row>
    <row r="4294" spans="22:22" ht="15" x14ac:dyDescent="0.25">
      <c r="V4294"/>
    </row>
    <row r="4295" spans="22:22" ht="15" x14ac:dyDescent="0.25">
      <c r="V4295"/>
    </row>
    <row r="4296" spans="22:22" ht="15" x14ac:dyDescent="0.25">
      <c r="V4296"/>
    </row>
    <row r="4297" spans="22:22" ht="15" x14ac:dyDescent="0.25">
      <c r="V4297"/>
    </row>
    <row r="4298" spans="22:22" ht="15" x14ac:dyDescent="0.25">
      <c r="V4298"/>
    </row>
    <row r="4299" spans="22:22" ht="15" x14ac:dyDescent="0.25">
      <c r="V4299"/>
    </row>
    <row r="4300" spans="22:22" ht="15" x14ac:dyDescent="0.25">
      <c r="V4300"/>
    </row>
    <row r="4301" spans="22:22" ht="15" x14ac:dyDescent="0.25">
      <c r="V4301"/>
    </row>
    <row r="4302" spans="22:22" ht="15" x14ac:dyDescent="0.25">
      <c r="V4302"/>
    </row>
    <row r="4303" spans="22:22" ht="15" x14ac:dyDescent="0.25">
      <c r="V4303"/>
    </row>
    <row r="4304" spans="22:22" ht="15" x14ac:dyDescent="0.25">
      <c r="V4304"/>
    </row>
    <row r="4305" spans="22:22" ht="15" x14ac:dyDescent="0.25">
      <c r="V4305"/>
    </row>
    <row r="4306" spans="22:22" ht="15" x14ac:dyDescent="0.25">
      <c r="V4306"/>
    </row>
    <row r="4307" spans="22:22" ht="15" x14ac:dyDescent="0.25">
      <c r="V4307"/>
    </row>
    <row r="4308" spans="22:22" ht="15" x14ac:dyDescent="0.25">
      <c r="V4308"/>
    </row>
    <row r="4309" spans="22:22" ht="15" x14ac:dyDescent="0.25">
      <c r="V4309"/>
    </row>
    <row r="4310" spans="22:22" ht="15" x14ac:dyDescent="0.25">
      <c r="V4310"/>
    </row>
    <row r="4311" spans="22:22" ht="15" x14ac:dyDescent="0.25">
      <c r="V4311"/>
    </row>
    <row r="4312" spans="22:22" ht="15" x14ac:dyDescent="0.25">
      <c r="V4312"/>
    </row>
    <row r="4313" spans="22:22" ht="15" x14ac:dyDescent="0.25">
      <c r="V4313"/>
    </row>
    <row r="4314" spans="22:22" ht="15" x14ac:dyDescent="0.25">
      <c r="V4314"/>
    </row>
    <row r="4315" spans="22:22" ht="15" x14ac:dyDescent="0.25">
      <c r="V4315"/>
    </row>
    <row r="4316" spans="22:22" ht="15" x14ac:dyDescent="0.25">
      <c r="V4316"/>
    </row>
    <row r="4317" spans="22:22" ht="15" x14ac:dyDescent="0.25">
      <c r="V4317"/>
    </row>
    <row r="4318" spans="22:22" ht="15" x14ac:dyDescent="0.25">
      <c r="V4318"/>
    </row>
    <row r="4319" spans="22:22" ht="15" x14ac:dyDescent="0.25">
      <c r="V4319"/>
    </row>
    <row r="4320" spans="22:22" ht="15" x14ac:dyDescent="0.25">
      <c r="V4320"/>
    </row>
    <row r="4321" spans="22:22" ht="15" x14ac:dyDescent="0.25">
      <c r="V4321"/>
    </row>
    <row r="4322" spans="22:22" ht="15" x14ac:dyDescent="0.25">
      <c r="V4322"/>
    </row>
    <row r="4323" spans="22:22" ht="15" x14ac:dyDescent="0.25">
      <c r="V4323"/>
    </row>
    <row r="4324" spans="22:22" ht="15" x14ac:dyDescent="0.25">
      <c r="V4324"/>
    </row>
    <row r="4325" spans="22:22" ht="15" x14ac:dyDescent="0.25">
      <c r="V4325"/>
    </row>
    <row r="4326" spans="22:22" ht="15" x14ac:dyDescent="0.25">
      <c r="V4326"/>
    </row>
    <row r="4327" spans="22:22" ht="15" x14ac:dyDescent="0.25">
      <c r="V4327"/>
    </row>
    <row r="4328" spans="22:22" ht="15" x14ac:dyDescent="0.25">
      <c r="V4328"/>
    </row>
    <row r="4329" spans="22:22" ht="15" x14ac:dyDescent="0.25">
      <c r="V4329"/>
    </row>
    <row r="4330" spans="22:22" ht="15" x14ac:dyDescent="0.25">
      <c r="V4330"/>
    </row>
    <row r="4331" spans="22:22" ht="15" x14ac:dyDescent="0.25">
      <c r="V4331"/>
    </row>
    <row r="4332" spans="22:22" ht="15" x14ac:dyDescent="0.25">
      <c r="V4332"/>
    </row>
    <row r="4333" spans="22:22" ht="15" x14ac:dyDescent="0.25">
      <c r="V4333"/>
    </row>
    <row r="4334" spans="22:22" ht="15" x14ac:dyDescent="0.25">
      <c r="V4334"/>
    </row>
    <row r="4335" spans="22:22" ht="15" x14ac:dyDescent="0.25">
      <c r="V4335"/>
    </row>
    <row r="4336" spans="22:22" ht="15" x14ac:dyDescent="0.25">
      <c r="V4336"/>
    </row>
    <row r="4337" spans="22:22" ht="15" x14ac:dyDescent="0.25">
      <c r="V4337"/>
    </row>
    <row r="4338" spans="22:22" ht="15" x14ac:dyDescent="0.25">
      <c r="V4338"/>
    </row>
    <row r="4339" spans="22:22" ht="15" x14ac:dyDescent="0.25">
      <c r="V4339"/>
    </row>
    <row r="4340" spans="22:22" ht="15" x14ac:dyDescent="0.25">
      <c r="V4340"/>
    </row>
    <row r="4341" spans="22:22" ht="15" x14ac:dyDescent="0.25">
      <c r="V4341"/>
    </row>
    <row r="4342" spans="22:22" ht="15" x14ac:dyDescent="0.25">
      <c r="V4342"/>
    </row>
    <row r="4343" spans="22:22" ht="15" x14ac:dyDescent="0.25">
      <c r="V4343"/>
    </row>
    <row r="4344" spans="22:22" ht="15" x14ac:dyDescent="0.25">
      <c r="V4344"/>
    </row>
    <row r="4345" spans="22:22" ht="15" x14ac:dyDescent="0.25">
      <c r="V4345"/>
    </row>
    <row r="4346" spans="22:22" ht="15" x14ac:dyDescent="0.25">
      <c r="V4346"/>
    </row>
    <row r="4347" spans="22:22" ht="15" x14ac:dyDescent="0.25">
      <c r="V4347"/>
    </row>
    <row r="4348" spans="22:22" ht="15" x14ac:dyDescent="0.25">
      <c r="V4348"/>
    </row>
    <row r="4349" spans="22:22" ht="15" x14ac:dyDescent="0.25">
      <c r="V4349"/>
    </row>
    <row r="4350" spans="22:22" ht="15" x14ac:dyDescent="0.25">
      <c r="V4350"/>
    </row>
    <row r="4351" spans="22:22" ht="15" x14ac:dyDescent="0.25">
      <c r="V4351"/>
    </row>
    <row r="4352" spans="22:22" ht="15" x14ac:dyDescent="0.25">
      <c r="V4352"/>
    </row>
    <row r="4353" spans="22:22" ht="15" x14ac:dyDescent="0.25">
      <c r="V4353"/>
    </row>
    <row r="4354" spans="22:22" ht="15" x14ac:dyDescent="0.25">
      <c r="V4354"/>
    </row>
    <row r="4355" spans="22:22" ht="15" x14ac:dyDescent="0.25">
      <c r="V4355"/>
    </row>
    <row r="4356" spans="22:22" ht="15" x14ac:dyDescent="0.25">
      <c r="V4356"/>
    </row>
    <row r="4357" spans="22:22" ht="15" x14ac:dyDescent="0.25">
      <c r="V4357"/>
    </row>
    <row r="4358" spans="22:22" ht="15" x14ac:dyDescent="0.25">
      <c r="V4358"/>
    </row>
    <row r="4359" spans="22:22" ht="15" x14ac:dyDescent="0.25">
      <c r="V4359"/>
    </row>
    <row r="4360" spans="22:22" ht="15" x14ac:dyDescent="0.25">
      <c r="V4360"/>
    </row>
    <row r="4361" spans="22:22" ht="15" x14ac:dyDescent="0.25">
      <c r="V4361"/>
    </row>
    <row r="4362" spans="22:22" ht="15" x14ac:dyDescent="0.25">
      <c r="V4362"/>
    </row>
    <row r="4363" spans="22:22" ht="15" x14ac:dyDescent="0.25">
      <c r="V4363"/>
    </row>
    <row r="4364" spans="22:22" ht="15" x14ac:dyDescent="0.25">
      <c r="V4364"/>
    </row>
    <row r="4365" spans="22:22" ht="15" x14ac:dyDescent="0.25">
      <c r="V4365"/>
    </row>
    <row r="4366" spans="22:22" ht="15" x14ac:dyDescent="0.25">
      <c r="V4366"/>
    </row>
    <row r="4367" spans="22:22" ht="15" x14ac:dyDescent="0.25">
      <c r="V4367"/>
    </row>
    <row r="4368" spans="22:22" ht="15" x14ac:dyDescent="0.25">
      <c r="V4368"/>
    </row>
    <row r="4369" spans="22:22" ht="15" x14ac:dyDescent="0.25">
      <c r="V4369"/>
    </row>
    <row r="4370" spans="22:22" ht="15" x14ac:dyDescent="0.25">
      <c r="V4370"/>
    </row>
    <row r="4371" spans="22:22" ht="15" x14ac:dyDescent="0.25">
      <c r="V4371"/>
    </row>
    <row r="4372" spans="22:22" ht="15" x14ac:dyDescent="0.25">
      <c r="V4372"/>
    </row>
    <row r="4373" spans="22:22" ht="15" x14ac:dyDescent="0.25">
      <c r="V4373"/>
    </row>
    <row r="4374" spans="22:22" ht="15" x14ac:dyDescent="0.25">
      <c r="V4374"/>
    </row>
    <row r="4375" spans="22:22" ht="15" x14ac:dyDescent="0.25">
      <c r="V4375"/>
    </row>
    <row r="4376" spans="22:22" ht="15" x14ac:dyDescent="0.25">
      <c r="V4376"/>
    </row>
    <row r="4377" spans="22:22" ht="15" x14ac:dyDescent="0.25">
      <c r="V4377"/>
    </row>
    <row r="4378" spans="22:22" ht="15" x14ac:dyDescent="0.25">
      <c r="V4378"/>
    </row>
    <row r="4379" spans="22:22" ht="15" x14ac:dyDescent="0.25">
      <c r="V4379"/>
    </row>
    <row r="4380" spans="22:22" ht="15" x14ac:dyDescent="0.25">
      <c r="V4380"/>
    </row>
    <row r="4381" spans="22:22" ht="15" x14ac:dyDescent="0.25">
      <c r="V4381"/>
    </row>
    <row r="4382" spans="22:22" ht="15" x14ac:dyDescent="0.25">
      <c r="V4382"/>
    </row>
    <row r="4383" spans="22:22" ht="15" x14ac:dyDescent="0.25">
      <c r="V4383"/>
    </row>
    <row r="4384" spans="22:22" ht="15" x14ac:dyDescent="0.25">
      <c r="V4384"/>
    </row>
    <row r="4385" spans="22:22" ht="15" x14ac:dyDescent="0.25">
      <c r="V4385"/>
    </row>
    <row r="4386" spans="22:22" ht="15" x14ac:dyDescent="0.25">
      <c r="V4386"/>
    </row>
    <row r="4387" spans="22:22" ht="15" x14ac:dyDescent="0.25">
      <c r="V4387"/>
    </row>
    <row r="4388" spans="22:22" ht="15" x14ac:dyDescent="0.25">
      <c r="V4388"/>
    </row>
    <row r="4389" spans="22:22" ht="15" x14ac:dyDescent="0.25">
      <c r="V4389"/>
    </row>
    <row r="4390" spans="22:22" ht="15" x14ac:dyDescent="0.25">
      <c r="V4390"/>
    </row>
    <row r="4391" spans="22:22" ht="15" x14ac:dyDescent="0.25">
      <c r="V4391"/>
    </row>
    <row r="4392" spans="22:22" ht="15" x14ac:dyDescent="0.25">
      <c r="V4392"/>
    </row>
    <row r="4393" spans="22:22" ht="15" x14ac:dyDescent="0.25">
      <c r="V4393"/>
    </row>
    <row r="4394" spans="22:22" ht="15" x14ac:dyDescent="0.25">
      <c r="V4394"/>
    </row>
    <row r="4395" spans="22:22" ht="15" x14ac:dyDescent="0.25">
      <c r="V4395"/>
    </row>
    <row r="4396" spans="22:22" ht="15" x14ac:dyDescent="0.25">
      <c r="V4396"/>
    </row>
    <row r="4397" spans="22:22" ht="15" x14ac:dyDescent="0.25">
      <c r="V4397"/>
    </row>
    <row r="4398" spans="22:22" ht="15" x14ac:dyDescent="0.25">
      <c r="V4398"/>
    </row>
    <row r="4399" spans="22:22" ht="15" x14ac:dyDescent="0.25">
      <c r="V4399"/>
    </row>
    <row r="4400" spans="22:22" ht="15" x14ac:dyDescent="0.25">
      <c r="V4400"/>
    </row>
    <row r="4401" spans="22:22" ht="15" x14ac:dyDescent="0.25">
      <c r="V4401"/>
    </row>
    <row r="4402" spans="22:22" ht="15" x14ac:dyDescent="0.25">
      <c r="V4402"/>
    </row>
    <row r="4403" spans="22:22" ht="15" x14ac:dyDescent="0.25">
      <c r="V4403"/>
    </row>
    <row r="4404" spans="22:22" ht="15" x14ac:dyDescent="0.25">
      <c r="V4404"/>
    </row>
    <row r="4405" spans="22:22" ht="15" x14ac:dyDescent="0.25">
      <c r="V4405"/>
    </row>
    <row r="4406" spans="22:22" ht="15" x14ac:dyDescent="0.25">
      <c r="V4406"/>
    </row>
    <row r="4407" spans="22:22" ht="15" x14ac:dyDescent="0.25">
      <c r="V4407"/>
    </row>
    <row r="4408" spans="22:22" ht="15" x14ac:dyDescent="0.25">
      <c r="V4408"/>
    </row>
    <row r="4409" spans="22:22" ht="15" x14ac:dyDescent="0.25">
      <c r="V4409"/>
    </row>
    <row r="4410" spans="22:22" ht="15" x14ac:dyDescent="0.25">
      <c r="V4410"/>
    </row>
    <row r="4411" spans="22:22" ht="15" x14ac:dyDescent="0.25">
      <c r="V4411"/>
    </row>
    <row r="4412" spans="22:22" ht="15" x14ac:dyDescent="0.25">
      <c r="V4412"/>
    </row>
    <row r="4413" spans="22:22" ht="15" x14ac:dyDescent="0.25">
      <c r="V4413"/>
    </row>
    <row r="4414" spans="22:22" ht="15" x14ac:dyDescent="0.25">
      <c r="V4414"/>
    </row>
    <row r="4415" spans="22:22" ht="15" x14ac:dyDescent="0.25">
      <c r="V4415"/>
    </row>
    <row r="4416" spans="22:22" ht="15" x14ac:dyDescent="0.25">
      <c r="V4416"/>
    </row>
    <row r="4417" spans="22:22" ht="15" x14ac:dyDescent="0.25">
      <c r="V4417"/>
    </row>
    <row r="4418" spans="22:22" ht="15" x14ac:dyDescent="0.25">
      <c r="V4418"/>
    </row>
    <row r="4419" spans="22:22" ht="15" x14ac:dyDescent="0.25">
      <c r="V4419"/>
    </row>
    <row r="4420" spans="22:22" ht="15" x14ac:dyDescent="0.25">
      <c r="V4420"/>
    </row>
    <row r="4421" spans="22:22" ht="15" x14ac:dyDescent="0.25">
      <c r="V4421"/>
    </row>
    <row r="4422" spans="22:22" ht="15" x14ac:dyDescent="0.25">
      <c r="V4422"/>
    </row>
    <row r="4423" spans="22:22" ht="15" x14ac:dyDescent="0.25">
      <c r="V4423"/>
    </row>
    <row r="4424" spans="22:22" ht="15" x14ac:dyDescent="0.25">
      <c r="V4424"/>
    </row>
    <row r="4425" spans="22:22" ht="15" x14ac:dyDescent="0.25">
      <c r="V4425"/>
    </row>
    <row r="4426" spans="22:22" ht="15" x14ac:dyDescent="0.25">
      <c r="V4426"/>
    </row>
    <row r="4427" spans="22:22" ht="15" x14ac:dyDescent="0.25">
      <c r="V4427"/>
    </row>
    <row r="4428" spans="22:22" ht="15" x14ac:dyDescent="0.25">
      <c r="V4428"/>
    </row>
    <row r="4429" spans="22:22" ht="15" x14ac:dyDescent="0.25">
      <c r="V4429"/>
    </row>
    <row r="4430" spans="22:22" ht="15" x14ac:dyDescent="0.25">
      <c r="V4430"/>
    </row>
    <row r="4431" spans="22:22" ht="15" x14ac:dyDescent="0.25">
      <c r="V4431"/>
    </row>
    <row r="4432" spans="22:22" ht="15" x14ac:dyDescent="0.25">
      <c r="V4432"/>
    </row>
    <row r="4433" spans="22:22" ht="15" x14ac:dyDescent="0.25">
      <c r="V4433"/>
    </row>
    <row r="4434" spans="22:22" ht="15" x14ac:dyDescent="0.25">
      <c r="V4434"/>
    </row>
    <row r="4435" spans="22:22" ht="15" x14ac:dyDescent="0.25">
      <c r="V4435"/>
    </row>
    <row r="4436" spans="22:22" ht="15" x14ac:dyDescent="0.25">
      <c r="V4436"/>
    </row>
    <row r="4437" spans="22:22" ht="15" x14ac:dyDescent="0.25">
      <c r="V4437"/>
    </row>
    <row r="4438" spans="22:22" ht="15" x14ac:dyDescent="0.25">
      <c r="V4438"/>
    </row>
    <row r="4439" spans="22:22" ht="15" x14ac:dyDescent="0.25">
      <c r="V4439"/>
    </row>
    <row r="4440" spans="22:22" ht="15" x14ac:dyDescent="0.25">
      <c r="V4440"/>
    </row>
    <row r="4441" spans="22:22" ht="15" x14ac:dyDescent="0.25">
      <c r="V4441"/>
    </row>
    <row r="4442" spans="22:22" ht="15" x14ac:dyDescent="0.25">
      <c r="V4442"/>
    </row>
    <row r="4443" spans="22:22" ht="15" x14ac:dyDescent="0.25">
      <c r="V4443"/>
    </row>
    <row r="4444" spans="22:22" ht="15" x14ac:dyDescent="0.25">
      <c r="V4444"/>
    </row>
    <row r="4445" spans="22:22" ht="15" x14ac:dyDescent="0.25">
      <c r="V4445"/>
    </row>
    <row r="4446" spans="22:22" ht="15" x14ac:dyDescent="0.25">
      <c r="V4446"/>
    </row>
    <row r="4447" spans="22:22" ht="15" x14ac:dyDescent="0.25">
      <c r="V4447"/>
    </row>
    <row r="4448" spans="22:22" ht="15" x14ac:dyDescent="0.25">
      <c r="V4448"/>
    </row>
    <row r="4449" spans="22:22" ht="15" x14ac:dyDescent="0.25">
      <c r="V4449"/>
    </row>
    <row r="4450" spans="22:22" ht="15" x14ac:dyDescent="0.25">
      <c r="V4450"/>
    </row>
    <row r="4451" spans="22:22" ht="15" x14ac:dyDescent="0.25">
      <c r="V4451"/>
    </row>
    <row r="4452" spans="22:22" ht="15" x14ac:dyDescent="0.25">
      <c r="V4452"/>
    </row>
    <row r="4453" spans="22:22" ht="15" x14ac:dyDescent="0.25">
      <c r="V4453"/>
    </row>
    <row r="4454" spans="22:22" ht="15" x14ac:dyDescent="0.25">
      <c r="V4454"/>
    </row>
    <row r="4455" spans="22:22" ht="15" x14ac:dyDescent="0.25">
      <c r="V4455"/>
    </row>
    <row r="4456" spans="22:22" ht="15" x14ac:dyDescent="0.25">
      <c r="V4456"/>
    </row>
    <row r="4457" spans="22:22" ht="15" x14ac:dyDescent="0.25">
      <c r="V4457"/>
    </row>
    <row r="4458" spans="22:22" ht="15" x14ac:dyDescent="0.25">
      <c r="V4458"/>
    </row>
    <row r="4459" spans="22:22" ht="15" x14ac:dyDescent="0.25">
      <c r="V4459"/>
    </row>
    <row r="4460" spans="22:22" ht="15" x14ac:dyDescent="0.25">
      <c r="V4460"/>
    </row>
    <row r="4461" spans="22:22" ht="15" x14ac:dyDescent="0.25">
      <c r="V4461"/>
    </row>
    <row r="4462" spans="22:22" ht="15" x14ac:dyDescent="0.25">
      <c r="V4462"/>
    </row>
    <row r="4463" spans="22:22" ht="15" x14ac:dyDescent="0.25">
      <c r="V4463"/>
    </row>
    <row r="4464" spans="22:22" ht="15" x14ac:dyDescent="0.25">
      <c r="V4464"/>
    </row>
    <row r="4465" spans="22:22" ht="15" x14ac:dyDescent="0.25">
      <c r="V4465"/>
    </row>
    <row r="4466" spans="22:22" ht="15" x14ac:dyDescent="0.25">
      <c r="V4466"/>
    </row>
    <row r="4467" spans="22:22" ht="15" x14ac:dyDescent="0.25">
      <c r="V4467"/>
    </row>
    <row r="4468" spans="22:22" ht="15" x14ac:dyDescent="0.25">
      <c r="V4468"/>
    </row>
    <row r="4469" spans="22:22" ht="15" x14ac:dyDescent="0.25">
      <c r="V4469"/>
    </row>
    <row r="4470" spans="22:22" ht="15" x14ac:dyDescent="0.25">
      <c r="V4470"/>
    </row>
    <row r="4471" spans="22:22" ht="15" x14ac:dyDescent="0.25">
      <c r="V4471"/>
    </row>
    <row r="4472" spans="22:22" ht="15" x14ac:dyDescent="0.25">
      <c r="V4472"/>
    </row>
    <row r="4473" spans="22:22" ht="15" x14ac:dyDescent="0.25">
      <c r="V4473"/>
    </row>
    <row r="4474" spans="22:22" ht="15" x14ac:dyDescent="0.25">
      <c r="V4474"/>
    </row>
    <row r="4475" spans="22:22" ht="15" x14ac:dyDescent="0.25">
      <c r="V4475"/>
    </row>
    <row r="4476" spans="22:22" ht="15" x14ac:dyDescent="0.25">
      <c r="V4476"/>
    </row>
    <row r="4477" spans="22:22" ht="15" x14ac:dyDescent="0.25">
      <c r="V4477"/>
    </row>
    <row r="4478" spans="22:22" ht="15" x14ac:dyDescent="0.25">
      <c r="V4478"/>
    </row>
    <row r="4479" spans="22:22" ht="15" x14ac:dyDescent="0.25">
      <c r="V4479"/>
    </row>
    <row r="4480" spans="22:22" ht="15" x14ac:dyDescent="0.25">
      <c r="V4480"/>
    </row>
    <row r="4481" spans="22:22" ht="15" x14ac:dyDescent="0.25">
      <c r="V4481"/>
    </row>
    <row r="4482" spans="22:22" ht="15" x14ac:dyDescent="0.25">
      <c r="V4482"/>
    </row>
    <row r="4483" spans="22:22" ht="15" x14ac:dyDescent="0.25">
      <c r="V4483"/>
    </row>
    <row r="4484" spans="22:22" ht="15" x14ac:dyDescent="0.25">
      <c r="V4484"/>
    </row>
    <row r="4485" spans="22:22" ht="15" x14ac:dyDescent="0.25">
      <c r="V4485"/>
    </row>
    <row r="4486" spans="22:22" ht="15" x14ac:dyDescent="0.25">
      <c r="V4486"/>
    </row>
    <row r="4487" spans="22:22" ht="15" x14ac:dyDescent="0.25">
      <c r="V4487"/>
    </row>
    <row r="4488" spans="22:22" ht="15" x14ac:dyDescent="0.25">
      <c r="V4488"/>
    </row>
    <row r="4489" spans="22:22" ht="15" x14ac:dyDescent="0.25">
      <c r="V4489"/>
    </row>
    <row r="4490" spans="22:22" ht="15" x14ac:dyDescent="0.25">
      <c r="V4490"/>
    </row>
    <row r="4491" spans="22:22" ht="15" x14ac:dyDescent="0.25">
      <c r="V4491"/>
    </row>
    <row r="4492" spans="22:22" ht="15" x14ac:dyDescent="0.25">
      <c r="V4492"/>
    </row>
    <row r="4493" spans="22:22" ht="15" x14ac:dyDescent="0.25">
      <c r="V4493"/>
    </row>
    <row r="4494" spans="22:22" ht="15" x14ac:dyDescent="0.25">
      <c r="V4494"/>
    </row>
    <row r="4495" spans="22:22" ht="15" x14ac:dyDescent="0.25">
      <c r="V4495"/>
    </row>
    <row r="4496" spans="22:22" ht="15" x14ac:dyDescent="0.25">
      <c r="V4496"/>
    </row>
    <row r="4497" spans="22:22" ht="15" x14ac:dyDescent="0.25">
      <c r="V4497"/>
    </row>
    <row r="4498" spans="22:22" ht="15" x14ac:dyDescent="0.25">
      <c r="V4498"/>
    </row>
    <row r="4499" spans="22:22" ht="15" x14ac:dyDescent="0.25">
      <c r="V4499"/>
    </row>
    <row r="4500" spans="22:22" ht="15" x14ac:dyDescent="0.25">
      <c r="V4500"/>
    </row>
    <row r="4501" spans="22:22" ht="15" x14ac:dyDescent="0.25">
      <c r="V4501"/>
    </row>
    <row r="4502" spans="22:22" ht="15" x14ac:dyDescent="0.25">
      <c r="V4502"/>
    </row>
    <row r="4503" spans="22:22" ht="15" x14ac:dyDescent="0.25">
      <c r="V4503"/>
    </row>
    <row r="4504" spans="22:22" ht="15" x14ac:dyDescent="0.25">
      <c r="V4504"/>
    </row>
    <row r="4505" spans="22:22" ht="15" x14ac:dyDescent="0.25">
      <c r="V4505"/>
    </row>
    <row r="4506" spans="22:22" ht="15" x14ac:dyDescent="0.25">
      <c r="V4506"/>
    </row>
    <row r="4507" spans="22:22" ht="15" x14ac:dyDescent="0.25">
      <c r="V4507"/>
    </row>
    <row r="4508" spans="22:22" ht="15" x14ac:dyDescent="0.25">
      <c r="V4508"/>
    </row>
    <row r="4509" spans="22:22" ht="15" x14ac:dyDescent="0.25">
      <c r="V4509"/>
    </row>
    <row r="4510" spans="22:22" ht="15" x14ac:dyDescent="0.25">
      <c r="V4510"/>
    </row>
    <row r="4511" spans="22:22" ht="15" x14ac:dyDescent="0.25">
      <c r="V4511"/>
    </row>
    <row r="4512" spans="22:22" ht="15" x14ac:dyDescent="0.25">
      <c r="V4512"/>
    </row>
    <row r="4513" spans="22:22" ht="15" x14ac:dyDescent="0.25">
      <c r="V4513"/>
    </row>
    <row r="4514" spans="22:22" ht="15" x14ac:dyDescent="0.25">
      <c r="V4514"/>
    </row>
    <row r="4515" spans="22:22" ht="15" x14ac:dyDescent="0.25">
      <c r="V4515"/>
    </row>
    <row r="4516" spans="22:22" ht="15" x14ac:dyDescent="0.25">
      <c r="V4516"/>
    </row>
    <row r="4517" spans="22:22" ht="15" x14ac:dyDescent="0.25">
      <c r="V4517"/>
    </row>
    <row r="4518" spans="22:22" ht="15" x14ac:dyDescent="0.25">
      <c r="V4518"/>
    </row>
    <row r="4519" spans="22:22" ht="15" x14ac:dyDescent="0.25">
      <c r="V4519"/>
    </row>
    <row r="4520" spans="22:22" ht="15" x14ac:dyDescent="0.25">
      <c r="V4520"/>
    </row>
    <row r="4521" spans="22:22" ht="15" x14ac:dyDescent="0.25">
      <c r="V4521"/>
    </row>
    <row r="4522" spans="22:22" ht="15" x14ac:dyDescent="0.25">
      <c r="V4522"/>
    </row>
    <row r="4523" spans="22:22" ht="15" x14ac:dyDescent="0.25">
      <c r="V4523"/>
    </row>
    <row r="4524" spans="22:22" ht="15" x14ac:dyDescent="0.25">
      <c r="V4524"/>
    </row>
    <row r="4525" spans="22:22" ht="15" x14ac:dyDescent="0.25">
      <c r="V4525"/>
    </row>
    <row r="4526" spans="22:22" ht="15" x14ac:dyDescent="0.25">
      <c r="V4526"/>
    </row>
    <row r="4527" spans="22:22" ht="15" x14ac:dyDescent="0.25">
      <c r="V4527"/>
    </row>
    <row r="4528" spans="22:22" ht="15" x14ac:dyDescent="0.25">
      <c r="V4528"/>
    </row>
    <row r="4529" spans="22:22" ht="15" x14ac:dyDescent="0.25">
      <c r="V4529"/>
    </row>
    <row r="4530" spans="22:22" ht="15" x14ac:dyDescent="0.25">
      <c r="V4530"/>
    </row>
    <row r="4531" spans="22:22" ht="15" x14ac:dyDescent="0.25">
      <c r="V4531"/>
    </row>
    <row r="4532" spans="22:22" ht="15" x14ac:dyDescent="0.25">
      <c r="V4532"/>
    </row>
    <row r="4533" spans="22:22" ht="15" x14ac:dyDescent="0.25">
      <c r="V4533"/>
    </row>
    <row r="4534" spans="22:22" ht="15" x14ac:dyDescent="0.25">
      <c r="V4534"/>
    </row>
    <row r="4535" spans="22:22" ht="15" x14ac:dyDescent="0.25">
      <c r="V4535"/>
    </row>
    <row r="4536" spans="22:22" ht="15" x14ac:dyDescent="0.25">
      <c r="V4536"/>
    </row>
    <row r="4537" spans="22:22" ht="15" x14ac:dyDescent="0.25">
      <c r="V4537"/>
    </row>
    <row r="4538" spans="22:22" ht="15" x14ac:dyDescent="0.25">
      <c r="V4538"/>
    </row>
    <row r="4539" spans="22:22" ht="15" x14ac:dyDescent="0.25">
      <c r="V4539"/>
    </row>
    <row r="4540" spans="22:22" ht="15" x14ac:dyDescent="0.25">
      <c r="V4540"/>
    </row>
    <row r="4541" spans="22:22" ht="15" x14ac:dyDescent="0.25">
      <c r="V4541"/>
    </row>
    <row r="4542" spans="22:22" ht="15" x14ac:dyDescent="0.25">
      <c r="V4542"/>
    </row>
    <row r="4543" spans="22:22" ht="15" x14ac:dyDescent="0.25">
      <c r="V4543"/>
    </row>
    <row r="4544" spans="22:22" ht="15" x14ac:dyDescent="0.25">
      <c r="V4544"/>
    </row>
    <row r="4545" spans="22:22" ht="15" x14ac:dyDescent="0.25">
      <c r="V4545"/>
    </row>
    <row r="4546" spans="22:22" ht="15" x14ac:dyDescent="0.25">
      <c r="V4546"/>
    </row>
    <row r="4547" spans="22:22" ht="15" x14ac:dyDescent="0.25">
      <c r="V4547"/>
    </row>
    <row r="4548" spans="22:22" ht="15" x14ac:dyDescent="0.25">
      <c r="V4548"/>
    </row>
    <row r="4549" spans="22:22" ht="15" x14ac:dyDescent="0.25">
      <c r="V4549"/>
    </row>
    <row r="4550" spans="22:22" ht="15" x14ac:dyDescent="0.25">
      <c r="V4550"/>
    </row>
    <row r="4551" spans="22:22" ht="15" x14ac:dyDescent="0.25">
      <c r="V4551"/>
    </row>
    <row r="4552" spans="22:22" ht="15" x14ac:dyDescent="0.25">
      <c r="V4552"/>
    </row>
    <row r="4553" spans="22:22" ht="15" x14ac:dyDescent="0.25">
      <c r="V4553"/>
    </row>
    <row r="4554" spans="22:22" ht="15" x14ac:dyDescent="0.25">
      <c r="V4554"/>
    </row>
    <row r="4555" spans="22:22" ht="15" x14ac:dyDescent="0.25">
      <c r="V4555"/>
    </row>
    <row r="4556" spans="22:22" ht="15" x14ac:dyDescent="0.25">
      <c r="V4556"/>
    </row>
    <row r="4557" spans="22:22" ht="15" x14ac:dyDescent="0.25">
      <c r="V4557"/>
    </row>
    <row r="4558" spans="22:22" ht="15" x14ac:dyDescent="0.25">
      <c r="V4558"/>
    </row>
    <row r="4559" spans="22:22" ht="15" x14ac:dyDescent="0.25">
      <c r="V4559"/>
    </row>
    <row r="4560" spans="22:22" ht="15" x14ac:dyDescent="0.25">
      <c r="V4560"/>
    </row>
    <row r="4561" spans="22:22" ht="15" x14ac:dyDescent="0.25">
      <c r="V4561"/>
    </row>
    <row r="4562" spans="22:22" ht="15" x14ac:dyDescent="0.25">
      <c r="V4562"/>
    </row>
    <row r="4563" spans="22:22" ht="15" x14ac:dyDescent="0.25">
      <c r="V4563"/>
    </row>
    <row r="4564" spans="22:22" ht="15" x14ac:dyDescent="0.25">
      <c r="V4564"/>
    </row>
    <row r="4565" spans="22:22" ht="15" x14ac:dyDescent="0.25">
      <c r="V4565"/>
    </row>
    <row r="4566" spans="22:22" ht="15" x14ac:dyDescent="0.25">
      <c r="V4566"/>
    </row>
    <row r="4567" spans="22:22" ht="15" x14ac:dyDescent="0.25">
      <c r="V4567"/>
    </row>
    <row r="4568" spans="22:22" ht="15" x14ac:dyDescent="0.25">
      <c r="V4568"/>
    </row>
    <row r="4569" spans="22:22" ht="15" x14ac:dyDescent="0.25">
      <c r="V4569"/>
    </row>
    <row r="4570" spans="22:22" ht="15" x14ac:dyDescent="0.25">
      <c r="V4570"/>
    </row>
    <row r="4571" spans="22:22" ht="15" x14ac:dyDescent="0.25">
      <c r="V4571"/>
    </row>
    <row r="4572" spans="22:22" ht="15" x14ac:dyDescent="0.25">
      <c r="V4572"/>
    </row>
    <row r="4573" spans="22:22" ht="15" x14ac:dyDescent="0.25">
      <c r="V4573"/>
    </row>
    <row r="4574" spans="22:22" ht="15" x14ac:dyDescent="0.25">
      <c r="V4574"/>
    </row>
    <row r="4575" spans="22:22" ht="15" x14ac:dyDescent="0.25">
      <c r="V4575"/>
    </row>
    <row r="4576" spans="22:22" ht="15" x14ac:dyDescent="0.25">
      <c r="V4576"/>
    </row>
    <row r="4577" spans="22:22" ht="15" x14ac:dyDescent="0.25">
      <c r="V4577"/>
    </row>
    <row r="4578" spans="22:22" ht="15" x14ac:dyDescent="0.25">
      <c r="V4578"/>
    </row>
    <row r="4579" spans="22:22" ht="15" x14ac:dyDescent="0.25">
      <c r="V4579"/>
    </row>
    <row r="4580" spans="22:22" ht="15" x14ac:dyDescent="0.25">
      <c r="V4580"/>
    </row>
    <row r="4581" spans="22:22" ht="15" x14ac:dyDescent="0.25">
      <c r="V4581"/>
    </row>
    <row r="4582" spans="22:22" ht="15" x14ac:dyDescent="0.25">
      <c r="V4582"/>
    </row>
    <row r="4583" spans="22:22" ht="15" x14ac:dyDescent="0.25">
      <c r="V4583"/>
    </row>
    <row r="4584" spans="22:22" ht="15" x14ac:dyDescent="0.25">
      <c r="V4584"/>
    </row>
    <row r="4585" spans="22:22" ht="15" x14ac:dyDescent="0.25">
      <c r="V4585"/>
    </row>
    <row r="4586" spans="22:22" ht="15" x14ac:dyDescent="0.25">
      <c r="V4586"/>
    </row>
    <row r="4587" spans="22:22" ht="15" x14ac:dyDescent="0.25">
      <c r="V4587"/>
    </row>
    <row r="4588" spans="22:22" ht="15" x14ac:dyDescent="0.25">
      <c r="V4588"/>
    </row>
    <row r="4589" spans="22:22" ht="15" x14ac:dyDescent="0.25">
      <c r="V4589"/>
    </row>
    <row r="4590" spans="22:22" ht="15" x14ac:dyDescent="0.25">
      <c r="V4590"/>
    </row>
    <row r="4591" spans="22:22" ht="15" x14ac:dyDescent="0.25">
      <c r="V4591"/>
    </row>
    <row r="4592" spans="22:22" ht="15" x14ac:dyDescent="0.25">
      <c r="V4592"/>
    </row>
    <row r="4593" spans="22:22" ht="15" x14ac:dyDescent="0.25">
      <c r="V4593"/>
    </row>
    <row r="4594" spans="22:22" ht="15" x14ac:dyDescent="0.25">
      <c r="V4594"/>
    </row>
    <row r="4595" spans="22:22" ht="15" x14ac:dyDescent="0.25">
      <c r="V4595"/>
    </row>
    <row r="4596" spans="22:22" ht="15" x14ac:dyDescent="0.25">
      <c r="V4596"/>
    </row>
    <row r="4597" spans="22:22" ht="15" x14ac:dyDescent="0.25">
      <c r="V4597"/>
    </row>
    <row r="4598" spans="22:22" ht="15" x14ac:dyDescent="0.25">
      <c r="V4598"/>
    </row>
    <row r="4599" spans="22:22" ht="15" x14ac:dyDescent="0.25">
      <c r="V4599"/>
    </row>
    <row r="4600" spans="22:22" ht="15" x14ac:dyDescent="0.25">
      <c r="V4600"/>
    </row>
    <row r="4601" spans="22:22" ht="15" x14ac:dyDescent="0.25">
      <c r="V4601"/>
    </row>
    <row r="4602" spans="22:22" ht="15" x14ac:dyDescent="0.25">
      <c r="V4602"/>
    </row>
    <row r="4603" spans="22:22" ht="15" x14ac:dyDescent="0.25">
      <c r="V4603"/>
    </row>
    <row r="4604" spans="22:22" ht="15" x14ac:dyDescent="0.25">
      <c r="V4604"/>
    </row>
    <row r="4605" spans="22:22" ht="15" x14ac:dyDescent="0.25">
      <c r="V4605"/>
    </row>
    <row r="4606" spans="22:22" ht="15" x14ac:dyDescent="0.25">
      <c r="V4606"/>
    </row>
    <row r="4607" spans="22:22" ht="15" x14ac:dyDescent="0.25">
      <c r="V4607"/>
    </row>
    <row r="4608" spans="22:22" ht="15" x14ac:dyDescent="0.25">
      <c r="V4608"/>
    </row>
    <row r="4609" spans="22:22" ht="15" x14ac:dyDescent="0.25">
      <c r="V4609"/>
    </row>
    <row r="4610" spans="22:22" ht="15" x14ac:dyDescent="0.25">
      <c r="V4610"/>
    </row>
    <row r="4611" spans="22:22" ht="15" x14ac:dyDescent="0.25">
      <c r="V4611"/>
    </row>
    <row r="4612" spans="22:22" ht="15" x14ac:dyDescent="0.25">
      <c r="V4612"/>
    </row>
    <row r="4613" spans="22:22" ht="15" x14ac:dyDescent="0.25">
      <c r="V4613"/>
    </row>
    <row r="4614" spans="22:22" ht="15" x14ac:dyDescent="0.25">
      <c r="V4614"/>
    </row>
    <row r="4615" spans="22:22" ht="15" x14ac:dyDescent="0.25">
      <c r="V4615"/>
    </row>
    <row r="4616" spans="22:22" ht="15" x14ac:dyDescent="0.25">
      <c r="V4616"/>
    </row>
    <row r="4617" spans="22:22" ht="15" x14ac:dyDescent="0.25">
      <c r="V4617"/>
    </row>
    <row r="4618" spans="22:22" ht="15" x14ac:dyDescent="0.25">
      <c r="V4618"/>
    </row>
    <row r="4619" spans="22:22" ht="15" x14ac:dyDescent="0.25">
      <c r="V4619"/>
    </row>
    <row r="4620" spans="22:22" ht="15" x14ac:dyDescent="0.25">
      <c r="V4620"/>
    </row>
    <row r="4621" spans="22:22" ht="15" x14ac:dyDescent="0.25">
      <c r="V4621"/>
    </row>
    <row r="4622" spans="22:22" ht="15" x14ac:dyDescent="0.25">
      <c r="V4622"/>
    </row>
    <row r="4623" spans="22:22" ht="15" x14ac:dyDescent="0.25">
      <c r="V4623"/>
    </row>
    <row r="4624" spans="22:22" ht="15" x14ac:dyDescent="0.25">
      <c r="V4624"/>
    </row>
    <row r="4625" spans="22:22" ht="15" x14ac:dyDescent="0.25">
      <c r="V4625"/>
    </row>
    <row r="4626" spans="22:22" ht="15" x14ac:dyDescent="0.25">
      <c r="V4626"/>
    </row>
    <row r="4627" spans="22:22" ht="15" x14ac:dyDescent="0.25">
      <c r="V4627"/>
    </row>
    <row r="4628" spans="22:22" ht="15" x14ac:dyDescent="0.25">
      <c r="V4628"/>
    </row>
    <row r="4629" spans="22:22" ht="15" x14ac:dyDescent="0.25">
      <c r="V4629"/>
    </row>
    <row r="4630" spans="22:22" ht="15" x14ac:dyDescent="0.25">
      <c r="V4630"/>
    </row>
    <row r="4631" spans="22:22" ht="15" x14ac:dyDescent="0.25">
      <c r="V4631"/>
    </row>
    <row r="4632" spans="22:22" ht="15" x14ac:dyDescent="0.25">
      <c r="V4632"/>
    </row>
    <row r="4633" spans="22:22" ht="15" x14ac:dyDescent="0.25">
      <c r="V4633"/>
    </row>
    <row r="4634" spans="22:22" ht="15" x14ac:dyDescent="0.25">
      <c r="V4634"/>
    </row>
    <row r="4635" spans="22:22" ht="15" x14ac:dyDescent="0.25">
      <c r="V4635"/>
    </row>
    <row r="4636" spans="22:22" ht="15" x14ac:dyDescent="0.25">
      <c r="V4636"/>
    </row>
    <row r="4637" spans="22:22" ht="15" x14ac:dyDescent="0.25">
      <c r="V4637"/>
    </row>
    <row r="4638" spans="22:22" ht="15" x14ac:dyDescent="0.25">
      <c r="V4638"/>
    </row>
    <row r="4639" spans="22:22" ht="15" x14ac:dyDescent="0.25">
      <c r="V4639"/>
    </row>
    <row r="4640" spans="22:22" ht="15" x14ac:dyDescent="0.25">
      <c r="V4640"/>
    </row>
    <row r="4641" spans="22:22" ht="15" x14ac:dyDescent="0.25">
      <c r="V4641"/>
    </row>
    <row r="4642" spans="22:22" ht="15" x14ac:dyDescent="0.25">
      <c r="V4642"/>
    </row>
    <row r="4643" spans="22:22" ht="15" x14ac:dyDescent="0.25">
      <c r="V4643"/>
    </row>
    <row r="4644" spans="22:22" ht="15" x14ac:dyDescent="0.25">
      <c r="V4644"/>
    </row>
    <row r="4645" spans="22:22" ht="15" x14ac:dyDescent="0.25">
      <c r="V4645"/>
    </row>
    <row r="4646" spans="22:22" ht="15" x14ac:dyDescent="0.25">
      <c r="V4646"/>
    </row>
    <row r="4647" spans="22:22" ht="15" x14ac:dyDescent="0.25">
      <c r="V4647"/>
    </row>
    <row r="4648" spans="22:22" ht="15" x14ac:dyDescent="0.25">
      <c r="V4648"/>
    </row>
    <row r="4649" spans="22:22" ht="15" x14ac:dyDescent="0.25">
      <c r="V4649"/>
    </row>
    <row r="4650" spans="22:22" ht="15" x14ac:dyDescent="0.25">
      <c r="V4650"/>
    </row>
    <row r="4651" spans="22:22" ht="15" x14ac:dyDescent="0.25">
      <c r="V4651"/>
    </row>
    <row r="4652" spans="22:22" ht="15" x14ac:dyDescent="0.25">
      <c r="V4652"/>
    </row>
    <row r="4653" spans="22:22" ht="15" x14ac:dyDescent="0.25">
      <c r="V4653"/>
    </row>
    <row r="4654" spans="22:22" ht="15" x14ac:dyDescent="0.25">
      <c r="V4654"/>
    </row>
    <row r="4655" spans="22:22" ht="15" x14ac:dyDescent="0.25">
      <c r="V4655"/>
    </row>
    <row r="4656" spans="22:22" ht="15" x14ac:dyDescent="0.25">
      <c r="V4656"/>
    </row>
    <row r="4657" spans="22:22" ht="15" x14ac:dyDescent="0.25">
      <c r="V4657"/>
    </row>
    <row r="4658" spans="22:22" ht="15" x14ac:dyDescent="0.25">
      <c r="V4658"/>
    </row>
    <row r="4659" spans="22:22" ht="15" x14ac:dyDescent="0.25">
      <c r="V4659"/>
    </row>
    <row r="4660" spans="22:22" ht="15" x14ac:dyDescent="0.25">
      <c r="V4660"/>
    </row>
    <row r="4661" spans="22:22" ht="15" x14ac:dyDescent="0.25">
      <c r="V4661"/>
    </row>
    <row r="4662" spans="22:22" ht="15" x14ac:dyDescent="0.25">
      <c r="V4662"/>
    </row>
    <row r="4663" spans="22:22" ht="15" x14ac:dyDescent="0.25">
      <c r="V4663"/>
    </row>
    <row r="4664" spans="22:22" ht="15" x14ac:dyDescent="0.25">
      <c r="V4664"/>
    </row>
    <row r="4665" spans="22:22" ht="15" x14ac:dyDescent="0.25">
      <c r="V4665"/>
    </row>
    <row r="4666" spans="22:22" ht="15" x14ac:dyDescent="0.25">
      <c r="V4666"/>
    </row>
    <row r="4667" spans="22:22" ht="15" x14ac:dyDescent="0.25">
      <c r="V4667"/>
    </row>
    <row r="4668" spans="22:22" ht="15" x14ac:dyDescent="0.25">
      <c r="V4668"/>
    </row>
    <row r="4669" spans="22:22" ht="15" x14ac:dyDescent="0.25">
      <c r="V4669"/>
    </row>
    <row r="4670" spans="22:22" ht="15" x14ac:dyDescent="0.25">
      <c r="V4670"/>
    </row>
    <row r="4671" spans="22:22" ht="15" x14ac:dyDescent="0.25">
      <c r="V4671"/>
    </row>
    <row r="4672" spans="22:22" ht="15" x14ac:dyDescent="0.25">
      <c r="V4672"/>
    </row>
    <row r="4673" spans="22:22" ht="15" x14ac:dyDescent="0.25">
      <c r="V4673"/>
    </row>
    <row r="4674" spans="22:22" ht="15" x14ac:dyDescent="0.25">
      <c r="V4674"/>
    </row>
    <row r="4675" spans="22:22" ht="15" x14ac:dyDescent="0.25">
      <c r="V4675"/>
    </row>
    <row r="4676" spans="22:22" ht="15" x14ac:dyDescent="0.25">
      <c r="V4676"/>
    </row>
    <row r="4677" spans="22:22" ht="15" x14ac:dyDescent="0.25">
      <c r="V4677"/>
    </row>
    <row r="4678" spans="22:22" ht="15" x14ac:dyDescent="0.25">
      <c r="V4678"/>
    </row>
    <row r="4679" spans="22:22" ht="15" x14ac:dyDescent="0.25">
      <c r="V4679"/>
    </row>
    <row r="4680" spans="22:22" ht="15" x14ac:dyDescent="0.25">
      <c r="V4680"/>
    </row>
    <row r="4681" spans="22:22" ht="15" x14ac:dyDescent="0.25">
      <c r="V4681"/>
    </row>
    <row r="4682" spans="22:22" ht="15" x14ac:dyDescent="0.25">
      <c r="V4682"/>
    </row>
    <row r="4683" spans="22:22" ht="15" x14ac:dyDescent="0.25">
      <c r="V4683"/>
    </row>
    <row r="4684" spans="22:22" ht="15" x14ac:dyDescent="0.25">
      <c r="V4684"/>
    </row>
    <row r="4685" spans="22:22" ht="15" x14ac:dyDescent="0.25">
      <c r="V4685"/>
    </row>
    <row r="4686" spans="22:22" ht="15" x14ac:dyDescent="0.25">
      <c r="V4686"/>
    </row>
    <row r="4687" spans="22:22" ht="15" x14ac:dyDescent="0.25">
      <c r="V4687"/>
    </row>
    <row r="4688" spans="22:22" ht="15" x14ac:dyDescent="0.25">
      <c r="V4688"/>
    </row>
    <row r="4689" spans="22:22" ht="15" x14ac:dyDescent="0.25">
      <c r="V4689"/>
    </row>
    <row r="4690" spans="22:22" ht="15" x14ac:dyDescent="0.25">
      <c r="V4690"/>
    </row>
    <row r="4691" spans="22:22" ht="15" x14ac:dyDescent="0.25">
      <c r="V4691"/>
    </row>
    <row r="4692" spans="22:22" ht="15" x14ac:dyDescent="0.25">
      <c r="V4692"/>
    </row>
    <row r="4693" spans="22:22" ht="15" x14ac:dyDescent="0.25">
      <c r="V4693"/>
    </row>
    <row r="4694" spans="22:22" ht="15" x14ac:dyDescent="0.25">
      <c r="V4694"/>
    </row>
    <row r="4695" spans="22:22" ht="15" x14ac:dyDescent="0.25">
      <c r="V4695"/>
    </row>
    <row r="4696" spans="22:22" ht="15" x14ac:dyDescent="0.25">
      <c r="V4696"/>
    </row>
    <row r="4697" spans="22:22" ht="15" x14ac:dyDescent="0.25">
      <c r="V4697"/>
    </row>
    <row r="4698" spans="22:22" ht="15" x14ac:dyDescent="0.25">
      <c r="V4698"/>
    </row>
    <row r="4699" spans="22:22" ht="15" x14ac:dyDescent="0.25">
      <c r="V4699"/>
    </row>
    <row r="4700" spans="22:22" ht="15" x14ac:dyDescent="0.25">
      <c r="V4700"/>
    </row>
    <row r="4701" spans="22:22" ht="15" x14ac:dyDescent="0.25">
      <c r="V4701"/>
    </row>
    <row r="4702" spans="22:22" ht="15" x14ac:dyDescent="0.25">
      <c r="V4702"/>
    </row>
    <row r="4703" spans="22:22" ht="15" x14ac:dyDescent="0.25">
      <c r="V4703"/>
    </row>
    <row r="4704" spans="22:22" ht="15" x14ac:dyDescent="0.25">
      <c r="V4704"/>
    </row>
    <row r="4705" spans="22:22" ht="15" x14ac:dyDescent="0.25">
      <c r="V4705"/>
    </row>
    <row r="4706" spans="22:22" ht="15" x14ac:dyDescent="0.25">
      <c r="V4706"/>
    </row>
    <row r="4707" spans="22:22" ht="15" x14ac:dyDescent="0.25">
      <c r="V4707"/>
    </row>
    <row r="4708" spans="22:22" ht="15" x14ac:dyDescent="0.25">
      <c r="V4708"/>
    </row>
    <row r="4709" spans="22:22" ht="15" x14ac:dyDescent="0.25">
      <c r="V4709"/>
    </row>
    <row r="4710" spans="22:22" ht="15" x14ac:dyDescent="0.25">
      <c r="V4710"/>
    </row>
    <row r="4711" spans="22:22" ht="15" x14ac:dyDescent="0.25">
      <c r="V4711"/>
    </row>
    <row r="4712" spans="22:22" ht="15" x14ac:dyDescent="0.25">
      <c r="V4712"/>
    </row>
    <row r="4713" spans="22:22" ht="15" x14ac:dyDescent="0.25">
      <c r="V4713"/>
    </row>
    <row r="4714" spans="22:22" ht="15" x14ac:dyDescent="0.25">
      <c r="V4714"/>
    </row>
    <row r="4715" spans="22:22" ht="15" x14ac:dyDescent="0.25">
      <c r="V4715"/>
    </row>
    <row r="4716" spans="22:22" ht="15" x14ac:dyDescent="0.25">
      <c r="V4716"/>
    </row>
    <row r="4717" spans="22:22" ht="15" x14ac:dyDescent="0.25">
      <c r="V4717"/>
    </row>
    <row r="4718" spans="22:22" ht="15" x14ac:dyDescent="0.25">
      <c r="V4718"/>
    </row>
    <row r="4719" spans="22:22" ht="15" x14ac:dyDescent="0.25">
      <c r="V4719"/>
    </row>
    <row r="4720" spans="22:22" ht="15" x14ac:dyDescent="0.25">
      <c r="V4720"/>
    </row>
    <row r="4721" spans="22:22" ht="15" x14ac:dyDescent="0.25">
      <c r="V4721"/>
    </row>
    <row r="4722" spans="22:22" ht="15" x14ac:dyDescent="0.25">
      <c r="V4722"/>
    </row>
    <row r="4723" spans="22:22" ht="15" x14ac:dyDescent="0.25">
      <c r="V4723"/>
    </row>
    <row r="4724" spans="22:22" ht="15" x14ac:dyDescent="0.25">
      <c r="V4724"/>
    </row>
    <row r="4725" spans="22:22" ht="15" x14ac:dyDescent="0.25">
      <c r="V4725"/>
    </row>
    <row r="4726" spans="22:22" ht="15" x14ac:dyDescent="0.25">
      <c r="V4726"/>
    </row>
    <row r="4727" spans="22:22" ht="15" x14ac:dyDescent="0.25">
      <c r="V4727"/>
    </row>
    <row r="4728" spans="22:22" ht="15" x14ac:dyDescent="0.25">
      <c r="V4728"/>
    </row>
    <row r="4729" spans="22:22" ht="15" x14ac:dyDescent="0.25">
      <c r="V4729"/>
    </row>
    <row r="4730" spans="22:22" ht="15" x14ac:dyDescent="0.25">
      <c r="V4730"/>
    </row>
    <row r="4731" spans="22:22" ht="15" x14ac:dyDescent="0.25">
      <c r="V4731"/>
    </row>
    <row r="4732" spans="22:22" ht="15" x14ac:dyDescent="0.25">
      <c r="V4732"/>
    </row>
    <row r="4733" spans="22:22" ht="15" x14ac:dyDescent="0.25">
      <c r="V4733"/>
    </row>
    <row r="4734" spans="22:22" ht="15" x14ac:dyDescent="0.25">
      <c r="V4734"/>
    </row>
    <row r="4735" spans="22:22" ht="15" x14ac:dyDescent="0.25">
      <c r="V4735"/>
    </row>
    <row r="4736" spans="22:22" ht="15" x14ac:dyDescent="0.25">
      <c r="V4736"/>
    </row>
    <row r="4737" spans="22:22" ht="15" x14ac:dyDescent="0.25">
      <c r="V4737"/>
    </row>
    <row r="4738" spans="22:22" ht="15" x14ac:dyDescent="0.25">
      <c r="V4738"/>
    </row>
    <row r="4739" spans="22:22" ht="15" x14ac:dyDescent="0.25">
      <c r="V4739"/>
    </row>
    <row r="4740" spans="22:22" ht="15" x14ac:dyDescent="0.25">
      <c r="V4740"/>
    </row>
    <row r="4741" spans="22:22" ht="15" x14ac:dyDescent="0.25">
      <c r="V4741"/>
    </row>
    <row r="4742" spans="22:22" ht="15" x14ac:dyDescent="0.25">
      <c r="V4742"/>
    </row>
    <row r="4743" spans="22:22" ht="15" x14ac:dyDescent="0.25">
      <c r="V4743"/>
    </row>
    <row r="4744" spans="22:22" ht="15" x14ac:dyDescent="0.25">
      <c r="V4744"/>
    </row>
    <row r="4745" spans="22:22" ht="15" x14ac:dyDescent="0.25">
      <c r="V4745"/>
    </row>
    <row r="4746" spans="22:22" ht="15" x14ac:dyDescent="0.25">
      <c r="V4746"/>
    </row>
    <row r="4747" spans="22:22" ht="15" x14ac:dyDescent="0.25">
      <c r="V4747"/>
    </row>
    <row r="4748" spans="22:22" ht="15" x14ac:dyDescent="0.25">
      <c r="V4748"/>
    </row>
    <row r="4749" spans="22:22" ht="15" x14ac:dyDescent="0.25">
      <c r="V4749"/>
    </row>
    <row r="4750" spans="22:22" ht="15" x14ac:dyDescent="0.25">
      <c r="V4750"/>
    </row>
    <row r="4751" spans="22:22" ht="15" x14ac:dyDescent="0.25">
      <c r="V4751"/>
    </row>
    <row r="4752" spans="22:22" ht="15" x14ac:dyDescent="0.25">
      <c r="V4752"/>
    </row>
    <row r="4753" spans="22:22" ht="15" x14ac:dyDescent="0.25">
      <c r="V4753"/>
    </row>
    <row r="4754" spans="22:22" ht="15" x14ac:dyDescent="0.25">
      <c r="V4754"/>
    </row>
    <row r="4755" spans="22:22" ht="15" x14ac:dyDescent="0.25">
      <c r="V4755"/>
    </row>
    <row r="4756" spans="22:22" ht="15" x14ac:dyDescent="0.25">
      <c r="V4756"/>
    </row>
    <row r="4757" spans="22:22" ht="15" x14ac:dyDescent="0.25">
      <c r="V4757"/>
    </row>
    <row r="4758" spans="22:22" ht="15" x14ac:dyDescent="0.25">
      <c r="V4758"/>
    </row>
    <row r="4759" spans="22:22" ht="15" x14ac:dyDescent="0.25">
      <c r="V4759"/>
    </row>
    <row r="4760" spans="22:22" ht="15" x14ac:dyDescent="0.25">
      <c r="V4760"/>
    </row>
    <row r="4761" spans="22:22" ht="15" x14ac:dyDescent="0.25">
      <c r="V4761"/>
    </row>
    <row r="4762" spans="22:22" ht="15" x14ac:dyDescent="0.25">
      <c r="V4762"/>
    </row>
    <row r="4763" spans="22:22" ht="15" x14ac:dyDescent="0.25">
      <c r="V4763"/>
    </row>
    <row r="4764" spans="22:22" ht="15" x14ac:dyDescent="0.25">
      <c r="V4764"/>
    </row>
    <row r="4765" spans="22:22" ht="15" x14ac:dyDescent="0.25">
      <c r="V4765"/>
    </row>
    <row r="4766" spans="22:22" ht="15" x14ac:dyDescent="0.25">
      <c r="V4766"/>
    </row>
    <row r="4767" spans="22:22" ht="15" x14ac:dyDescent="0.25">
      <c r="V4767"/>
    </row>
    <row r="4768" spans="22:22" ht="15" x14ac:dyDescent="0.25">
      <c r="V4768"/>
    </row>
    <row r="4769" spans="22:22" ht="15" x14ac:dyDescent="0.25">
      <c r="V4769"/>
    </row>
    <row r="4770" spans="22:22" ht="15" x14ac:dyDescent="0.25">
      <c r="V4770"/>
    </row>
    <row r="4771" spans="22:22" ht="15" x14ac:dyDescent="0.25">
      <c r="V4771"/>
    </row>
    <row r="4772" spans="22:22" ht="15" x14ac:dyDescent="0.25">
      <c r="V4772"/>
    </row>
    <row r="4773" spans="22:22" ht="15" x14ac:dyDescent="0.25">
      <c r="V4773"/>
    </row>
    <row r="4774" spans="22:22" ht="15" x14ac:dyDescent="0.25">
      <c r="V4774"/>
    </row>
    <row r="4775" spans="22:22" ht="15" x14ac:dyDescent="0.25">
      <c r="V4775"/>
    </row>
    <row r="4776" spans="22:22" ht="15" x14ac:dyDescent="0.25">
      <c r="V4776"/>
    </row>
    <row r="4777" spans="22:22" ht="15" x14ac:dyDescent="0.25">
      <c r="V4777"/>
    </row>
    <row r="4778" spans="22:22" ht="15" x14ac:dyDescent="0.25">
      <c r="V4778"/>
    </row>
    <row r="4779" spans="22:22" ht="15" x14ac:dyDescent="0.25">
      <c r="V4779"/>
    </row>
    <row r="4780" spans="22:22" ht="15" x14ac:dyDescent="0.25">
      <c r="V4780"/>
    </row>
    <row r="4781" spans="22:22" ht="15" x14ac:dyDescent="0.25">
      <c r="V4781"/>
    </row>
    <row r="4782" spans="22:22" ht="15" x14ac:dyDescent="0.25">
      <c r="V4782"/>
    </row>
    <row r="4783" spans="22:22" ht="15" x14ac:dyDescent="0.25">
      <c r="V4783"/>
    </row>
    <row r="4784" spans="22:22" ht="15" x14ac:dyDescent="0.25">
      <c r="V4784"/>
    </row>
    <row r="4785" spans="22:22" ht="15" x14ac:dyDescent="0.25">
      <c r="V4785"/>
    </row>
    <row r="4786" spans="22:22" ht="15" x14ac:dyDescent="0.25">
      <c r="V4786"/>
    </row>
    <row r="4787" spans="22:22" ht="15" x14ac:dyDescent="0.25">
      <c r="V4787"/>
    </row>
    <row r="4788" spans="22:22" ht="15" x14ac:dyDescent="0.25">
      <c r="V4788"/>
    </row>
    <row r="4789" spans="22:22" ht="15" x14ac:dyDescent="0.25">
      <c r="V4789"/>
    </row>
    <row r="4790" spans="22:22" ht="15" x14ac:dyDescent="0.25">
      <c r="V4790"/>
    </row>
    <row r="4791" spans="22:22" ht="15" x14ac:dyDescent="0.25">
      <c r="V4791"/>
    </row>
    <row r="4792" spans="22:22" ht="15" x14ac:dyDescent="0.25">
      <c r="V4792"/>
    </row>
    <row r="4793" spans="22:22" ht="15" x14ac:dyDescent="0.25">
      <c r="V4793"/>
    </row>
    <row r="4794" spans="22:22" ht="15" x14ac:dyDescent="0.25">
      <c r="V4794"/>
    </row>
    <row r="4795" spans="22:22" ht="15" x14ac:dyDescent="0.25">
      <c r="V4795"/>
    </row>
    <row r="4796" spans="22:22" ht="15" x14ac:dyDescent="0.25">
      <c r="V4796"/>
    </row>
    <row r="4797" spans="22:22" ht="15" x14ac:dyDescent="0.25">
      <c r="V4797"/>
    </row>
    <row r="4798" spans="22:22" ht="15" x14ac:dyDescent="0.25">
      <c r="V4798"/>
    </row>
    <row r="4799" spans="22:22" ht="15" x14ac:dyDescent="0.25">
      <c r="V4799"/>
    </row>
    <row r="4800" spans="22:22" ht="15" x14ac:dyDescent="0.25">
      <c r="V4800"/>
    </row>
    <row r="4801" spans="22:22" ht="15" x14ac:dyDescent="0.25">
      <c r="V4801"/>
    </row>
    <row r="4802" spans="22:22" ht="15" x14ac:dyDescent="0.25">
      <c r="V4802"/>
    </row>
    <row r="4803" spans="22:22" ht="15" x14ac:dyDescent="0.25">
      <c r="V4803"/>
    </row>
    <row r="4804" spans="22:22" ht="15" x14ac:dyDescent="0.25">
      <c r="V4804"/>
    </row>
    <row r="4805" spans="22:22" ht="15" x14ac:dyDescent="0.25">
      <c r="V4805"/>
    </row>
    <row r="4806" spans="22:22" ht="15" x14ac:dyDescent="0.25">
      <c r="V4806"/>
    </row>
    <row r="4807" spans="22:22" ht="15" x14ac:dyDescent="0.25">
      <c r="V4807"/>
    </row>
    <row r="4808" spans="22:22" ht="15" x14ac:dyDescent="0.25">
      <c r="V4808"/>
    </row>
    <row r="4809" spans="22:22" ht="15" x14ac:dyDescent="0.25">
      <c r="V4809"/>
    </row>
    <row r="4810" spans="22:22" ht="15" x14ac:dyDescent="0.25">
      <c r="V4810"/>
    </row>
    <row r="4811" spans="22:22" ht="15" x14ac:dyDescent="0.25">
      <c r="V4811"/>
    </row>
    <row r="4812" spans="22:22" ht="15" x14ac:dyDescent="0.25">
      <c r="V4812"/>
    </row>
    <row r="4813" spans="22:22" ht="15" x14ac:dyDescent="0.25">
      <c r="V4813"/>
    </row>
    <row r="4814" spans="22:22" ht="15" x14ac:dyDescent="0.25">
      <c r="V4814"/>
    </row>
    <row r="4815" spans="22:22" ht="15" x14ac:dyDescent="0.25">
      <c r="V4815"/>
    </row>
    <row r="4816" spans="22:22" ht="15" x14ac:dyDescent="0.25">
      <c r="V4816"/>
    </row>
    <row r="4817" spans="22:22" ht="15" x14ac:dyDescent="0.25">
      <c r="V4817"/>
    </row>
    <row r="4818" spans="22:22" ht="15" x14ac:dyDescent="0.25">
      <c r="V4818"/>
    </row>
    <row r="4819" spans="22:22" ht="15" x14ac:dyDescent="0.25">
      <c r="V4819"/>
    </row>
    <row r="4820" spans="22:22" ht="15" x14ac:dyDescent="0.25">
      <c r="V4820"/>
    </row>
    <row r="4821" spans="22:22" ht="15" x14ac:dyDescent="0.25">
      <c r="V4821"/>
    </row>
    <row r="4822" spans="22:22" ht="15" x14ac:dyDescent="0.25">
      <c r="V4822"/>
    </row>
    <row r="4823" spans="22:22" ht="15" x14ac:dyDescent="0.25">
      <c r="V4823"/>
    </row>
    <row r="4824" spans="22:22" ht="15" x14ac:dyDescent="0.25">
      <c r="V4824"/>
    </row>
    <row r="4825" spans="22:22" ht="15" x14ac:dyDescent="0.25">
      <c r="V4825"/>
    </row>
    <row r="4826" spans="22:22" ht="15" x14ac:dyDescent="0.25">
      <c r="V4826"/>
    </row>
    <row r="4827" spans="22:22" ht="15" x14ac:dyDescent="0.25">
      <c r="V4827"/>
    </row>
    <row r="4828" spans="22:22" ht="15" x14ac:dyDescent="0.25">
      <c r="V4828"/>
    </row>
    <row r="4829" spans="22:22" ht="15" x14ac:dyDescent="0.25">
      <c r="V4829"/>
    </row>
    <row r="4830" spans="22:22" ht="15" x14ac:dyDescent="0.25">
      <c r="V4830"/>
    </row>
    <row r="4831" spans="22:22" ht="15" x14ac:dyDescent="0.25">
      <c r="V4831"/>
    </row>
    <row r="4832" spans="22:22" ht="15" x14ac:dyDescent="0.25">
      <c r="V4832"/>
    </row>
    <row r="4833" spans="22:22" ht="15" x14ac:dyDescent="0.25">
      <c r="V4833"/>
    </row>
    <row r="4834" spans="22:22" ht="15" x14ac:dyDescent="0.25">
      <c r="V4834"/>
    </row>
    <row r="4835" spans="22:22" ht="15" x14ac:dyDescent="0.25">
      <c r="V4835"/>
    </row>
    <row r="4836" spans="22:22" ht="15" x14ac:dyDescent="0.25">
      <c r="V4836"/>
    </row>
    <row r="4837" spans="22:22" ht="15" x14ac:dyDescent="0.25">
      <c r="V4837"/>
    </row>
    <row r="4838" spans="22:22" ht="15" x14ac:dyDescent="0.25">
      <c r="V4838"/>
    </row>
    <row r="4839" spans="22:22" ht="15" x14ac:dyDescent="0.25">
      <c r="V4839"/>
    </row>
    <row r="4840" spans="22:22" ht="15" x14ac:dyDescent="0.25">
      <c r="V4840"/>
    </row>
    <row r="4841" spans="22:22" ht="15" x14ac:dyDescent="0.25">
      <c r="V4841"/>
    </row>
    <row r="4842" spans="22:22" ht="15" x14ac:dyDescent="0.25">
      <c r="V4842"/>
    </row>
    <row r="4843" spans="22:22" ht="15" x14ac:dyDescent="0.25">
      <c r="V4843"/>
    </row>
    <row r="4844" spans="22:22" ht="15" x14ac:dyDescent="0.25">
      <c r="V4844"/>
    </row>
    <row r="4845" spans="22:22" ht="15" x14ac:dyDescent="0.25">
      <c r="V4845"/>
    </row>
    <row r="4846" spans="22:22" ht="15" x14ac:dyDescent="0.25">
      <c r="V4846"/>
    </row>
    <row r="4847" spans="22:22" ht="15" x14ac:dyDescent="0.25">
      <c r="V4847"/>
    </row>
    <row r="4848" spans="22:22" ht="15" x14ac:dyDescent="0.25">
      <c r="V4848"/>
    </row>
    <row r="4849" spans="22:22" ht="15" x14ac:dyDescent="0.25">
      <c r="V4849"/>
    </row>
    <row r="4850" spans="22:22" ht="15" x14ac:dyDescent="0.25">
      <c r="V4850"/>
    </row>
    <row r="4851" spans="22:22" ht="15" x14ac:dyDescent="0.25">
      <c r="V4851"/>
    </row>
    <row r="4852" spans="22:22" ht="15" x14ac:dyDescent="0.25">
      <c r="V4852"/>
    </row>
    <row r="4853" spans="22:22" ht="15" x14ac:dyDescent="0.25">
      <c r="V4853"/>
    </row>
    <row r="4854" spans="22:22" ht="15" x14ac:dyDescent="0.25">
      <c r="V4854"/>
    </row>
    <row r="4855" spans="22:22" ht="15" x14ac:dyDescent="0.25">
      <c r="V4855"/>
    </row>
    <row r="4856" spans="22:22" ht="15" x14ac:dyDescent="0.25">
      <c r="V4856"/>
    </row>
    <row r="4857" spans="22:22" ht="15" x14ac:dyDescent="0.25">
      <c r="V4857"/>
    </row>
    <row r="4858" spans="22:22" ht="15" x14ac:dyDescent="0.25">
      <c r="V4858"/>
    </row>
    <row r="4859" spans="22:22" ht="15" x14ac:dyDescent="0.25">
      <c r="V4859"/>
    </row>
    <row r="4860" spans="22:22" ht="15" x14ac:dyDescent="0.25">
      <c r="V4860"/>
    </row>
    <row r="4861" spans="22:22" ht="15" x14ac:dyDescent="0.25">
      <c r="V4861"/>
    </row>
    <row r="4862" spans="22:22" ht="15" x14ac:dyDescent="0.25">
      <c r="V4862"/>
    </row>
    <row r="4863" spans="22:22" ht="15" x14ac:dyDescent="0.25">
      <c r="V4863"/>
    </row>
    <row r="4864" spans="22:22" ht="15" x14ac:dyDescent="0.25">
      <c r="V4864"/>
    </row>
    <row r="4865" spans="22:22" ht="15" x14ac:dyDescent="0.25">
      <c r="V4865"/>
    </row>
    <row r="4866" spans="22:22" ht="15" x14ac:dyDescent="0.25">
      <c r="V4866"/>
    </row>
    <row r="4867" spans="22:22" ht="15" x14ac:dyDescent="0.25">
      <c r="V4867"/>
    </row>
    <row r="4868" spans="22:22" ht="15" x14ac:dyDescent="0.25">
      <c r="V4868"/>
    </row>
    <row r="4869" spans="22:22" ht="15" x14ac:dyDescent="0.25">
      <c r="V4869"/>
    </row>
    <row r="4870" spans="22:22" ht="15" x14ac:dyDescent="0.25">
      <c r="V4870"/>
    </row>
    <row r="4871" spans="22:22" ht="15" x14ac:dyDescent="0.25">
      <c r="V4871"/>
    </row>
    <row r="4872" spans="22:22" ht="15" x14ac:dyDescent="0.25">
      <c r="V4872"/>
    </row>
    <row r="4873" spans="22:22" ht="15" x14ac:dyDescent="0.25">
      <c r="V4873"/>
    </row>
    <row r="4874" spans="22:22" ht="15" x14ac:dyDescent="0.25">
      <c r="V4874"/>
    </row>
    <row r="4875" spans="22:22" ht="15" x14ac:dyDescent="0.25">
      <c r="V4875"/>
    </row>
    <row r="4876" spans="22:22" ht="15" x14ac:dyDescent="0.25">
      <c r="V4876"/>
    </row>
    <row r="4877" spans="22:22" ht="15" x14ac:dyDescent="0.25">
      <c r="V4877"/>
    </row>
    <row r="4878" spans="22:22" ht="15" x14ac:dyDescent="0.25">
      <c r="V4878"/>
    </row>
    <row r="4879" spans="22:22" ht="15" x14ac:dyDescent="0.25">
      <c r="V4879"/>
    </row>
    <row r="4880" spans="22:22" ht="15" x14ac:dyDescent="0.25">
      <c r="V4880"/>
    </row>
    <row r="4881" spans="22:22" ht="15" x14ac:dyDescent="0.25">
      <c r="V4881"/>
    </row>
    <row r="4882" spans="22:22" ht="15" x14ac:dyDescent="0.25">
      <c r="V4882"/>
    </row>
    <row r="4883" spans="22:22" ht="15" x14ac:dyDescent="0.25">
      <c r="V4883"/>
    </row>
    <row r="4884" spans="22:22" ht="15" x14ac:dyDescent="0.25">
      <c r="V4884"/>
    </row>
    <row r="4885" spans="22:22" ht="15" x14ac:dyDescent="0.25">
      <c r="V4885"/>
    </row>
    <row r="4886" spans="22:22" ht="15" x14ac:dyDescent="0.25">
      <c r="V4886"/>
    </row>
    <row r="4887" spans="22:22" ht="15" x14ac:dyDescent="0.25">
      <c r="V4887"/>
    </row>
    <row r="4888" spans="22:22" ht="15" x14ac:dyDescent="0.25">
      <c r="V4888"/>
    </row>
    <row r="4889" spans="22:22" ht="15" x14ac:dyDescent="0.25">
      <c r="V4889"/>
    </row>
    <row r="4890" spans="22:22" ht="15" x14ac:dyDescent="0.25">
      <c r="V4890"/>
    </row>
    <row r="4891" spans="22:22" ht="15" x14ac:dyDescent="0.25">
      <c r="V4891"/>
    </row>
    <row r="4892" spans="22:22" ht="15" x14ac:dyDescent="0.25">
      <c r="V4892"/>
    </row>
    <row r="4893" spans="22:22" ht="15" x14ac:dyDescent="0.25">
      <c r="V4893"/>
    </row>
    <row r="4894" spans="22:22" ht="15" x14ac:dyDescent="0.25">
      <c r="V4894"/>
    </row>
    <row r="4895" spans="22:22" ht="15" x14ac:dyDescent="0.25">
      <c r="V4895"/>
    </row>
    <row r="4896" spans="22:22" ht="15" x14ac:dyDescent="0.25">
      <c r="V4896"/>
    </row>
    <row r="4897" spans="22:22" ht="15" x14ac:dyDescent="0.25">
      <c r="V4897"/>
    </row>
    <row r="4898" spans="22:22" ht="15" x14ac:dyDescent="0.25">
      <c r="V4898"/>
    </row>
    <row r="4899" spans="22:22" ht="15" x14ac:dyDescent="0.25">
      <c r="V4899"/>
    </row>
    <row r="4900" spans="22:22" ht="15" x14ac:dyDescent="0.25">
      <c r="V4900"/>
    </row>
    <row r="4901" spans="22:22" ht="15" x14ac:dyDescent="0.25">
      <c r="V4901"/>
    </row>
    <row r="4902" spans="22:22" ht="15" x14ac:dyDescent="0.25">
      <c r="V4902"/>
    </row>
    <row r="4903" spans="22:22" ht="15" x14ac:dyDescent="0.25">
      <c r="V4903"/>
    </row>
    <row r="4904" spans="22:22" ht="15" x14ac:dyDescent="0.25">
      <c r="V4904"/>
    </row>
    <row r="4905" spans="22:22" ht="15" x14ac:dyDescent="0.25">
      <c r="V4905"/>
    </row>
    <row r="4906" spans="22:22" ht="15" x14ac:dyDescent="0.25">
      <c r="V4906"/>
    </row>
    <row r="4907" spans="22:22" ht="15" x14ac:dyDescent="0.25">
      <c r="V4907"/>
    </row>
    <row r="4908" spans="22:22" ht="15" x14ac:dyDescent="0.25">
      <c r="V4908"/>
    </row>
    <row r="4909" spans="22:22" ht="15" x14ac:dyDescent="0.25">
      <c r="V4909"/>
    </row>
    <row r="4910" spans="22:22" ht="15" x14ac:dyDescent="0.25">
      <c r="V4910"/>
    </row>
    <row r="4911" spans="22:22" ht="15" x14ac:dyDescent="0.25">
      <c r="V4911"/>
    </row>
    <row r="4912" spans="22:22" ht="15" x14ac:dyDescent="0.25">
      <c r="V4912"/>
    </row>
    <row r="4913" spans="22:22" ht="15" x14ac:dyDescent="0.25">
      <c r="V4913"/>
    </row>
    <row r="4914" spans="22:22" ht="15" x14ac:dyDescent="0.25">
      <c r="V4914"/>
    </row>
    <row r="4915" spans="22:22" ht="15" x14ac:dyDescent="0.25">
      <c r="V4915"/>
    </row>
    <row r="4916" spans="22:22" ht="15" x14ac:dyDescent="0.25">
      <c r="V4916"/>
    </row>
    <row r="4917" spans="22:22" ht="15" x14ac:dyDescent="0.25">
      <c r="V4917"/>
    </row>
    <row r="4918" spans="22:22" ht="15" x14ac:dyDescent="0.25">
      <c r="V4918"/>
    </row>
    <row r="4919" spans="22:22" ht="15" x14ac:dyDescent="0.25">
      <c r="V4919"/>
    </row>
    <row r="4920" spans="22:22" ht="15" x14ac:dyDescent="0.25">
      <c r="V4920"/>
    </row>
    <row r="4921" spans="22:22" ht="15" x14ac:dyDescent="0.25">
      <c r="V4921"/>
    </row>
    <row r="4922" spans="22:22" ht="15" x14ac:dyDescent="0.25">
      <c r="V4922"/>
    </row>
    <row r="4923" spans="22:22" ht="15" x14ac:dyDescent="0.25">
      <c r="V4923"/>
    </row>
    <row r="4924" spans="22:22" ht="15" x14ac:dyDescent="0.25">
      <c r="V4924"/>
    </row>
    <row r="4925" spans="22:22" ht="15" x14ac:dyDescent="0.25">
      <c r="V4925"/>
    </row>
    <row r="4926" spans="22:22" ht="15" x14ac:dyDescent="0.25">
      <c r="V4926"/>
    </row>
    <row r="4927" spans="22:22" ht="15" x14ac:dyDescent="0.25">
      <c r="V4927"/>
    </row>
    <row r="4928" spans="22:22" ht="15" x14ac:dyDescent="0.25">
      <c r="V4928"/>
    </row>
    <row r="4929" spans="22:22" ht="15" x14ac:dyDescent="0.25">
      <c r="V4929"/>
    </row>
    <row r="4930" spans="22:22" ht="15" x14ac:dyDescent="0.25">
      <c r="V4930"/>
    </row>
    <row r="4931" spans="22:22" ht="15" x14ac:dyDescent="0.25">
      <c r="V4931"/>
    </row>
    <row r="4932" spans="22:22" ht="15" x14ac:dyDescent="0.25">
      <c r="V4932"/>
    </row>
    <row r="4933" spans="22:22" ht="15" x14ac:dyDescent="0.25">
      <c r="V4933"/>
    </row>
    <row r="4934" spans="22:22" ht="15" x14ac:dyDescent="0.25">
      <c r="V4934"/>
    </row>
    <row r="4935" spans="22:22" ht="15" x14ac:dyDescent="0.25">
      <c r="V4935"/>
    </row>
    <row r="4936" spans="22:22" ht="15" x14ac:dyDescent="0.25">
      <c r="V4936"/>
    </row>
    <row r="4937" spans="22:22" ht="15" x14ac:dyDescent="0.25">
      <c r="V4937"/>
    </row>
    <row r="4938" spans="22:22" ht="15" x14ac:dyDescent="0.25">
      <c r="V4938"/>
    </row>
    <row r="4939" spans="22:22" ht="15" x14ac:dyDescent="0.25">
      <c r="V4939"/>
    </row>
    <row r="4940" spans="22:22" ht="15" x14ac:dyDescent="0.25">
      <c r="V4940"/>
    </row>
    <row r="4941" spans="22:22" ht="15" x14ac:dyDescent="0.25">
      <c r="V4941"/>
    </row>
    <row r="4942" spans="22:22" ht="15" x14ac:dyDescent="0.25">
      <c r="V4942"/>
    </row>
    <row r="4943" spans="22:22" ht="15" x14ac:dyDescent="0.25">
      <c r="V4943"/>
    </row>
    <row r="4944" spans="22:22" ht="15" x14ac:dyDescent="0.25">
      <c r="V4944"/>
    </row>
    <row r="4945" spans="22:22" ht="15" x14ac:dyDescent="0.25">
      <c r="V4945"/>
    </row>
    <row r="4946" spans="22:22" ht="15" x14ac:dyDescent="0.25">
      <c r="V4946"/>
    </row>
    <row r="4947" spans="22:22" ht="15" x14ac:dyDescent="0.25">
      <c r="V4947"/>
    </row>
    <row r="4948" spans="22:22" ht="15" x14ac:dyDescent="0.25">
      <c r="V4948"/>
    </row>
    <row r="4949" spans="22:22" ht="15" x14ac:dyDescent="0.25">
      <c r="V4949"/>
    </row>
    <row r="4950" spans="22:22" ht="15" x14ac:dyDescent="0.25">
      <c r="V4950"/>
    </row>
    <row r="4951" spans="22:22" ht="15" x14ac:dyDescent="0.25">
      <c r="V4951"/>
    </row>
    <row r="4952" spans="22:22" ht="15" x14ac:dyDescent="0.25">
      <c r="V4952"/>
    </row>
    <row r="4953" spans="22:22" ht="15" x14ac:dyDescent="0.25">
      <c r="V4953"/>
    </row>
    <row r="4954" spans="22:22" ht="15" x14ac:dyDescent="0.25">
      <c r="V4954"/>
    </row>
    <row r="4955" spans="22:22" ht="15" x14ac:dyDescent="0.25">
      <c r="V4955"/>
    </row>
    <row r="4956" spans="22:22" ht="15" x14ac:dyDescent="0.25">
      <c r="V4956"/>
    </row>
    <row r="4957" spans="22:22" ht="15" x14ac:dyDescent="0.25">
      <c r="V4957"/>
    </row>
    <row r="4958" spans="22:22" ht="15" x14ac:dyDescent="0.25">
      <c r="V4958"/>
    </row>
    <row r="4959" spans="22:22" ht="15" x14ac:dyDescent="0.25">
      <c r="V4959"/>
    </row>
    <row r="4960" spans="22:22" ht="15" x14ac:dyDescent="0.25">
      <c r="V4960"/>
    </row>
    <row r="4961" spans="22:22" ht="15" x14ac:dyDescent="0.25">
      <c r="V4961"/>
    </row>
    <row r="4962" spans="22:22" ht="15" x14ac:dyDescent="0.25">
      <c r="V4962"/>
    </row>
    <row r="4963" spans="22:22" ht="15" x14ac:dyDescent="0.25">
      <c r="V4963"/>
    </row>
    <row r="4964" spans="22:22" ht="15" x14ac:dyDescent="0.25">
      <c r="V4964"/>
    </row>
    <row r="4965" spans="22:22" ht="15" x14ac:dyDescent="0.25">
      <c r="V4965"/>
    </row>
    <row r="4966" spans="22:22" ht="15" x14ac:dyDescent="0.25">
      <c r="V4966"/>
    </row>
    <row r="4967" spans="22:22" ht="15" x14ac:dyDescent="0.25">
      <c r="V4967"/>
    </row>
    <row r="4968" spans="22:22" ht="15" x14ac:dyDescent="0.25">
      <c r="V4968"/>
    </row>
    <row r="4969" spans="22:22" ht="15" x14ac:dyDescent="0.25">
      <c r="V4969"/>
    </row>
    <row r="4970" spans="22:22" ht="15" x14ac:dyDescent="0.25">
      <c r="V4970"/>
    </row>
    <row r="4971" spans="22:22" ht="15" x14ac:dyDescent="0.25">
      <c r="V4971"/>
    </row>
    <row r="4972" spans="22:22" ht="15" x14ac:dyDescent="0.25">
      <c r="V4972"/>
    </row>
    <row r="4973" spans="22:22" ht="15" x14ac:dyDescent="0.25">
      <c r="V4973"/>
    </row>
    <row r="4974" spans="22:22" ht="15" x14ac:dyDescent="0.25">
      <c r="V4974"/>
    </row>
    <row r="4975" spans="22:22" ht="15" x14ac:dyDescent="0.25">
      <c r="V4975"/>
    </row>
    <row r="4976" spans="22:22" ht="15" x14ac:dyDescent="0.25">
      <c r="V4976"/>
    </row>
    <row r="4977" spans="22:22" ht="15" x14ac:dyDescent="0.25">
      <c r="V4977"/>
    </row>
    <row r="4978" spans="22:22" ht="15" x14ac:dyDescent="0.25">
      <c r="V4978"/>
    </row>
    <row r="4979" spans="22:22" ht="15" x14ac:dyDescent="0.25">
      <c r="V4979"/>
    </row>
    <row r="4980" spans="22:22" ht="15" x14ac:dyDescent="0.25">
      <c r="V4980"/>
    </row>
    <row r="4981" spans="22:22" ht="15" x14ac:dyDescent="0.25">
      <c r="V4981"/>
    </row>
    <row r="4982" spans="22:22" ht="15" x14ac:dyDescent="0.25">
      <c r="V4982"/>
    </row>
    <row r="4983" spans="22:22" ht="15" x14ac:dyDescent="0.25">
      <c r="V4983"/>
    </row>
    <row r="4984" spans="22:22" ht="15" x14ac:dyDescent="0.25">
      <c r="V4984"/>
    </row>
    <row r="4985" spans="22:22" ht="15" x14ac:dyDescent="0.25">
      <c r="V4985"/>
    </row>
    <row r="4986" spans="22:22" ht="15" x14ac:dyDescent="0.25">
      <c r="V4986"/>
    </row>
    <row r="4987" spans="22:22" ht="15" x14ac:dyDescent="0.25">
      <c r="V4987"/>
    </row>
    <row r="4988" spans="22:22" ht="15" x14ac:dyDescent="0.25">
      <c r="V4988"/>
    </row>
    <row r="4989" spans="22:22" ht="15" x14ac:dyDescent="0.25">
      <c r="V4989"/>
    </row>
    <row r="4990" spans="22:22" ht="15" x14ac:dyDescent="0.25">
      <c r="V4990"/>
    </row>
    <row r="4991" spans="22:22" ht="15" x14ac:dyDescent="0.25">
      <c r="V4991"/>
    </row>
    <row r="4992" spans="22:22" ht="15" x14ac:dyDescent="0.25">
      <c r="V4992"/>
    </row>
    <row r="4993" spans="22:22" ht="15" x14ac:dyDescent="0.25">
      <c r="V4993"/>
    </row>
    <row r="4994" spans="22:22" ht="15" x14ac:dyDescent="0.25">
      <c r="V4994"/>
    </row>
    <row r="4995" spans="22:22" ht="15" x14ac:dyDescent="0.25">
      <c r="V4995"/>
    </row>
    <row r="4996" spans="22:22" ht="15" x14ac:dyDescent="0.25">
      <c r="V4996"/>
    </row>
    <row r="4997" spans="22:22" ht="15" x14ac:dyDescent="0.25">
      <c r="V4997"/>
    </row>
    <row r="4998" spans="22:22" ht="15" x14ac:dyDescent="0.25">
      <c r="V4998"/>
    </row>
    <row r="4999" spans="22:22" ht="15" x14ac:dyDescent="0.25">
      <c r="V4999"/>
    </row>
    <row r="5000" spans="22:22" ht="15" x14ac:dyDescent="0.25">
      <c r="V5000"/>
    </row>
    <row r="5001" spans="22:22" ht="15" x14ac:dyDescent="0.25">
      <c r="V5001"/>
    </row>
    <row r="5002" spans="22:22" ht="15" x14ac:dyDescent="0.25">
      <c r="V5002"/>
    </row>
    <row r="5003" spans="22:22" ht="15" x14ac:dyDescent="0.25">
      <c r="V5003"/>
    </row>
    <row r="5004" spans="22:22" ht="15" x14ac:dyDescent="0.25">
      <c r="V5004"/>
    </row>
    <row r="5005" spans="22:22" ht="15" x14ac:dyDescent="0.25">
      <c r="V5005"/>
    </row>
    <row r="5006" spans="22:22" ht="15" x14ac:dyDescent="0.25">
      <c r="V5006"/>
    </row>
    <row r="5007" spans="22:22" ht="15" x14ac:dyDescent="0.25">
      <c r="V5007"/>
    </row>
    <row r="5008" spans="22:22" ht="15" x14ac:dyDescent="0.25">
      <c r="V5008"/>
    </row>
    <row r="5009" spans="22:22" ht="15" x14ac:dyDescent="0.25">
      <c r="V5009"/>
    </row>
    <row r="5010" spans="22:22" ht="15" x14ac:dyDescent="0.25">
      <c r="V5010"/>
    </row>
    <row r="5011" spans="22:22" ht="15" x14ac:dyDescent="0.25">
      <c r="V5011"/>
    </row>
    <row r="5012" spans="22:22" ht="15" x14ac:dyDescent="0.25">
      <c r="V5012"/>
    </row>
    <row r="5013" spans="22:22" ht="15" x14ac:dyDescent="0.25">
      <c r="V5013"/>
    </row>
    <row r="5014" spans="22:22" ht="15" x14ac:dyDescent="0.25">
      <c r="V5014"/>
    </row>
    <row r="5015" spans="22:22" ht="15" x14ac:dyDescent="0.25">
      <c r="V5015"/>
    </row>
    <row r="5016" spans="22:22" ht="15" x14ac:dyDescent="0.25">
      <c r="V5016"/>
    </row>
    <row r="5017" spans="22:22" ht="15" x14ac:dyDescent="0.25">
      <c r="V5017"/>
    </row>
    <row r="5018" spans="22:22" ht="15" x14ac:dyDescent="0.25">
      <c r="V5018"/>
    </row>
    <row r="5019" spans="22:22" ht="15" x14ac:dyDescent="0.25">
      <c r="V5019"/>
    </row>
    <row r="5020" spans="22:22" ht="15" x14ac:dyDescent="0.25">
      <c r="V5020"/>
    </row>
    <row r="5021" spans="22:22" ht="15" x14ac:dyDescent="0.25">
      <c r="V5021"/>
    </row>
    <row r="5022" spans="22:22" ht="15" x14ac:dyDescent="0.25">
      <c r="V5022"/>
    </row>
    <row r="5023" spans="22:22" ht="15" x14ac:dyDescent="0.25">
      <c r="V5023"/>
    </row>
    <row r="5024" spans="22:22" ht="15" x14ac:dyDescent="0.25">
      <c r="V5024"/>
    </row>
    <row r="5025" spans="22:22" ht="15" x14ac:dyDescent="0.25">
      <c r="V5025"/>
    </row>
    <row r="5026" spans="22:22" ht="15" x14ac:dyDescent="0.25">
      <c r="V5026"/>
    </row>
    <row r="5027" spans="22:22" ht="15" x14ac:dyDescent="0.25">
      <c r="V5027"/>
    </row>
    <row r="5028" spans="22:22" ht="15" x14ac:dyDescent="0.25">
      <c r="V5028"/>
    </row>
    <row r="5029" spans="22:22" ht="15" x14ac:dyDescent="0.25">
      <c r="V5029"/>
    </row>
    <row r="5030" spans="22:22" ht="15" x14ac:dyDescent="0.25">
      <c r="V5030"/>
    </row>
    <row r="5031" spans="22:22" ht="15" x14ac:dyDescent="0.25">
      <c r="V5031"/>
    </row>
    <row r="5032" spans="22:22" ht="15" x14ac:dyDescent="0.25">
      <c r="V5032"/>
    </row>
    <row r="5033" spans="22:22" ht="15" x14ac:dyDescent="0.25">
      <c r="V5033"/>
    </row>
    <row r="5034" spans="22:22" ht="15" x14ac:dyDescent="0.25">
      <c r="V5034"/>
    </row>
    <row r="5035" spans="22:22" ht="15" x14ac:dyDescent="0.25">
      <c r="V5035"/>
    </row>
    <row r="5036" spans="22:22" ht="15" x14ac:dyDescent="0.25">
      <c r="V5036"/>
    </row>
    <row r="5037" spans="22:22" ht="15" x14ac:dyDescent="0.25">
      <c r="V5037"/>
    </row>
    <row r="5038" spans="22:22" ht="15" x14ac:dyDescent="0.25">
      <c r="V5038"/>
    </row>
    <row r="5039" spans="22:22" ht="15" x14ac:dyDescent="0.25">
      <c r="V5039"/>
    </row>
    <row r="5040" spans="22:22" ht="15" x14ac:dyDescent="0.25">
      <c r="V5040"/>
    </row>
    <row r="5041" spans="22:22" ht="15" x14ac:dyDescent="0.25">
      <c r="V5041"/>
    </row>
    <row r="5042" spans="22:22" ht="15" x14ac:dyDescent="0.25">
      <c r="V5042"/>
    </row>
    <row r="5043" spans="22:22" ht="15" x14ac:dyDescent="0.25">
      <c r="V5043"/>
    </row>
    <row r="5044" spans="22:22" ht="15" x14ac:dyDescent="0.25">
      <c r="V5044"/>
    </row>
    <row r="5045" spans="22:22" ht="15" x14ac:dyDescent="0.25">
      <c r="V5045"/>
    </row>
    <row r="5046" spans="22:22" ht="15" x14ac:dyDescent="0.25">
      <c r="V5046"/>
    </row>
    <row r="5047" spans="22:22" ht="15" x14ac:dyDescent="0.25">
      <c r="V5047"/>
    </row>
    <row r="5048" spans="22:22" ht="15" x14ac:dyDescent="0.25">
      <c r="V5048"/>
    </row>
    <row r="5049" spans="22:22" ht="15" x14ac:dyDescent="0.25">
      <c r="V5049"/>
    </row>
    <row r="5050" spans="22:22" ht="15" x14ac:dyDescent="0.25">
      <c r="V5050"/>
    </row>
    <row r="5051" spans="22:22" ht="15" x14ac:dyDescent="0.25">
      <c r="V5051"/>
    </row>
    <row r="5052" spans="22:22" ht="15" x14ac:dyDescent="0.25">
      <c r="V5052"/>
    </row>
    <row r="5053" spans="22:22" ht="15" x14ac:dyDescent="0.25">
      <c r="V5053"/>
    </row>
    <row r="5054" spans="22:22" ht="15" x14ac:dyDescent="0.25">
      <c r="V5054"/>
    </row>
    <row r="5055" spans="22:22" ht="15" x14ac:dyDescent="0.25">
      <c r="V5055"/>
    </row>
    <row r="5056" spans="22:22" ht="15" x14ac:dyDescent="0.25">
      <c r="V5056"/>
    </row>
    <row r="5057" spans="22:22" ht="15" x14ac:dyDescent="0.25">
      <c r="V5057"/>
    </row>
    <row r="5058" spans="22:22" ht="15" x14ac:dyDescent="0.25">
      <c r="V5058"/>
    </row>
    <row r="5059" spans="22:22" ht="15" x14ac:dyDescent="0.25">
      <c r="V5059"/>
    </row>
    <row r="5060" spans="22:22" ht="15" x14ac:dyDescent="0.25">
      <c r="V5060"/>
    </row>
    <row r="5061" spans="22:22" ht="15" x14ac:dyDescent="0.25">
      <c r="V5061"/>
    </row>
    <row r="5062" spans="22:22" ht="15" x14ac:dyDescent="0.25">
      <c r="V5062"/>
    </row>
    <row r="5063" spans="22:22" ht="15" x14ac:dyDescent="0.25">
      <c r="V5063"/>
    </row>
    <row r="5064" spans="22:22" ht="15" x14ac:dyDescent="0.25">
      <c r="V5064"/>
    </row>
    <row r="5065" spans="22:22" ht="15" x14ac:dyDescent="0.25">
      <c r="V5065"/>
    </row>
    <row r="5066" spans="22:22" ht="15" x14ac:dyDescent="0.25">
      <c r="V5066"/>
    </row>
    <row r="5067" spans="22:22" ht="15" x14ac:dyDescent="0.25">
      <c r="V5067"/>
    </row>
    <row r="5068" spans="22:22" ht="15" x14ac:dyDescent="0.25">
      <c r="V5068"/>
    </row>
    <row r="5069" spans="22:22" ht="15" x14ac:dyDescent="0.25">
      <c r="V5069"/>
    </row>
    <row r="5070" spans="22:22" ht="15" x14ac:dyDescent="0.25">
      <c r="V5070"/>
    </row>
    <row r="5071" spans="22:22" ht="15" x14ac:dyDescent="0.25">
      <c r="V5071"/>
    </row>
    <row r="5072" spans="22:22" ht="15" x14ac:dyDescent="0.25">
      <c r="V5072"/>
    </row>
    <row r="5073" spans="22:22" ht="15" x14ac:dyDescent="0.25">
      <c r="V5073"/>
    </row>
    <row r="5074" spans="22:22" ht="15" x14ac:dyDescent="0.25">
      <c r="V5074"/>
    </row>
    <row r="5075" spans="22:22" ht="15" x14ac:dyDescent="0.25">
      <c r="V5075"/>
    </row>
    <row r="5076" spans="22:22" ht="15" x14ac:dyDescent="0.25">
      <c r="V5076"/>
    </row>
    <row r="5077" spans="22:22" ht="15" x14ac:dyDescent="0.25">
      <c r="V5077"/>
    </row>
    <row r="5078" spans="22:22" ht="15" x14ac:dyDescent="0.25">
      <c r="V5078"/>
    </row>
    <row r="5079" spans="22:22" ht="15" x14ac:dyDescent="0.25">
      <c r="V5079"/>
    </row>
    <row r="5080" spans="22:22" ht="15" x14ac:dyDescent="0.25">
      <c r="V5080"/>
    </row>
    <row r="5081" spans="22:22" ht="15" x14ac:dyDescent="0.25">
      <c r="V5081"/>
    </row>
    <row r="5082" spans="22:22" ht="15" x14ac:dyDescent="0.25">
      <c r="V5082"/>
    </row>
    <row r="5083" spans="22:22" ht="15" x14ac:dyDescent="0.25">
      <c r="V5083"/>
    </row>
    <row r="5084" spans="22:22" ht="15" x14ac:dyDescent="0.25">
      <c r="V5084"/>
    </row>
    <row r="5085" spans="22:22" ht="15" x14ac:dyDescent="0.25">
      <c r="V5085"/>
    </row>
    <row r="5086" spans="22:22" ht="15" x14ac:dyDescent="0.25">
      <c r="V5086"/>
    </row>
    <row r="5087" spans="22:22" ht="15" x14ac:dyDescent="0.25">
      <c r="V5087"/>
    </row>
    <row r="5088" spans="22:22" ht="15" x14ac:dyDescent="0.25">
      <c r="V5088"/>
    </row>
    <row r="5089" spans="22:22" ht="15" x14ac:dyDescent="0.25">
      <c r="V5089"/>
    </row>
    <row r="5090" spans="22:22" ht="15" x14ac:dyDescent="0.25">
      <c r="V5090"/>
    </row>
    <row r="5091" spans="22:22" ht="15" x14ac:dyDescent="0.25">
      <c r="V5091"/>
    </row>
    <row r="5092" spans="22:22" ht="15" x14ac:dyDescent="0.25">
      <c r="V5092"/>
    </row>
    <row r="5093" spans="22:22" ht="15" x14ac:dyDescent="0.25">
      <c r="V5093"/>
    </row>
    <row r="5094" spans="22:22" ht="15" x14ac:dyDescent="0.25">
      <c r="V5094"/>
    </row>
    <row r="5095" spans="22:22" ht="15" x14ac:dyDescent="0.25">
      <c r="V5095"/>
    </row>
    <row r="5096" spans="22:22" ht="15" x14ac:dyDescent="0.25">
      <c r="V5096"/>
    </row>
    <row r="5097" spans="22:22" ht="15" x14ac:dyDescent="0.25">
      <c r="V5097"/>
    </row>
    <row r="5098" spans="22:22" ht="15" x14ac:dyDescent="0.25">
      <c r="V5098"/>
    </row>
    <row r="5099" spans="22:22" ht="15" x14ac:dyDescent="0.25">
      <c r="V5099"/>
    </row>
    <row r="5100" spans="22:22" ht="15" x14ac:dyDescent="0.25">
      <c r="V5100"/>
    </row>
    <row r="5101" spans="22:22" ht="15" x14ac:dyDescent="0.25">
      <c r="V5101"/>
    </row>
    <row r="5102" spans="22:22" ht="15" x14ac:dyDescent="0.25">
      <c r="V5102"/>
    </row>
    <row r="5103" spans="22:22" ht="15" x14ac:dyDescent="0.25">
      <c r="V5103"/>
    </row>
    <row r="5104" spans="22:22" ht="15" x14ac:dyDescent="0.25">
      <c r="V5104"/>
    </row>
    <row r="5105" spans="22:22" ht="15" x14ac:dyDescent="0.25">
      <c r="V5105"/>
    </row>
    <row r="5106" spans="22:22" ht="15" x14ac:dyDescent="0.25">
      <c r="V5106"/>
    </row>
    <row r="5107" spans="22:22" ht="15" x14ac:dyDescent="0.25">
      <c r="V5107"/>
    </row>
    <row r="5108" spans="22:22" ht="15" x14ac:dyDescent="0.25">
      <c r="V5108"/>
    </row>
    <row r="5109" spans="22:22" ht="15" x14ac:dyDescent="0.25">
      <c r="V5109"/>
    </row>
    <row r="5110" spans="22:22" ht="15" x14ac:dyDescent="0.25">
      <c r="V5110"/>
    </row>
    <row r="5111" spans="22:22" ht="15" x14ac:dyDescent="0.25">
      <c r="V5111"/>
    </row>
    <row r="5112" spans="22:22" ht="15" x14ac:dyDescent="0.25">
      <c r="V5112"/>
    </row>
    <row r="5113" spans="22:22" ht="15" x14ac:dyDescent="0.25">
      <c r="V5113"/>
    </row>
    <row r="5114" spans="22:22" ht="15" x14ac:dyDescent="0.25">
      <c r="V5114"/>
    </row>
    <row r="5115" spans="22:22" ht="15" x14ac:dyDescent="0.25">
      <c r="V5115"/>
    </row>
    <row r="5116" spans="22:22" ht="15" x14ac:dyDescent="0.25">
      <c r="V5116"/>
    </row>
    <row r="5117" spans="22:22" ht="15" x14ac:dyDescent="0.25">
      <c r="V5117"/>
    </row>
    <row r="5118" spans="22:22" ht="15" x14ac:dyDescent="0.25">
      <c r="V5118"/>
    </row>
    <row r="5119" spans="22:22" ht="15" x14ac:dyDescent="0.25">
      <c r="V5119"/>
    </row>
    <row r="5120" spans="22:22" ht="15" x14ac:dyDescent="0.25">
      <c r="V5120"/>
    </row>
    <row r="5121" spans="22:22" ht="15" x14ac:dyDescent="0.25">
      <c r="V5121"/>
    </row>
    <row r="5122" spans="22:22" ht="15" x14ac:dyDescent="0.25">
      <c r="V5122"/>
    </row>
    <row r="5123" spans="22:22" ht="15" x14ac:dyDescent="0.25">
      <c r="V5123"/>
    </row>
    <row r="5124" spans="22:22" ht="15" x14ac:dyDescent="0.25">
      <c r="V5124"/>
    </row>
    <row r="5125" spans="22:22" ht="15" x14ac:dyDescent="0.25">
      <c r="V5125"/>
    </row>
    <row r="5126" spans="22:22" ht="15" x14ac:dyDescent="0.25">
      <c r="V5126"/>
    </row>
    <row r="5127" spans="22:22" ht="15" x14ac:dyDescent="0.25">
      <c r="V5127"/>
    </row>
    <row r="5128" spans="22:22" ht="15" x14ac:dyDescent="0.25">
      <c r="V5128"/>
    </row>
    <row r="5129" spans="22:22" ht="15" x14ac:dyDescent="0.25">
      <c r="V5129"/>
    </row>
    <row r="5130" spans="22:22" ht="15" x14ac:dyDescent="0.25">
      <c r="V5130"/>
    </row>
    <row r="5131" spans="22:22" ht="15" x14ac:dyDescent="0.25">
      <c r="V5131"/>
    </row>
    <row r="5132" spans="22:22" ht="15" x14ac:dyDescent="0.25">
      <c r="V5132"/>
    </row>
    <row r="5133" spans="22:22" ht="15" x14ac:dyDescent="0.25">
      <c r="V5133"/>
    </row>
    <row r="5134" spans="22:22" ht="15" x14ac:dyDescent="0.25">
      <c r="V5134"/>
    </row>
    <row r="5135" spans="22:22" ht="15" x14ac:dyDescent="0.25">
      <c r="V5135"/>
    </row>
    <row r="5136" spans="22:22" ht="15" x14ac:dyDescent="0.25">
      <c r="V5136"/>
    </row>
    <row r="5137" spans="22:22" ht="15" x14ac:dyDescent="0.25">
      <c r="V5137"/>
    </row>
    <row r="5138" spans="22:22" ht="15" x14ac:dyDescent="0.25">
      <c r="V5138"/>
    </row>
    <row r="5139" spans="22:22" ht="15" x14ac:dyDescent="0.25">
      <c r="V5139"/>
    </row>
    <row r="5140" spans="22:22" ht="15" x14ac:dyDescent="0.25">
      <c r="V5140"/>
    </row>
    <row r="5141" spans="22:22" ht="15" x14ac:dyDescent="0.25">
      <c r="V5141"/>
    </row>
    <row r="5142" spans="22:22" ht="15" x14ac:dyDescent="0.25">
      <c r="V5142"/>
    </row>
    <row r="5143" spans="22:22" ht="15" x14ac:dyDescent="0.25">
      <c r="V5143"/>
    </row>
    <row r="5144" spans="22:22" ht="15" x14ac:dyDescent="0.25">
      <c r="V5144"/>
    </row>
    <row r="5145" spans="22:22" ht="15" x14ac:dyDescent="0.25">
      <c r="V5145"/>
    </row>
    <row r="5146" spans="22:22" ht="15" x14ac:dyDescent="0.25">
      <c r="V5146"/>
    </row>
    <row r="5147" spans="22:22" ht="15" x14ac:dyDescent="0.25">
      <c r="V5147"/>
    </row>
    <row r="5148" spans="22:22" ht="15" x14ac:dyDescent="0.25">
      <c r="V5148"/>
    </row>
    <row r="5149" spans="22:22" ht="15" x14ac:dyDescent="0.25">
      <c r="V5149"/>
    </row>
    <row r="5150" spans="22:22" ht="15" x14ac:dyDescent="0.25">
      <c r="V5150"/>
    </row>
    <row r="5151" spans="22:22" ht="15" x14ac:dyDescent="0.25">
      <c r="V5151"/>
    </row>
    <row r="5152" spans="22:22" ht="15" x14ac:dyDescent="0.25">
      <c r="V5152"/>
    </row>
    <row r="5153" spans="22:22" ht="15" x14ac:dyDescent="0.25">
      <c r="V5153"/>
    </row>
    <row r="5154" spans="22:22" ht="15" x14ac:dyDescent="0.25">
      <c r="V5154"/>
    </row>
    <row r="5155" spans="22:22" ht="15" x14ac:dyDescent="0.25">
      <c r="V5155"/>
    </row>
    <row r="5156" spans="22:22" ht="15" x14ac:dyDescent="0.25">
      <c r="V5156"/>
    </row>
    <row r="5157" spans="22:22" ht="15" x14ac:dyDescent="0.25">
      <c r="V5157"/>
    </row>
    <row r="5158" spans="22:22" ht="15" x14ac:dyDescent="0.25">
      <c r="V5158"/>
    </row>
    <row r="5159" spans="22:22" ht="15" x14ac:dyDescent="0.25">
      <c r="V5159"/>
    </row>
    <row r="5160" spans="22:22" ht="15" x14ac:dyDescent="0.25">
      <c r="V5160"/>
    </row>
    <row r="5161" spans="22:22" ht="15" x14ac:dyDescent="0.25">
      <c r="V5161"/>
    </row>
    <row r="5162" spans="22:22" ht="15" x14ac:dyDescent="0.25">
      <c r="V5162"/>
    </row>
    <row r="5163" spans="22:22" ht="15" x14ac:dyDescent="0.25">
      <c r="V5163"/>
    </row>
    <row r="5164" spans="22:22" ht="15" x14ac:dyDescent="0.25">
      <c r="V5164"/>
    </row>
    <row r="5165" spans="22:22" ht="15" x14ac:dyDescent="0.25">
      <c r="V5165"/>
    </row>
    <row r="5166" spans="22:22" ht="15" x14ac:dyDescent="0.25">
      <c r="V5166"/>
    </row>
    <row r="5167" spans="22:22" ht="15" x14ac:dyDescent="0.25">
      <c r="V5167"/>
    </row>
    <row r="5168" spans="22:22" ht="15" x14ac:dyDescent="0.25">
      <c r="V5168"/>
    </row>
    <row r="5169" spans="22:22" ht="15" x14ac:dyDescent="0.25">
      <c r="V5169"/>
    </row>
    <row r="5170" spans="22:22" ht="15" x14ac:dyDescent="0.25">
      <c r="V5170"/>
    </row>
    <row r="5171" spans="22:22" ht="15" x14ac:dyDescent="0.25">
      <c r="V5171"/>
    </row>
    <row r="5172" spans="22:22" ht="15" x14ac:dyDescent="0.25">
      <c r="V5172"/>
    </row>
    <row r="5173" spans="22:22" ht="15" x14ac:dyDescent="0.25">
      <c r="V5173"/>
    </row>
    <row r="5174" spans="22:22" ht="15" x14ac:dyDescent="0.25">
      <c r="V5174"/>
    </row>
    <row r="5175" spans="22:22" ht="15" x14ac:dyDescent="0.25">
      <c r="V5175"/>
    </row>
    <row r="5176" spans="22:22" ht="15" x14ac:dyDescent="0.25">
      <c r="V5176"/>
    </row>
    <row r="5177" spans="22:22" ht="15" x14ac:dyDescent="0.25">
      <c r="V5177"/>
    </row>
    <row r="5178" spans="22:22" ht="15" x14ac:dyDescent="0.25">
      <c r="V5178"/>
    </row>
    <row r="5179" spans="22:22" ht="15" x14ac:dyDescent="0.25">
      <c r="V5179"/>
    </row>
    <row r="5180" spans="22:22" ht="15" x14ac:dyDescent="0.25">
      <c r="V5180"/>
    </row>
    <row r="5181" spans="22:22" ht="15" x14ac:dyDescent="0.25">
      <c r="V5181"/>
    </row>
    <row r="5182" spans="22:22" ht="15" x14ac:dyDescent="0.25">
      <c r="V5182"/>
    </row>
    <row r="5183" spans="22:22" ht="15" x14ac:dyDescent="0.25">
      <c r="V5183"/>
    </row>
    <row r="5184" spans="22:22" ht="15" x14ac:dyDescent="0.25">
      <c r="V5184"/>
    </row>
    <row r="5185" spans="22:22" ht="15" x14ac:dyDescent="0.25">
      <c r="V5185"/>
    </row>
    <row r="5186" spans="22:22" ht="15" x14ac:dyDescent="0.25">
      <c r="V5186"/>
    </row>
    <row r="5187" spans="22:22" ht="15" x14ac:dyDescent="0.25">
      <c r="V5187"/>
    </row>
    <row r="5188" spans="22:22" ht="15" x14ac:dyDescent="0.25">
      <c r="V5188"/>
    </row>
    <row r="5189" spans="22:22" ht="15" x14ac:dyDescent="0.25">
      <c r="V5189"/>
    </row>
    <row r="5190" spans="22:22" ht="15" x14ac:dyDescent="0.25">
      <c r="V5190"/>
    </row>
    <row r="5191" spans="22:22" ht="15" x14ac:dyDescent="0.25">
      <c r="V5191"/>
    </row>
    <row r="5192" spans="22:22" ht="15" x14ac:dyDescent="0.25">
      <c r="V5192"/>
    </row>
    <row r="5193" spans="22:22" ht="15" x14ac:dyDescent="0.25">
      <c r="V5193"/>
    </row>
    <row r="5194" spans="22:22" ht="15" x14ac:dyDescent="0.25">
      <c r="V5194"/>
    </row>
    <row r="5195" spans="22:22" ht="15" x14ac:dyDescent="0.25">
      <c r="V5195"/>
    </row>
    <row r="5196" spans="22:22" ht="15" x14ac:dyDescent="0.25">
      <c r="V5196"/>
    </row>
    <row r="5197" spans="22:22" ht="15" x14ac:dyDescent="0.25">
      <c r="V5197"/>
    </row>
    <row r="5198" spans="22:22" ht="15" x14ac:dyDescent="0.25">
      <c r="V5198"/>
    </row>
    <row r="5199" spans="22:22" ht="15" x14ac:dyDescent="0.25">
      <c r="V5199"/>
    </row>
    <row r="5200" spans="22:22" ht="15" x14ac:dyDescent="0.25">
      <c r="V5200"/>
    </row>
    <row r="5201" spans="22:22" ht="15" x14ac:dyDescent="0.25">
      <c r="V5201"/>
    </row>
    <row r="5202" spans="22:22" ht="15" x14ac:dyDescent="0.25">
      <c r="V5202"/>
    </row>
    <row r="5203" spans="22:22" ht="15" x14ac:dyDescent="0.25">
      <c r="V5203"/>
    </row>
    <row r="5204" spans="22:22" ht="15" x14ac:dyDescent="0.25">
      <c r="V5204"/>
    </row>
    <row r="5205" spans="22:22" ht="15" x14ac:dyDescent="0.25">
      <c r="V5205"/>
    </row>
    <row r="5206" spans="22:22" ht="15" x14ac:dyDescent="0.25">
      <c r="V5206"/>
    </row>
    <row r="5207" spans="22:22" ht="15" x14ac:dyDescent="0.25">
      <c r="V5207"/>
    </row>
    <row r="5208" spans="22:22" ht="15" x14ac:dyDescent="0.25">
      <c r="V5208"/>
    </row>
    <row r="5209" spans="22:22" ht="15" x14ac:dyDescent="0.25">
      <c r="V5209"/>
    </row>
    <row r="5210" spans="22:22" ht="15" x14ac:dyDescent="0.25">
      <c r="V5210"/>
    </row>
    <row r="5211" spans="22:22" ht="15" x14ac:dyDescent="0.25">
      <c r="V5211"/>
    </row>
    <row r="5212" spans="22:22" ht="15" x14ac:dyDescent="0.25">
      <c r="V5212"/>
    </row>
    <row r="5213" spans="22:22" ht="15" x14ac:dyDescent="0.25">
      <c r="V5213"/>
    </row>
    <row r="5214" spans="22:22" ht="15" x14ac:dyDescent="0.25">
      <c r="V5214"/>
    </row>
    <row r="5215" spans="22:22" ht="15" x14ac:dyDescent="0.25">
      <c r="V5215"/>
    </row>
    <row r="5216" spans="22:22" ht="15" x14ac:dyDescent="0.25">
      <c r="V5216"/>
    </row>
    <row r="5217" spans="22:22" ht="15" x14ac:dyDescent="0.25">
      <c r="V5217"/>
    </row>
    <row r="5218" spans="22:22" ht="15" x14ac:dyDescent="0.25">
      <c r="V5218"/>
    </row>
    <row r="5219" spans="22:22" ht="15" x14ac:dyDescent="0.25">
      <c r="V5219"/>
    </row>
    <row r="5220" spans="22:22" ht="15" x14ac:dyDescent="0.25">
      <c r="V5220"/>
    </row>
    <row r="5221" spans="22:22" ht="15" x14ac:dyDescent="0.25">
      <c r="V5221"/>
    </row>
    <row r="5222" spans="22:22" ht="15" x14ac:dyDescent="0.25">
      <c r="V5222"/>
    </row>
    <row r="5223" spans="22:22" ht="15" x14ac:dyDescent="0.25">
      <c r="V5223"/>
    </row>
    <row r="5224" spans="22:22" ht="15" x14ac:dyDescent="0.25">
      <c r="V5224"/>
    </row>
    <row r="5225" spans="22:22" ht="15" x14ac:dyDescent="0.25">
      <c r="V5225"/>
    </row>
    <row r="5226" spans="22:22" ht="15" x14ac:dyDescent="0.25">
      <c r="V5226"/>
    </row>
    <row r="5227" spans="22:22" ht="15" x14ac:dyDescent="0.25">
      <c r="V5227"/>
    </row>
    <row r="5228" spans="22:22" ht="15" x14ac:dyDescent="0.25">
      <c r="V5228"/>
    </row>
    <row r="5229" spans="22:22" ht="15" x14ac:dyDescent="0.25">
      <c r="V5229"/>
    </row>
    <row r="5230" spans="22:22" ht="15" x14ac:dyDescent="0.25">
      <c r="V5230"/>
    </row>
    <row r="5231" spans="22:22" ht="15" x14ac:dyDescent="0.25">
      <c r="V5231"/>
    </row>
    <row r="5232" spans="22:22" ht="15" x14ac:dyDescent="0.25">
      <c r="V5232"/>
    </row>
    <row r="5233" spans="22:22" ht="15" x14ac:dyDescent="0.25">
      <c r="V5233"/>
    </row>
    <row r="5234" spans="22:22" ht="15" x14ac:dyDescent="0.25">
      <c r="V5234"/>
    </row>
    <row r="5235" spans="22:22" ht="15" x14ac:dyDescent="0.25">
      <c r="V5235"/>
    </row>
    <row r="5236" spans="22:22" ht="15" x14ac:dyDescent="0.25">
      <c r="V5236"/>
    </row>
    <row r="5237" spans="22:22" ht="15" x14ac:dyDescent="0.25">
      <c r="V5237"/>
    </row>
    <row r="5238" spans="22:22" ht="15" x14ac:dyDescent="0.25">
      <c r="V5238"/>
    </row>
    <row r="5239" spans="22:22" ht="15" x14ac:dyDescent="0.25">
      <c r="V5239"/>
    </row>
    <row r="5240" spans="22:22" ht="15" x14ac:dyDescent="0.25">
      <c r="V5240"/>
    </row>
    <row r="5241" spans="22:22" ht="15" x14ac:dyDescent="0.25">
      <c r="V5241"/>
    </row>
    <row r="5242" spans="22:22" ht="15" x14ac:dyDescent="0.25">
      <c r="V5242"/>
    </row>
    <row r="5243" spans="22:22" ht="15" x14ac:dyDescent="0.25">
      <c r="V5243"/>
    </row>
    <row r="5244" spans="22:22" ht="15" x14ac:dyDescent="0.25">
      <c r="V5244"/>
    </row>
    <row r="5245" spans="22:22" ht="15" x14ac:dyDescent="0.25">
      <c r="V5245"/>
    </row>
    <row r="5246" spans="22:22" ht="15" x14ac:dyDescent="0.25">
      <c r="V5246"/>
    </row>
    <row r="5247" spans="22:22" ht="15" x14ac:dyDescent="0.25">
      <c r="V5247"/>
    </row>
    <row r="5248" spans="22:22" ht="15" x14ac:dyDescent="0.25">
      <c r="V5248"/>
    </row>
    <row r="5249" spans="22:22" ht="15" x14ac:dyDescent="0.25">
      <c r="V5249"/>
    </row>
    <row r="5250" spans="22:22" ht="15" x14ac:dyDescent="0.25">
      <c r="V5250"/>
    </row>
    <row r="5251" spans="22:22" ht="15" x14ac:dyDescent="0.25">
      <c r="V5251"/>
    </row>
    <row r="5252" spans="22:22" ht="15" x14ac:dyDescent="0.25">
      <c r="V5252"/>
    </row>
    <row r="5253" spans="22:22" ht="15" x14ac:dyDescent="0.25">
      <c r="V5253"/>
    </row>
    <row r="5254" spans="22:22" ht="15" x14ac:dyDescent="0.25">
      <c r="V5254"/>
    </row>
    <row r="5255" spans="22:22" ht="15" x14ac:dyDescent="0.25">
      <c r="V5255"/>
    </row>
    <row r="5256" spans="22:22" ht="15" x14ac:dyDescent="0.25">
      <c r="V5256"/>
    </row>
    <row r="5257" spans="22:22" ht="15" x14ac:dyDescent="0.25">
      <c r="V5257"/>
    </row>
    <row r="5258" spans="22:22" ht="15" x14ac:dyDescent="0.25">
      <c r="V5258"/>
    </row>
    <row r="5259" spans="22:22" ht="15" x14ac:dyDescent="0.25">
      <c r="V5259"/>
    </row>
    <row r="5260" spans="22:22" ht="15" x14ac:dyDescent="0.25">
      <c r="V5260"/>
    </row>
    <row r="5261" spans="22:22" ht="15" x14ac:dyDescent="0.25">
      <c r="V5261"/>
    </row>
    <row r="5262" spans="22:22" ht="15" x14ac:dyDescent="0.25">
      <c r="V5262"/>
    </row>
    <row r="5263" spans="22:22" ht="15" x14ac:dyDescent="0.25">
      <c r="V5263"/>
    </row>
    <row r="5264" spans="22:22" ht="15" x14ac:dyDescent="0.25">
      <c r="V5264"/>
    </row>
    <row r="5265" spans="22:22" ht="15" x14ac:dyDescent="0.25">
      <c r="V5265"/>
    </row>
    <row r="5266" spans="22:22" ht="15" x14ac:dyDescent="0.25">
      <c r="V5266"/>
    </row>
    <row r="5267" spans="22:22" ht="15" x14ac:dyDescent="0.25">
      <c r="V5267"/>
    </row>
    <row r="5268" spans="22:22" ht="15" x14ac:dyDescent="0.25">
      <c r="V5268"/>
    </row>
    <row r="5269" spans="22:22" ht="15" x14ac:dyDescent="0.25">
      <c r="V5269"/>
    </row>
    <row r="5270" spans="22:22" ht="15" x14ac:dyDescent="0.25">
      <c r="V5270"/>
    </row>
    <row r="5271" spans="22:22" ht="15" x14ac:dyDescent="0.25">
      <c r="V5271"/>
    </row>
    <row r="5272" spans="22:22" ht="15" x14ac:dyDescent="0.25">
      <c r="V5272"/>
    </row>
    <row r="5273" spans="22:22" ht="15" x14ac:dyDescent="0.25">
      <c r="V5273"/>
    </row>
    <row r="5274" spans="22:22" ht="15" x14ac:dyDescent="0.25">
      <c r="V5274"/>
    </row>
    <row r="5275" spans="22:22" ht="15" x14ac:dyDescent="0.25">
      <c r="V5275"/>
    </row>
    <row r="5276" spans="22:22" ht="15" x14ac:dyDescent="0.25">
      <c r="V5276"/>
    </row>
    <row r="5277" spans="22:22" ht="15" x14ac:dyDescent="0.25">
      <c r="V5277"/>
    </row>
    <row r="5278" spans="22:22" ht="15" x14ac:dyDescent="0.25">
      <c r="V5278"/>
    </row>
    <row r="5279" spans="22:22" ht="15" x14ac:dyDescent="0.25">
      <c r="V5279"/>
    </row>
    <row r="5280" spans="22:22" ht="15" x14ac:dyDescent="0.25">
      <c r="V5280"/>
    </row>
    <row r="5281" spans="22:22" ht="15" x14ac:dyDescent="0.25">
      <c r="V5281"/>
    </row>
    <row r="5282" spans="22:22" ht="15" x14ac:dyDescent="0.25">
      <c r="V5282"/>
    </row>
    <row r="5283" spans="22:22" ht="15" x14ac:dyDescent="0.25">
      <c r="V5283"/>
    </row>
    <row r="5284" spans="22:22" ht="15" x14ac:dyDescent="0.25">
      <c r="V5284"/>
    </row>
    <row r="5285" spans="22:22" ht="15" x14ac:dyDescent="0.25">
      <c r="V5285"/>
    </row>
    <row r="5286" spans="22:22" ht="15" x14ac:dyDescent="0.25">
      <c r="V5286"/>
    </row>
    <row r="5287" spans="22:22" ht="15" x14ac:dyDescent="0.25">
      <c r="V5287"/>
    </row>
    <row r="5288" spans="22:22" ht="15" x14ac:dyDescent="0.25">
      <c r="V5288"/>
    </row>
    <row r="5289" spans="22:22" ht="15" x14ac:dyDescent="0.25">
      <c r="V5289"/>
    </row>
    <row r="5290" spans="22:22" ht="15" x14ac:dyDescent="0.25">
      <c r="V5290"/>
    </row>
    <row r="5291" spans="22:22" ht="15" x14ac:dyDescent="0.25">
      <c r="V5291"/>
    </row>
    <row r="5292" spans="22:22" ht="15" x14ac:dyDescent="0.25">
      <c r="V5292"/>
    </row>
    <row r="5293" spans="22:22" ht="15" x14ac:dyDescent="0.25">
      <c r="V5293"/>
    </row>
    <row r="5294" spans="22:22" ht="15" x14ac:dyDescent="0.25">
      <c r="V5294"/>
    </row>
    <row r="5295" spans="22:22" ht="15" x14ac:dyDescent="0.25">
      <c r="V5295"/>
    </row>
    <row r="5296" spans="22:22" ht="15" x14ac:dyDescent="0.25">
      <c r="V5296"/>
    </row>
    <row r="5297" spans="22:22" ht="15" x14ac:dyDescent="0.25">
      <c r="V5297"/>
    </row>
    <row r="5298" spans="22:22" ht="15" x14ac:dyDescent="0.25">
      <c r="V5298"/>
    </row>
    <row r="5299" spans="22:22" ht="15" x14ac:dyDescent="0.25">
      <c r="V5299"/>
    </row>
    <row r="5300" spans="22:22" ht="15" x14ac:dyDescent="0.25">
      <c r="V5300"/>
    </row>
    <row r="5301" spans="22:22" ht="15" x14ac:dyDescent="0.25">
      <c r="V5301"/>
    </row>
    <row r="5302" spans="22:22" ht="15" x14ac:dyDescent="0.25">
      <c r="V5302"/>
    </row>
    <row r="5303" spans="22:22" ht="15" x14ac:dyDescent="0.25">
      <c r="V5303"/>
    </row>
    <row r="5304" spans="22:22" ht="15" x14ac:dyDescent="0.25">
      <c r="V5304"/>
    </row>
    <row r="5305" spans="22:22" ht="15" x14ac:dyDescent="0.25">
      <c r="V5305"/>
    </row>
    <row r="5306" spans="22:22" ht="15" x14ac:dyDescent="0.25">
      <c r="V5306"/>
    </row>
    <row r="5307" spans="22:22" ht="15" x14ac:dyDescent="0.25">
      <c r="V5307"/>
    </row>
    <row r="5308" spans="22:22" ht="15" x14ac:dyDescent="0.25">
      <c r="V5308"/>
    </row>
    <row r="5309" spans="22:22" ht="15" x14ac:dyDescent="0.25">
      <c r="V5309"/>
    </row>
    <row r="5310" spans="22:22" ht="15" x14ac:dyDescent="0.25">
      <c r="V5310"/>
    </row>
    <row r="5311" spans="22:22" ht="15" x14ac:dyDescent="0.25">
      <c r="V5311"/>
    </row>
    <row r="5312" spans="22:22" ht="15" x14ac:dyDescent="0.25">
      <c r="V5312"/>
    </row>
    <row r="5313" spans="22:22" ht="15" x14ac:dyDescent="0.25">
      <c r="V5313"/>
    </row>
    <row r="5314" spans="22:22" ht="15" x14ac:dyDescent="0.25">
      <c r="V5314"/>
    </row>
    <row r="5315" spans="22:22" ht="15" x14ac:dyDescent="0.25">
      <c r="V5315"/>
    </row>
    <row r="5316" spans="22:22" ht="15" x14ac:dyDescent="0.25">
      <c r="V5316"/>
    </row>
    <row r="5317" spans="22:22" ht="15" x14ac:dyDescent="0.25">
      <c r="V5317"/>
    </row>
    <row r="5318" spans="22:22" ht="15" x14ac:dyDescent="0.25">
      <c r="V5318"/>
    </row>
    <row r="5319" spans="22:22" ht="15" x14ac:dyDescent="0.25">
      <c r="V5319"/>
    </row>
    <row r="5320" spans="22:22" ht="15" x14ac:dyDescent="0.25">
      <c r="V5320"/>
    </row>
    <row r="5321" spans="22:22" ht="15" x14ac:dyDescent="0.25">
      <c r="V5321"/>
    </row>
    <row r="5322" spans="22:22" ht="15" x14ac:dyDescent="0.25">
      <c r="V5322"/>
    </row>
    <row r="5323" spans="22:22" ht="15" x14ac:dyDescent="0.25">
      <c r="V5323"/>
    </row>
    <row r="5324" spans="22:22" ht="15" x14ac:dyDescent="0.25">
      <c r="V5324"/>
    </row>
    <row r="5325" spans="22:22" ht="15" x14ac:dyDescent="0.25">
      <c r="V5325"/>
    </row>
    <row r="5326" spans="22:22" ht="15" x14ac:dyDescent="0.25">
      <c r="V5326"/>
    </row>
    <row r="5327" spans="22:22" ht="15" x14ac:dyDescent="0.25">
      <c r="V5327"/>
    </row>
    <row r="5328" spans="22:22" ht="15" x14ac:dyDescent="0.25">
      <c r="V5328"/>
    </row>
    <row r="5329" spans="22:22" ht="15" x14ac:dyDescent="0.25">
      <c r="V5329"/>
    </row>
    <row r="5330" spans="22:22" ht="15" x14ac:dyDescent="0.25">
      <c r="V5330"/>
    </row>
    <row r="5331" spans="22:22" ht="15" x14ac:dyDescent="0.25">
      <c r="V5331"/>
    </row>
    <row r="5332" spans="22:22" ht="15" x14ac:dyDescent="0.25">
      <c r="V5332"/>
    </row>
    <row r="5333" spans="22:22" ht="15" x14ac:dyDescent="0.25">
      <c r="V5333"/>
    </row>
    <row r="5334" spans="22:22" ht="15" x14ac:dyDescent="0.25">
      <c r="V5334"/>
    </row>
    <row r="5335" spans="22:22" ht="15" x14ac:dyDescent="0.25">
      <c r="V5335"/>
    </row>
    <row r="5336" spans="22:22" ht="15" x14ac:dyDescent="0.25">
      <c r="V5336"/>
    </row>
    <row r="5337" spans="22:22" ht="15" x14ac:dyDescent="0.25">
      <c r="V5337"/>
    </row>
    <row r="5338" spans="22:22" ht="15" x14ac:dyDescent="0.25">
      <c r="V5338"/>
    </row>
    <row r="5339" spans="22:22" ht="15" x14ac:dyDescent="0.25">
      <c r="V5339"/>
    </row>
    <row r="5340" spans="22:22" ht="15" x14ac:dyDescent="0.25">
      <c r="V5340"/>
    </row>
    <row r="5341" spans="22:22" ht="15" x14ac:dyDescent="0.25">
      <c r="V5341"/>
    </row>
    <row r="5342" spans="22:22" ht="15" x14ac:dyDescent="0.25">
      <c r="V5342"/>
    </row>
    <row r="5343" spans="22:22" ht="15" x14ac:dyDescent="0.25">
      <c r="V5343"/>
    </row>
    <row r="5344" spans="22:22" ht="15" x14ac:dyDescent="0.25">
      <c r="V5344"/>
    </row>
    <row r="5345" spans="22:22" ht="15" x14ac:dyDescent="0.25">
      <c r="V5345"/>
    </row>
    <row r="5346" spans="22:22" ht="15" x14ac:dyDescent="0.25">
      <c r="V5346"/>
    </row>
    <row r="5347" spans="22:22" ht="15" x14ac:dyDescent="0.25">
      <c r="V5347"/>
    </row>
    <row r="5348" spans="22:22" ht="15" x14ac:dyDescent="0.25">
      <c r="V5348"/>
    </row>
    <row r="5349" spans="22:22" ht="15" x14ac:dyDescent="0.25">
      <c r="V5349"/>
    </row>
    <row r="5350" spans="22:22" ht="15" x14ac:dyDescent="0.25">
      <c r="V5350"/>
    </row>
    <row r="5351" spans="22:22" ht="15" x14ac:dyDescent="0.25">
      <c r="V5351"/>
    </row>
    <row r="5352" spans="22:22" ht="15" x14ac:dyDescent="0.25">
      <c r="V5352"/>
    </row>
    <row r="5353" spans="22:22" ht="15" x14ac:dyDescent="0.25">
      <c r="V5353"/>
    </row>
    <row r="5354" spans="22:22" ht="15" x14ac:dyDescent="0.25">
      <c r="V5354"/>
    </row>
    <row r="5355" spans="22:22" ht="15" x14ac:dyDescent="0.25">
      <c r="V5355"/>
    </row>
    <row r="5356" spans="22:22" ht="15" x14ac:dyDescent="0.25">
      <c r="V5356"/>
    </row>
    <row r="5357" spans="22:22" ht="15" x14ac:dyDescent="0.25">
      <c r="V5357"/>
    </row>
    <row r="5358" spans="22:22" ht="15" x14ac:dyDescent="0.25">
      <c r="V5358"/>
    </row>
    <row r="5359" spans="22:22" ht="15" x14ac:dyDescent="0.25">
      <c r="V5359"/>
    </row>
    <row r="5360" spans="22:22" ht="15" x14ac:dyDescent="0.25">
      <c r="V5360"/>
    </row>
    <row r="5361" spans="22:22" ht="15" x14ac:dyDescent="0.25">
      <c r="V5361"/>
    </row>
    <row r="5362" spans="22:22" ht="15" x14ac:dyDescent="0.25">
      <c r="V5362"/>
    </row>
    <row r="5363" spans="22:22" ht="15" x14ac:dyDescent="0.25">
      <c r="V5363"/>
    </row>
    <row r="5364" spans="22:22" ht="15" x14ac:dyDescent="0.25">
      <c r="V5364"/>
    </row>
    <row r="5365" spans="22:22" ht="15" x14ac:dyDescent="0.25">
      <c r="V5365"/>
    </row>
    <row r="5366" spans="22:22" ht="15" x14ac:dyDescent="0.25">
      <c r="V5366"/>
    </row>
    <row r="5367" spans="22:22" ht="15" x14ac:dyDescent="0.25">
      <c r="V5367"/>
    </row>
    <row r="5368" spans="22:22" ht="15" x14ac:dyDescent="0.25">
      <c r="V5368"/>
    </row>
    <row r="5369" spans="22:22" ht="15" x14ac:dyDescent="0.25">
      <c r="V5369"/>
    </row>
    <row r="5370" spans="22:22" ht="15" x14ac:dyDescent="0.25">
      <c r="V5370"/>
    </row>
    <row r="5371" spans="22:22" ht="15" x14ac:dyDescent="0.25">
      <c r="V5371"/>
    </row>
    <row r="5372" spans="22:22" ht="15" x14ac:dyDescent="0.25">
      <c r="V5372"/>
    </row>
    <row r="5373" spans="22:22" ht="15" x14ac:dyDescent="0.25">
      <c r="V5373"/>
    </row>
    <row r="5374" spans="22:22" ht="15" x14ac:dyDescent="0.25">
      <c r="V5374"/>
    </row>
    <row r="5375" spans="22:22" ht="15" x14ac:dyDescent="0.25">
      <c r="V5375"/>
    </row>
    <row r="5376" spans="22:22" ht="15" x14ac:dyDescent="0.25">
      <c r="V5376"/>
    </row>
    <row r="5377" spans="22:22" ht="15" x14ac:dyDescent="0.25">
      <c r="V5377"/>
    </row>
    <row r="5378" spans="22:22" ht="15" x14ac:dyDescent="0.25">
      <c r="V5378"/>
    </row>
    <row r="5379" spans="22:22" ht="15" x14ac:dyDescent="0.25">
      <c r="V5379"/>
    </row>
    <row r="5380" spans="22:22" ht="15" x14ac:dyDescent="0.25">
      <c r="V5380"/>
    </row>
    <row r="5381" spans="22:22" ht="15" x14ac:dyDescent="0.25">
      <c r="V5381"/>
    </row>
    <row r="5382" spans="22:22" ht="15" x14ac:dyDescent="0.25">
      <c r="V5382"/>
    </row>
    <row r="5383" spans="22:22" ht="15" x14ac:dyDescent="0.25">
      <c r="V5383"/>
    </row>
    <row r="5384" spans="22:22" ht="15" x14ac:dyDescent="0.25">
      <c r="V5384"/>
    </row>
    <row r="5385" spans="22:22" ht="15" x14ac:dyDescent="0.25">
      <c r="V5385"/>
    </row>
    <row r="5386" spans="22:22" ht="15" x14ac:dyDescent="0.25">
      <c r="V5386"/>
    </row>
    <row r="5387" spans="22:22" ht="15" x14ac:dyDescent="0.25">
      <c r="V5387"/>
    </row>
    <row r="5388" spans="22:22" ht="15" x14ac:dyDescent="0.25">
      <c r="V5388"/>
    </row>
    <row r="5389" spans="22:22" ht="15" x14ac:dyDescent="0.25">
      <c r="V5389"/>
    </row>
    <row r="5390" spans="22:22" ht="15" x14ac:dyDescent="0.25">
      <c r="V5390"/>
    </row>
    <row r="5391" spans="22:22" ht="15" x14ac:dyDescent="0.25">
      <c r="V5391"/>
    </row>
    <row r="5392" spans="22:22" ht="15" x14ac:dyDescent="0.25">
      <c r="V5392"/>
    </row>
    <row r="5393" spans="22:22" ht="15" x14ac:dyDescent="0.25">
      <c r="V5393"/>
    </row>
    <row r="5394" spans="22:22" ht="15" x14ac:dyDescent="0.25">
      <c r="V5394"/>
    </row>
    <row r="5395" spans="22:22" ht="15" x14ac:dyDescent="0.25">
      <c r="V5395"/>
    </row>
    <row r="5396" spans="22:22" ht="15" x14ac:dyDescent="0.25">
      <c r="V5396"/>
    </row>
    <row r="5397" spans="22:22" ht="15" x14ac:dyDescent="0.25">
      <c r="V5397"/>
    </row>
    <row r="5398" spans="22:22" ht="15" x14ac:dyDescent="0.25">
      <c r="V5398"/>
    </row>
    <row r="5399" spans="22:22" ht="15" x14ac:dyDescent="0.25">
      <c r="V5399"/>
    </row>
    <row r="5400" spans="22:22" ht="15" x14ac:dyDescent="0.25">
      <c r="V5400"/>
    </row>
    <row r="5401" spans="22:22" ht="15" x14ac:dyDescent="0.25">
      <c r="V5401"/>
    </row>
    <row r="5402" spans="22:22" ht="15" x14ac:dyDescent="0.25">
      <c r="V5402"/>
    </row>
    <row r="5403" spans="22:22" ht="15" x14ac:dyDescent="0.25">
      <c r="V5403"/>
    </row>
    <row r="5404" spans="22:22" ht="15" x14ac:dyDescent="0.25">
      <c r="V5404"/>
    </row>
    <row r="5405" spans="22:22" ht="15" x14ac:dyDescent="0.25">
      <c r="V5405"/>
    </row>
    <row r="5406" spans="22:22" ht="15" x14ac:dyDescent="0.25">
      <c r="V5406"/>
    </row>
    <row r="5407" spans="22:22" ht="15" x14ac:dyDescent="0.25">
      <c r="V5407"/>
    </row>
    <row r="5408" spans="22:22" ht="15" x14ac:dyDescent="0.25">
      <c r="V5408"/>
    </row>
    <row r="5409" spans="22:22" ht="15" x14ac:dyDescent="0.25">
      <c r="V5409"/>
    </row>
    <row r="5410" spans="22:22" ht="15" x14ac:dyDescent="0.25">
      <c r="V5410"/>
    </row>
    <row r="5411" spans="22:22" ht="15" x14ac:dyDescent="0.25">
      <c r="V5411"/>
    </row>
    <row r="5412" spans="22:22" ht="15" x14ac:dyDescent="0.25">
      <c r="V5412"/>
    </row>
    <row r="5413" spans="22:22" ht="15" x14ac:dyDescent="0.25">
      <c r="V5413"/>
    </row>
    <row r="5414" spans="22:22" ht="15" x14ac:dyDescent="0.25">
      <c r="V5414"/>
    </row>
    <row r="5415" spans="22:22" ht="15" x14ac:dyDescent="0.25">
      <c r="V5415"/>
    </row>
    <row r="5416" spans="22:22" ht="15" x14ac:dyDescent="0.25">
      <c r="V5416"/>
    </row>
    <row r="5417" spans="22:22" ht="15" x14ac:dyDescent="0.25">
      <c r="V5417"/>
    </row>
    <row r="5418" spans="22:22" ht="15" x14ac:dyDescent="0.25">
      <c r="V5418"/>
    </row>
    <row r="5419" spans="22:22" ht="15" x14ac:dyDescent="0.25">
      <c r="V5419"/>
    </row>
    <row r="5420" spans="22:22" ht="15" x14ac:dyDescent="0.25">
      <c r="V5420"/>
    </row>
    <row r="5421" spans="22:22" ht="15" x14ac:dyDescent="0.25">
      <c r="V5421"/>
    </row>
    <row r="5422" spans="22:22" ht="15" x14ac:dyDescent="0.25">
      <c r="V5422"/>
    </row>
    <row r="5423" spans="22:22" ht="15" x14ac:dyDescent="0.25">
      <c r="V5423"/>
    </row>
    <row r="5424" spans="22:22" ht="15" x14ac:dyDescent="0.25">
      <c r="V5424"/>
    </row>
    <row r="5425" spans="22:22" ht="15" x14ac:dyDescent="0.25">
      <c r="V5425"/>
    </row>
    <row r="5426" spans="22:22" ht="15" x14ac:dyDescent="0.25">
      <c r="V5426"/>
    </row>
    <row r="5427" spans="22:22" ht="15" x14ac:dyDescent="0.25">
      <c r="V5427"/>
    </row>
    <row r="5428" spans="22:22" ht="15" x14ac:dyDescent="0.25">
      <c r="V5428"/>
    </row>
    <row r="5429" spans="22:22" ht="15" x14ac:dyDescent="0.25">
      <c r="V5429"/>
    </row>
    <row r="5430" spans="22:22" ht="15" x14ac:dyDescent="0.25">
      <c r="V5430"/>
    </row>
    <row r="5431" spans="22:22" ht="15" x14ac:dyDescent="0.25">
      <c r="V5431"/>
    </row>
    <row r="5432" spans="22:22" ht="15" x14ac:dyDescent="0.25">
      <c r="V5432"/>
    </row>
    <row r="5433" spans="22:22" ht="15" x14ac:dyDescent="0.25">
      <c r="V5433"/>
    </row>
    <row r="5434" spans="22:22" ht="15" x14ac:dyDescent="0.25">
      <c r="V5434"/>
    </row>
    <row r="5435" spans="22:22" ht="15" x14ac:dyDescent="0.25">
      <c r="V5435"/>
    </row>
    <row r="5436" spans="22:22" ht="15" x14ac:dyDescent="0.25">
      <c r="V5436"/>
    </row>
    <row r="5437" spans="22:22" ht="15" x14ac:dyDescent="0.25">
      <c r="V5437"/>
    </row>
    <row r="5438" spans="22:22" ht="15" x14ac:dyDescent="0.25">
      <c r="V5438"/>
    </row>
    <row r="5439" spans="22:22" ht="15" x14ac:dyDescent="0.25">
      <c r="V5439"/>
    </row>
    <row r="5440" spans="22:22" ht="15" x14ac:dyDescent="0.25">
      <c r="V5440"/>
    </row>
    <row r="5441" spans="22:22" ht="15" x14ac:dyDescent="0.25">
      <c r="V5441"/>
    </row>
    <row r="5442" spans="22:22" ht="15" x14ac:dyDescent="0.25">
      <c r="V5442"/>
    </row>
    <row r="5443" spans="22:22" ht="15" x14ac:dyDescent="0.25">
      <c r="V5443"/>
    </row>
    <row r="5444" spans="22:22" ht="15" x14ac:dyDescent="0.25">
      <c r="V5444"/>
    </row>
    <row r="5445" spans="22:22" ht="15" x14ac:dyDescent="0.25">
      <c r="V5445"/>
    </row>
    <row r="5446" spans="22:22" ht="15" x14ac:dyDescent="0.25">
      <c r="V5446"/>
    </row>
    <row r="5447" spans="22:22" ht="15" x14ac:dyDescent="0.25">
      <c r="V5447"/>
    </row>
    <row r="5448" spans="22:22" ht="15" x14ac:dyDescent="0.25">
      <c r="V5448"/>
    </row>
    <row r="5449" spans="22:22" ht="15" x14ac:dyDescent="0.25">
      <c r="V5449"/>
    </row>
    <row r="5450" spans="22:22" ht="15" x14ac:dyDescent="0.25">
      <c r="V5450"/>
    </row>
    <row r="5451" spans="22:22" ht="15" x14ac:dyDescent="0.25">
      <c r="V5451"/>
    </row>
    <row r="5452" spans="22:22" ht="15" x14ac:dyDescent="0.25">
      <c r="V5452"/>
    </row>
    <row r="5453" spans="22:22" ht="15" x14ac:dyDescent="0.25">
      <c r="V5453"/>
    </row>
    <row r="5454" spans="22:22" ht="15" x14ac:dyDescent="0.25">
      <c r="V5454"/>
    </row>
    <row r="5455" spans="22:22" ht="15" x14ac:dyDescent="0.25">
      <c r="V5455"/>
    </row>
    <row r="5456" spans="22:22" ht="15" x14ac:dyDescent="0.25">
      <c r="V5456"/>
    </row>
    <row r="5457" spans="22:22" ht="15" x14ac:dyDescent="0.25">
      <c r="V5457"/>
    </row>
    <row r="5458" spans="22:22" ht="15" x14ac:dyDescent="0.25">
      <c r="V5458"/>
    </row>
    <row r="5459" spans="22:22" ht="15" x14ac:dyDescent="0.25">
      <c r="V5459"/>
    </row>
    <row r="5460" spans="22:22" ht="15" x14ac:dyDescent="0.25">
      <c r="V5460"/>
    </row>
    <row r="5461" spans="22:22" ht="15" x14ac:dyDescent="0.25">
      <c r="V5461"/>
    </row>
    <row r="5462" spans="22:22" ht="15" x14ac:dyDescent="0.25">
      <c r="V5462"/>
    </row>
    <row r="5463" spans="22:22" ht="15" x14ac:dyDescent="0.25">
      <c r="V5463"/>
    </row>
    <row r="5464" spans="22:22" ht="15" x14ac:dyDescent="0.25">
      <c r="V5464"/>
    </row>
    <row r="5465" spans="22:22" ht="15" x14ac:dyDescent="0.25">
      <c r="V5465"/>
    </row>
    <row r="5466" spans="22:22" ht="15" x14ac:dyDescent="0.25">
      <c r="V5466"/>
    </row>
    <row r="5467" spans="22:22" ht="15" x14ac:dyDescent="0.25">
      <c r="V5467"/>
    </row>
    <row r="5468" spans="22:22" ht="15" x14ac:dyDescent="0.25">
      <c r="V5468"/>
    </row>
    <row r="5469" spans="22:22" ht="15" x14ac:dyDescent="0.25">
      <c r="V5469"/>
    </row>
    <row r="5470" spans="22:22" ht="15" x14ac:dyDescent="0.25">
      <c r="V5470"/>
    </row>
    <row r="5471" spans="22:22" ht="15" x14ac:dyDescent="0.25">
      <c r="V5471"/>
    </row>
    <row r="5472" spans="22:22" ht="15" x14ac:dyDescent="0.25">
      <c r="V5472"/>
    </row>
    <row r="5473" spans="22:22" ht="15" x14ac:dyDescent="0.25">
      <c r="V5473"/>
    </row>
    <row r="5474" spans="22:22" ht="15" x14ac:dyDescent="0.25">
      <c r="V5474"/>
    </row>
    <row r="5475" spans="22:22" ht="15" x14ac:dyDescent="0.25">
      <c r="V5475"/>
    </row>
    <row r="5476" spans="22:22" ht="15" x14ac:dyDescent="0.25">
      <c r="V5476"/>
    </row>
    <row r="5477" spans="22:22" ht="15" x14ac:dyDescent="0.25">
      <c r="V5477"/>
    </row>
    <row r="5478" spans="22:22" ht="15" x14ac:dyDescent="0.25">
      <c r="V5478"/>
    </row>
    <row r="5479" spans="22:22" ht="15" x14ac:dyDescent="0.25">
      <c r="V5479"/>
    </row>
    <row r="5480" spans="22:22" ht="15" x14ac:dyDescent="0.25">
      <c r="V5480"/>
    </row>
    <row r="5481" spans="22:22" ht="15" x14ac:dyDescent="0.25">
      <c r="V5481"/>
    </row>
    <row r="5482" spans="22:22" ht="15" x14ac:dyDescent="0.25">
      <c r="V5482"/>
    </row>
    <row r="5483" spans="22:22" ht="15" x14ac:dyDescent="0.25">
      <c r="V5483"/>
    </row>
    <row r="5484" spans="22:22" ht="15" x14ac:dyDescent="0.25">
      <c r="V5484"/>
    </row>
    <row r="5485" spans="22:22" ht="15" x14ac:dyDescent="0.25">
      <c r="V5485"/>
    </row>
    <row r="5486" spans="22:22" ht="15" x14ac:dyDescent="0.25">
      <c r="V5486"/>
    </row>
    <row r="5487" spans="22:22" ht="15" x14ac:dyDescent="0.25">
      <c r="V5487"/>
    </row>
    <row r="5488" spans="22:22" ht="15" x14ac:dyDescent="0.25">
      <c r="V5488"/>
    </row>
    <row r="5489" spans="22:22" ht="15" x14ac:dyDescent="0.25">
      <c r="V5489"/>
    </row>
    <row r="5490" spans="22:22" ht="15" x14ac:dyDescent="0.25">
      <c r="V5490"/>
    </row>
    <row r="5491" spans="22:22" ht="15" x14ac:dyDescent="0.25">
      <c r="V5491"/>
    </row>
    <row r="5492" spans="22:22" ht="15" x14ac:dyDescent="0.25">
      <c r="V5492"/>
    </row>
    <row r="5493" spans="22:22" ht="15" x14ac:dyDescent="0.25">
      <c r="V5493"/>
    </row>
    <row r="5494" spans="22:22" ht="15" x14ac:dyDescent="0.25">
      <c r="V5494"/>
    </row>
    <row r="5495" spans="22:22" ht="15" x14ac:dyDescent="0.25">
      <c r="V5495"/>
    </row>
    <row r="5496" spans="22:22" ht="15" x14ac:dyDescent="0.25">
      <c r="V5496"/>
    </row>
    <row r="5497" spans="22:22" ht="15" x14ac:dyDescent="0.25">
      <c r="V5497"/>
    </row>
    <row r="5498" spans="22:22" ht="15" x14ac:dyDescent="0.25">
      <c r="V5498"/>
    </row>
    <row r="5499" spans="22:22" ht="15" x14ac:dyDescent="0.25">
      <c r="V5499"/>
    </row>
    <row r="5500" spans="22:22" ht="15" x14ac:dyDescent="0.25">
      <c r="V5500"/>
    </row>
    <row r="5501" spans="22:22" ht="15" x14ac:dyDescent="0.25">
      <c r="V5501"/>
    </row>
    <row r="5502" spans="22:22" ht="15" x14ac:dyDescent="0.25">
      <c r="V5502"/>
    </row>
    <row r="5503" spans="22:22" ht="15" x14ac:dyDescent="0.25">
      <c r="V5503"/>
    </row>
    <row r="5504" spans="22:22" ht="15" x14ac:dyDescent="0.25">
      <c r="V5504"/>
    </row>
    <row r="5505" spans="22:22" ht="15" x14ac:dyDescent="0.25">
      <c r="V5505"/>
    </row>
    <row r="5506" spans="22:22" ht="15" x14ac:dyDescent="0.25">
      <c r="V5506"/>
    </row>
    <row r="5507" spans="22:22" ht="15" x14ac:dyDescent="0.25">
      <c r="V5507"/>
    </row>
    <row r="5508" spans="22:22" ht="15" x14ac:dyDescent="0.25">
      <c r="V5508"/>
    </row>
    <row r="5509" spans="22:22" ht="15" x14ac:dyDescent="0.25">
      <c r="V5509"/>
    </row>
    <row r="5510" spans="22:22" ht="15" x14ac:dyDescent="0.25">
      <c r="V5510"/>
    </row>
    <row r="5511" spans="22:22" ht="15" x14ac:dyDescent="0.25">
      <c r="V5511"/>
    </row>
    <row r="5512" spans="22:22" ht="15" x14ac:dyDescent="0.25">
      <c r="V5512"/>
    </row>
    <row r="5513" spans="22:22" ht="15" x14ac:dyDescent="0.25">
      <c r="V5513"/>
    </row>
    <row r="5514" spans="22:22" ht="15" x14ac:dyDescent="0.25">
      <c r="V5514"/>
    </row>
    <row r="5515" spans="22:22" ht="15" x14ac:dyDescent="0.25">
      <c r="V5515"/>
    </row>
    <row r="5516" spans="22:22" ht="15" x14ac:dyDescent="0.25">
      <c r="V5516"/>
    </row>
    <row r="5517" spans="22:22" ht="15" x14ac:dyDescent="0.25">
      <c r="V5517"/>
    </row>
    <row r="5518" spans="22:22" ht="15" x14ac:dyDescent="0.25">
      <c r="V5518"/>
    </row>
    <row r="5519" spans="22:22" ht="15" x14ac:dyDescent="0.25">
      <c r="V5519"/>
    </row>
    <row r="5520" spans="22:22" ht="15" x14ac:dyDescent="0.25">
      <c r="V5520"/>
    </row>
    <row r="5521" spans="22:22" ht="15" x14ac:dyDescent="0.25">
      <c r="V5521"/>
    </row>
    <row r="5522" spans="22:22" ht="15" x14ac:dyDescent="0.25">
      <c r="V5522"/>
    </row>
    <row r="5523" spans="22:22" ht="15" x14ac:dyDescent="0.25">
      <c r="V5523"/>
    </row>
    <row r="5524" spans="22:22" ht="15" x14ac:dyDescent="0.25">
      <c r="V5524"/>
    </row>
    <row r="5525" spans="22:22" ht="15" x14ac:dyDescent="0.25">
      <c r="V5525"/>
    </row>
    <row r="5526" spans="22:22" ht="15" x14ac:dyDescent="0.25">
      <c r="V5526"/>
    </row>
    <row r="5527" spans="22:22" ht="15" x14ac:dyDescent="0.25">
      <c r="V5527"/>
    </row>
    <row r="5528" spans="22:22" ht="15" x14ac:dyDescent="0.25">
      <c r="V5528"/>
    </row>
    <row r="5529" spans="22:22" ht="15" x14ac:dyDescent="0.25">
      <c r="V5529"/>
    </row>
    <row r="5530" spans="22:22" ht="15" x14ac:dyDescent="0.25">
      <c r="V5530"/>
    </row>
    <row r="5531" spans="22:22" ht="15" x14ac:dyDescent="0.25">
      <c r="V5531"/>
    </row>
    <row r="5532" spans="22:22" ht="15" x14ac:dyDescent="0.25">
      <c r="V5532"/>
    </row>
    <row r="5533" spans="22:22" ht="15" x14ac:dyDescent="0.25">
      <c r="V5533"/>
    </row>
    <row r="5534" spans="22:22" ht="15" x14ac:dyDescent="0.25">
      <c r="V5534"/>
    </row>
    <row r="5535" spans="22:22" ht="15" x14ac:dyDescent="0.25">
      <c r="V5535"/>
    </row>
    <row r="5536" spans="22:22" ht="15" x14ac:dyDescent="0.25">
      <c r="V5536"/>
    </row>
    <row r="5537" spans="22:22" ht="15" x14ac:dyDescent="0.25">
      <c r="V5537"/>
    </row>
    <row r="5538" spans="22:22" ht="15" x14ac:dyDescent="0.25">
      <c r="V5538"/>
    </row>
    <row r="5539" spans="22:22" ht="15" x14ac:dyDescent="0.25">
      <c r="V5539"/>
    </row>
    <row r="5540" spans="22:22" ht="15" x14ac:dyDescent="0.25">
      <c r="V5540"/>
    </row>
    <row r="5541" spans="22:22" ht="15" x14ac:dyDescent="0.25">
      <c r="V5541"/>
    </row>
    <row r="5542" spans="22:22" ht="15" x14ac:dyDescent="0.25">
      <c r="V5542"/>
    </row>
    <row r="5543" spans="22:22" ht="15" x14ac:dyDescent="0.25">
      <c r="V5543"/>
    </row>
    <row r="5544" spans="22:22" ht="15" x14ac:dyDescent="0.25">
      <c r="V5544"/>
    </row>
    <row r="5545" spans="22:22" ht="15" x14ac:dyDescent="0.25">
      <c r="V5545"/>
    </row>
    <row r="5546" spans="22:22" ht="15" x14ac:dyDescent="0.25">
      <c r="V5546"/>
    </row>
    <row r="5547" spans="22:22" ht="15" x14ac:dyDescent="0.25">
      <c r="V5547"/>
    </row>
    <row r="5548" spans="22:22" ht="15" x14ac:dyDescent="0.25">
      <c r="V5548"/>
    </row>
    <row r="5549" spans="22:22" ht="15" x14ac:dyDescent="0.25">
      <c r="V5549"/>
    </row>
    <row r="5550" spans="22:22" ht="15" x14ac:dyDescent="0.25">
      <c r="V5550"/>
    </row>
    <row r="5551" spans="22:22" ht="15" x14ac:dyDescent="0.25">
      <c r="V5551"/>
    </row>
    <row r="5552" spans="22:22" ht="15" x14ac:dyDescent="0.25">
      <c r="V5552"/>
    </row>
    <row r="5553" spans="22:22" ht="15" x14ac:dyDescent="0.25">
      <c r="V5553"/>
    </row>
    <row r="5554" spans="22:22" ht="15" x14ac:dyDescent="0.25">
      <c r="V5554"/>
    </row>
    <row r="5555" spans="22:22" ht="15" x14ac:dyDescent="0.25">
      <c r="V5555"/>
    </row>
    <row r="5556" spans="22:22" ht="15" x14ac:dyDescent="0.25">
      <c r="V5556"/>
    </row>
    <row r="5557" spans="22:22" ht="15" x14ac:dyDescent="0.25">
      <c r="V5557"/>
    </row>
    <row r="5558" spans="22:22" ht="15" x14ac:dyDescent="0.25">
      <c r="V5558"/>
    </row>
    <row r="5559" spans="22:22" ht="15" x14ac:dyDescent="0.25">
      <c r="V5559"/>
    </row>
    <row r="5560" spans="22:22" ht="15" x14ac:dyDescent="0.25">
      <c r="V5560"/>
    </row>
    <row r="5561" spans="22:22" ht="15" x14ac:dyDescent="0.25">
      <c r="V5561"/>
    </row>
    <row r="5562" spans="22:22" ht="15" x14ac:dyDescent="0.25">
      <c r="V5562"/>
    </row>
    <row r="5563" spans="22:22" ht="15" x14ac:dyDescent="0.25">
      <c r="V5563"/>
    </row>
    <row r="5564" spans="22:22" ht="15" x14ac:dyDescent="0.25">
      <c r="V5564"/>
    </row>
    <row r="5565" spans="22:22" ht="15" x14ac:dyDescent="0.25">
      <c r="V5565"/>
    </row>
    <row r="5566" spans="22:22" ht="15" x14ac:dyDescent="0.25">
      <c r="V5566"/>
    </row>
    <row r="5567" spans="22:22" ht="15" x14ac:dyDescent="0.25">
      <c r="V5567"/>
    </row>
    <row r="5568" spans="22:22" ht="15" x14ac:dyDescent="0.25">
      <c r="V5568"/>
    </row>
    <row r="5569" spans="22:22" ht="15" x14ac:dyDescent="0.25">
      <c r="V5569"/>
    </row>
    <row r="5570" spans="22:22" ht="15" x14ac:dyDescent="0.25">
      <c r="V5570"/>
    </row>
    <row r="5571" spans="22:22" ht="15" x14ac:dyDescent="0.25">
      <c r="V5571"/>
    </row>
    <row r="5572" spans="22:22" ht="15" x14ac:dyDescent="0.25">
      <c r="V5572"/>
    </row>
    <row r="5573" spans="22:22" ht="15" x14ac:dyDescent="0.25">
      <c r="V5573"/>
    </row>
    <row r="5574" spans="22:22" ht="15" x14ac:dyDescent="0.25">
      <c r="V5574"/>
    </row>
    <row r="5575" spans="22:22" ht="15" x14ac:dyDescent="0.25">
      <c r="V5575"/>
    </row>
    <row r="5576" spans="22:22" ht="15" x14ac:dyDescent="0.25">
      <c r="V5576"/>
    </row>
    <row r="5577" spans="22:22" ht="15" x14ac:dyDescent="0.25">
      <c r="V5577"/>
    </row>
    <row r="5578" spans="22:22" ht="15" x14ac:dyDescent="0.25">
      <c r="V5578"/>
    </row>
    <row r="5579" spans="22:22" ht="15" x14ac:dyDescent="0.25">
      <c r="V5579"/>
    </row>
    <row r="5580" spans="22:22" ht="15" x14ac:dyDescent="0.25">
      <c r="V5580"/>
    </row>
    <row r="5581" spans="22:22" ht="15" x14ac:dyDescent="0.25">
      <c r="V5581"/>
    </row>
    <row r="5582" spans="22:22" ht="15" x14ac:dyDescent="0.25">
      <c r="V5582"/>
    </row>
    <row r="5583" spans="22:22" ht="15" x14ac:dyDescent="0.25">
      <c r="V5583"/>
    </row>
    <row r="5584" spans="22:22" ht="15" x14ac:dyDescent="0.25">
      <c r="V5584"/>
    </row>
    <row r="5585" spans="22:22" ht="15" x14ac:dyDescent="0.25">
      <c r="V5585"/>
    </row>
    <row r="5586" spans="22:22" ht="15" x14ac:dyDescent="0.25">
      <c r="V5586"/>
    </row>
    <row r="5587" spans="22:22" ht="15" x14ac:dyDescent="0.25">
      <c r="V5587"/>
    </row>
    <row r="5588" spans="22:22" ht="15" x14ac:dyDescent="0.25">
      <c r="V5588"/>
    </row>
    <row r="5589" spans="22:22" ht="15" x14ac:dyDescent="0.25">
      <c r="V5589"/>
    </row>
    <row r="5590" spans="22:22" ht="15" x14ac:dyDescent="0.25">
      <c r="V5590"/>
    </row>
    <row r="5591" spans="22:22" ht="15" x14ac:dyDescent="0.25">
      <c r="V5591"/>
    </row>
    <row r="5592" spans="22:22" ht="15" x14ac:dyDescent="0.25">
      <c r="V5592"/>
    </row>
    <row r="5593" spans="22:22" ht="15" x14ac:dyDescent="0.25">
      <c r="V5593"/>
    </row>
    <row r="5594" spans="22:22" ht="15" x14ac:dyDescent="0.25">
      <c r="V5594"/>
    </row>
    <row r="5595" spans="22:22" ht="15" x14ac:dyDescent="0.25">
      <c r="V5595"/>
    </row>
    <row r="5596" spans="22:22" ht="15" x14ac:dyDescent="0.25">
      <c r="V5596"/>
    </row>
    <row r="5597" spans="22:22" ht="15" x14ac:dyDescent="0.25">
      <c r="V5597"/>
    </row>
    <row r="5598" spans="22:22" ht="15" x14ac:dyDescent="0.25">
      <c r="V5598"/>
    </row>
    <row r="5599" spans="22:22" ht="15" x14ac:dyDescent="0.25">
      <c r="V5599"/>
    </row>
    <row r="5600" spans="22:22" ht="15" x14ac:dyDescent="0.25">
      <c r="V5600"/>
    </row>
    <row r="5601" spans="22:22" ht="15" x14ac:dyDescent="0.25">
      <c r="V5601"/>
    </row>
    <row r="5602" spans="22:22" ht="15" x14ac:dyDescent="0.25">
      <c r="V5602"/>
    </row>
    <row r="5603" spans="22:22" ht="15" x14ac:dyDescent="0.25">
      <c r="V5603"/>
    </row>
    <row r="5604" spans="22:22" ht="15" x14ac:dyDescent="0.25">
      <c r="V5604"/>
    </row>
    <row r="5605" spans="22:22" ht="15" x14ac:dyDescent="0.25">
      <c r="V5605"/>
    </row>
    <row r="5606" spans="22:22" ht="15" x14ac:dyDescent="0.25">
      <c r="V5606"/>
    </row>
    <row r="5607" spans="22:22" ht="15" x14ac:dyDescent="0.25">
      <c r="V5607"/>
    </row>
    <row r="5608" spans="22:22" ht="15" x14ac:dyDescent="0.25">
      <c r="V5608"/>
    </row>
    <row r="5609" spans="22:22" ht="15" x14ac:dyDescent="0.25">
      <c r="V5609"/>
    </row>
    <row r="5610" spans="22:22" ht="15" x14ac:dyDescent="0.25">
      <c r="V5610"/>
    </row>
    <row r="5611" spans="22:22" ht="15" x14ac:dyDescent="0.25">
      <c r="V5611"/>
    </row>
    <row r="5612" spans="22:22" ht="15" x14ac:dyDescent="0.25">
      <c r="V5612"/>
    </row>
    <row r="5613" spans="22:22" ht="15" x14ac:dyDescent="0.25">
      <c r="V5613"/>
    </row>
    <row r="5614" spans="22:22" ht="15" x14ac:dyDescent="0.25">
      <c r="V5614"/>
    </row>
    <row r="5615" spans="22:22" ht="15" x14ac:dyDescent="0.25">
      <c r="V5615"/>
    </row>
    <row r="5616" spans="22:22" ht="15" x14ac:dyDescent="0.25">
      <c r="V5616"/>
    </row>
    <row r="5617" spans="22:22" ht="15" x14ac:dyDescent="0.25">
      <c r="V5617"/>
    </row>
    <row r="5618" spans="22:22" ht="15" x14ac:dyDescent="0.25">
      <c r="V5618"/>
    </row>
    <row r="5619" spans="22:22" ht="15" x14ac:dyDescent="0.25">
      <c r="V5619"/>
    </row>
    <row r="5620" spans="22:22" ht="15" x14ac:dyDescent="0.25">
      <c r="V5620"/>
    </row>
    <row r="5621" spans="22:22" ht="15" x14ac:dyDescent="0.25">
      <c r="V5621"/>
    </row>
    <row r="5622" spans="22:22" ht="15" x14ac:dyDescent="0.25">
      <c r="V5622"/>
    </row>
    <row r="5623" spans="22:22" ht="15" x14ac:dyDescent="0.25">
      <c r="V5623"/>
    </row>
    <row r="5624" spans="22:22" ht="15" x14ac:dyDescent="0.25">
      <c r="V5624"/>
    </row>
    <row r="5625" spans="22:22" ht="15" x14ac:dyDescent="0.25">
      <c r="V5625"/>
    </row>
    <row r="5626" spans="22:22" ht="15" x14ac:dyDescent="0.25">
      <c r="V5626"/>
    </row>
    <row r="5627" spans="22:22" ht="15" x14ac:dyDescent="0.25">
      <c r="V5627"/>
    </row>
    <row r="5628" spans="22:22" ht="15" x14ac:dyDescent="0.25">
      <c r="V5628"/>
    </row>
    <row r="5629" spans="22:22" ht="15" x14ac:dyDescent="0.25">
      <c r="V5629"/>
    </row>
    <row r="5630" spans="22:22" ht="15" x14ac:dyDescent="0.25">
      <c r="V5630"/>
    </row>
    <row r="5631" spans="22:22" ht="15" x14ac:dyDescent="0.25">
      <c r="V5631"/>
    </row>
    <row r="5632" spans="22:22" ht="15" x14ac:dyDescent="0.25">
      <c r="V5632"/>
    </row>
    <row r="5633" spans="22:22" ht="15" x14ac:dyDescent="0.25">
      <c r="V5633"/>
    </row>
    <row r="5634" spans="22:22" ht="15" x14ac:dyDescent="0.25">
      <c r="V5634"/>
    </row>
    <row r="5635" spans="22:22" ht="15" x14ac:dyDescent="0.25">
      <c r="V5635"/>
    </row>
    <row r="5636" spans="22:22" ht="15" x14ac:dyDescent="0.25">
      <c r="V5636"/>
    </row>
    <row r="5637" spans="22:22" ht="15" x14ac:dyDescent="0.25">
      <c r="V5637"/>
    </row>
    <row r="5638" spans="22:22" ht="15" x14ac:dyDescent="0.25">
      <c r="V5638"/>
    </row>
    <row r="5639" spans="22:22" ht="15" x14ac:dyDescent="0.25">
      <c r="V5639"/>
    </row>
    <row r="5640" spans="22:22" ht="15" x14ac:dyDescent="0.25">
      <c r="V5640"/>
    </row>
    <row r="5641" spans="22:22" ht="15" x14ac:dyDescent="0.25">
      <c r="V5641"/>
    </row>
    <row r="5642" spans="22:22" ht="15" x14ac:dyDescent="0.25">
      <c r="V5642"/>
    </row>
    <row r="5643" spans="22:22" ht="15" x14ac:dyDescent="0.25">
      <c r="V5643"/>
    </row>
    <row r="5644" spans="22:22" ht="15" x14ac:dyDescent="0.25">
      <c r="V5644"/>
    </row>
    <row r="5645" spans="22:22" ht="15" x14ac:dyDescent="0.25">
      <c r="V5645"/>
    </row>
    <row r="5646" spans="22:22" ht="15" x14ac:dyDescent="0.25">
      <c r="V5646"/>
    </row>
    <row r="5647" spans="22:22" ht="15" x14ac:dyDescent="0.25">
      <c r="V5647"/>
    </row>
    <row r="5648" spans="22:22" ht="15" x14ac:dyDescent="0.25">
      <c r="V5648"/>
    </row>
    <row r="5649" spans="22:22" ht="15" x14ac:dyDescent="0.25">
      <c r="V5649"/>
    </row>
    <row r="5650" spans="22:22" ht="15" x14ac:dyDescent="0.25">
      <c r="V5650"/>
    </row>
    <row r="5651" spans="22:22" ht="15" x14ac:dyDescent="0.25">
      <c r="V5651"/>
    </row>
    <row r="5652" spans="22:22" ht="15" x14ac:dyDescent="0.25">
      <c r="V5652"/>
    </row>
    <row r="5653" spans="22:22" ht="15" x14ac:dyDescent="0.25">
      <c r="V5653"/>
    </row>
    <row r="5654" spans="22:22" ht="15" x14ac:dyDescent="0.25">
      <c r="V5654"/>
    </row>
    <row r="5655" spans="22:22" ht="15" x14ac:dyDescent="0.25">
      <c r="V5655"/>
    </row>
    <row r="5656" spans="22:22" ht="15" x14ac:dyDescent="0.25">
      <c r="V5656"/>
    </row>
    <row r="5657" spans="22:22" ht="15" x14ac:dyDescent="0.25">
      <c r="V5657"/>
    </row>
    <row r="5658" spans="22:22" ht="15" x14ac:dyDescent="0.25">
      <c r="V5658"/>
    </row>
    <row r="5659" spans="22:22" ht="15" x14ac:dyDescent="0.25">
      <c r="V5659"/>
    </row>
    <row r="5660" spans="22:22" ht="15" x14ac:dyDescent="0.25">
      <c r="V5660"/>
    </row>
    <row r="5661" spans="22:22" ht="15" x14ac:dyDescent="0.25">
      <c r="V5661"/>
    </row>
    <row r="5662" spans="22:22" ht="15" x14ac:dyDescent="0.25">
      <c r="V5662"/>
    </row>
    <row r="5663" spans="22:22" ht="15" x14ac:dyDescent="0.25">
      <c r="V5663"/>
    </row>
    <row r="5664" spans="22:22" ht="15" x14ac:dyDescent="0.25">
      <c r="V5664"/>
    </row>
    <row r="5665" spans="22:22" ht="15" x14ac:dyDescent="0.25">
      <c r="V5665"/>
    </row>
    <row r="5666" spans="22:22" ht="15" x14ac:dyDescent="0.25">
      <c r="V5666"/>
    </row>
    <row r="5667" spans="22:22" ht="15" x14ac:dyDescent="0.25">
      <c r="V5667"/>
    </row>
    <row r="5668" spans="22:22" ht="15" x14ac:dyDescent="0.25">
      <c r="V5668"/>
    </row>
    <row r="5669" spans="22:22" ht="15" x14ac:dyDescent="0.25">
      <c r="V5669"/>
    </row>
    <row r="5670" spans="22:22" ht="15" x14ac:dyDescent="0.25">
      <c r="V5670"/>
    </row>
    <row r="5671" spans="22:22" ht="15" x14ac:dyDescent="0.25">
      <c r="V5671"/>
    </row>
    <row r="5672" spans="22:22" ht="15" x14ac:dyDescent="0.25">
      <c r="V5672"/>
    </row>
    <row r="5673" spans="22:22" ht="15" x14ac:dyDescent="0.25">
      <c r="V5673"/>
    </row>
    <row r="5674" spans="22:22" ht="15" x14ac:dyDescent="0.25">
      <c r="V5674"/>
    </row>
    <row r="5675" spans="22:22" ht="15" x14ac:dyDescent="0.25">
      <c r="V5675"/>
    </row>
    <row r="5676" spans="22:22" ht="15" x14ac:dyDescent="0.25">
      <c r="V5676"/>
    </row>
    <row r="5677" spans="22:22" ht="15" x14ac:dyDescent="0.25">
      <c r="V5677"/>
    </row>
    <row r="5678" spans="22:22" ht="15" x14ac:dyDescent="0.25">
      <c r="V5678"/>
    </row>
    <row r="5679" spans="22:22" ht="15" x14ac:dyDescent="0.25">
      <c r="V5679"/>
    </row>
    <row r="5680" spans="22:22" ht="15" x14ac:dyDescent="0.25">
      <c r="V5680"/>
    </row>
    <row r="5681" spans="22:22" ht="15" x14ac:dyDescent="0.25">
      <c r="V5681"/>
    </row>
    <row r="5682" spans="22:22" ht="15" x14ac:dyDescent="0.25">
      <c r="V5682"/>
    </row>
    <row r="5683" spans="22:22" ht="15" x14ac:dyDescent="0.25">
      <c r="V5683"/>
    </row>
    <row r="5684" spans="22:22" ht="15" x14ac:dyDescent="0.25">
      <c r="V5684"/>
    </row>
    <row r="5685" spans="22:22" ht="15" x14ac:dyDescent="0.25">
      <c r="V5685"/>
    </row>
    <row r="5686" spans="22:22" ht="15" x14ac:dyDescent="0.25">
      <c r="V5686"/>
    </row>
    <row r="5687" spans="22:22" ht="15" x14ac:dyDescent="0.25">
      <c r="V5687"/>
    </row>
    <row r="5688" spans="22:22" ht="15" x14ac:dyDescent="0.25">
      <c r="V5688"/>
    </row>
    <row r="5689" spans="22:22" ht="15" x14ac:dyDescent="0.25">
      <c r="V5689"/>
    </row>
    <row r="5690" spans="22:22" ht="15" x14ac:dyDescent="0.25">
      <c r="V5690"/>
    </row>
    <row r="5691" spans="22:22" ht="15" x14ac:dyDescent="0.25">
      <c r="V5691"/>
    </row>
    <row r="5692" spans="22:22" ht="15" x14ac:dyDescent="0.25">
      <c r="V5692"/>
    </row>
    <row r="5693" spans="22:22" ht="15" x14ac:dyDescent="0.25">
      <c r="V5693"/>
    </row>
    <row r="5694" spans="22:22" ht="15" x14ac:dyDescent="0.25">
      <c r="V5694"/>
    </row>
    <row r="5695" spans="22:22" ht="15" x14ac:dyDescent="0.25">
      <c r="V5695"/>
    </row>
    <row r="5696" spans="22:22" ht="15" x14ac:dyDescent="0.25">
      <c r="V5696"/>
    </row>
    <row r="5697" spans="22:22" ht="15" x14ac:dyDescent="0.25">
      <c r="V5697"/>
    </row>
    <row r="5698" spans="22:22" ht="15" x14ac:dyDescent="0.25">
      <c r="V5698"/>
    </row>
    <row r="5699" spans="22:22" ht="15" x14ac:dyDescent="0.25">
      <c r="V5699"/>
    </row>
    <row r="5700" spans="22:22" ht="15" x14ac:dyDescent="0.25">
      <c r="V5700"/>
    </row>
    <row r="5701" spans="22:22" ht="15" x14ac:dyDescent="0.25">
      <c r="V5701"/>
    </row>
    <row r="5702" spans="22:22" ht="15" x14ac:dyDescent="0.25">
      <c r="V5702"/>
    </row>
    <row r="5703" spans="22:22" ht="15" x14ac:dyDescent="0.25">
      <c r="V5703"/>
    </row>
    <row r="5704" spans="22:22" ht="15" x14ac:dyDescent="0.25">
      <c r="V5704"/>
    </row>
    <row r="5705" spans="22:22" ht="15" x14ac:dyDescent="0.25">
      <c r="V5705"/>
    </row>
    <row r="5706" spans="22:22" ht="15" x14ac:dyDescent="0.25">
      <c r="V5706"/>
    </row>
    <row r="5707" spans="22:22" ht="15" x14ac:dyDescent="0.25">
      <c r="V5707"/>
    </row>
    <row r="5708" spans="22:22" ht="15" x14ac:dyDescent="0.25">
      <c r="V5708"/>
    </row>
    <row r="5709" spans="22:22" ht="15" x14ac:dyDescent="0.25">
      <c r="V5709"/>
    </row>
    <row r="5710" spans="22:22" ht="15" x14ac:dyDescent="0.25">
      <c r="V5710"/>
    </row>
    <row r="5711" spans="22:22" ht="15" x14ac:dyDescent="0.25">
      <c r="V5711"/>
    </row>
    <row r="5712" spans="22:22" ht="15" x14ac:dyDescent="0.25">
      <c r="V5712"/>
    </row>
    <row r="5713" spans="22:22" ht="15" x14ac:dyDescent="0.25">
      <c r="V5713"/>
    </row>
    <row r="5714" spans="22:22" ht="15" x14ac:dyDescent="0.25">
      <c r="V5714"/>
    </row>
    <row r="5715" spans="22:22" ht="15" x14ac:dyDescent="0.25">
      <c r="V5715"/>
    </row>
    <row r="5716" spans="22:22" ht="15" x14ac:dyDescent="0.25">
      <c r="V5716"/>
    </row>
    <row r="5717" spans="22:22" ht="15" x14ac:dyDescent="0.25">
      <c r="V5717"/>
    </row>
    <row r="5718" spans="22:22" ht="15" x14ac:dyDescent="0.25">
      <c r="V5718"/>
    </row>
    <row r="5719" spans="22:22" ht="15" x14ac:dyDescent="0.25">
      <c r="V5719"/>
    </row>
    <row r="5720" spans="22:22" ht="15" x14ac:dyDescent="0.25">
      <c r="V5720"/>
    </row>
    <row r="5721" spans="22:22" ht="15" x14ac:dyDescent="0.25">
      <c r="V5721"/>
    </row>
    <row r="5722" spans="22:22" ht="15" x14ac:dyDescent="0.25">
      <c r="V5722"/>
    </row>
    <row r="5723" spans="22:22" ht="15" x14ac:dyDescent="0.25">
      <c r="V5723"/>
    </row>
    <row r="5724" spans="22:22" ht="15" x14ac:dyDescent="0.25">
      <c r="V5724"/>
    </row>
    <row r="5725" spans="22:22" ht="15" x14ac:dyDescent="0.25">
      <c r="V5725"/>
    </row>
    <row r="5726" spans="22:22" ht="15" x14ac:dyDescent="0.25">
      <c r="V5726"/>
    </row>
    <row r="5727" spans="22:22" ht="15" x14ac:dyDescent="0.25">
      <c r="V5727"/>
    </row>
    <row r="5728" spans="22:22" ht="15" x14ac:dyDescent="0.25">
      <c r="V5728"/>
    </row>
    <row r="5729" spans="22:22" ht="15" x14ac:dyDescent="0.25">
      <c r="V5729"/>
    </row>
    <row r="5730" spans="22:22" ht="15" x14ac:dyDescent="0.25">
      <c r="V5730"/>
    </row>
    <row r="5731" spans="22:22" ht="15" x14ac:dyDescent="0.25">
      <c r="V5731"/>
    </row>
    <row r="5732" spans="22:22" ht="15" x14ac:dyDescent="0.25">
      <c r="V5732"/>
    </row>
    <row r="5733" spans="22:22" ht="15" x14ac:dyDescent="0.25">
      <c r="V5733"/>
    </row>
    <row r="5734" spans="22:22" ht="15" x14ac:dyDescent="0.25">
      <c r="V5734"/>
    </row>
    <row r="5735" spans="22:22" ht="15" x14ac:dyDescent="0.25">
      <c r="V5735"/>
    </row>
    <row r="5736" spans="22:22" ht="15" x14ac:dyDescent="0.25">
      <c r="V5736"/>
    </row>
    <row r="5737" spans="22:22" ht="15" x14ac:dyDescent="0.25">
      <c r="V5737"/>
    </row>
    <row r="5738" spans="22:22" ht="15" x14ac:dyDescent="0.25">
      <c r="V5738"/>
    </row>
    <row r="5739" spans="22:22" ht="15" x14ac:dyDescent="0.25">
      <c r="V5739"/>
    </row>
    <row r="5740" spans="22:22" ht="15" x14ac:dyDescent="0.25">
      <c r="V5740"/>
    </row>
    <row r="5741" spans="22:22" ht="15" x14ac:dyDescent="0.25">
      <c r="V5741"/>
    </row>
    <row r="5742" spans="22:22" ht="15" x14ac:dyDescent="0.25">
      <c r="V5742"/>
    </row>
    <row r="5743" spans="22:22" ht="15" x14ac:dyDescent="0.25">
      <c r="V5743"/>
    </row>
    <row r="5744" spans="22:22" ht="15" x14ac:dyDescent="0.25">
      <c r="V5744"/>
    </row>
    <row r="5745" spans="22:22" ht="15" x14ac:dyDescent="0.25">
      <c r="V5745"/>
    </row>
    <row r="5746" spans="22:22" ht="15" x14ac:dyDescent="0.25">
      <c r="V5746"/>
    </row>
    <row r="5747" spans="22:22" ht="15" x14ac:dyDescent="0.25">
      <c r="V5747"/>
    </row>
    <row r="5748" spans="22:22" ht="15" x14ac:dyDescent="0.25">
      <c r="V5748"/>
    </row>
    <row r="5749" spans="22:22" ht="15" x14ac:dyDescent="0.25">
      <c r="V5749"/>
    </row>
    <row r="5750" spans="22:22" ht="15" x14ac:dyDescent="0.25">
      <c r="V5750"/>
    </row>
    <row r="5751" spans="22:22" ht="15" x14ac:dyDescent="0.25">
      <c r="V5751"/>
    </row>
    <row r="5752" spans="22:22" ht="15" x14ac:dyDescent="0.25">
      <c r="V5752"/>
    </row>
    <row r="5753" spans="22:22" ht="15" x14ac:dyDescent="0.25">
      <c r="V5753"/>
    </row>
    <row r="5754" spans="22:22" ht="15" x14ac:dyDescent="0.25">
      <c r="V5754"/>
    </row>
    <row r="5755" spans="22:22" ht="15" x14ac:dyDescent="0.25">
      <c r="V5755"/>
    </row>
    <row r="5756" spans="22:22" ht="15" x14ac:dyDescent="0.25">
      <c r="V5756"/>
    </row>
    <row r="5757" spans="22:22" ht="15" x14ac:dyDescent="0.25">
      <c r="V5757"/>
    </row>
    <row r="5758" spans="22:22" ht="15" x14ac:dyDescent="0.25">
      <c r="V5758"/>
    </row>
    <row r="5759" spans="22:22" ht="15" x14ac:dyDescent="0.25">
      <c r="V5759"/>
    </row>
    <row r="5760" spans="22:22" ht="15" x14ac:dyDescent="0.25">
      <c r="V5760"/>
    </row>
    <row r="5761" spans="22:22" ht="15" x14ac:dyDescent="0.25">
      <c r="V5761"/>
    </row>
    <row r="5762" spans="22:22" ht="15" x14ac:dyDescent="0.25">
      <c r="V5762"/>
    </row>
    <row r="5763" spans="22:22" ht="15" x14ac:dyDescent="0.25">
      <c r="V5763"/>
    </row>
    <row r="5764" spans="22:22" ht="15" x14ac:dyDescent="0.25">
      <c r="V5764"/>
    </row>
    <row r="5765" spans="22:22" ht="15" x14ac:dyDescent="0.25">
      <c r="V5765"/>
    </row>
    <row r="5766" spans="22:22" ht="15" x14ac:dyDescent="0.25">
      <c r="V5766"/>
    </row>
    <row r="5767" spans="22:22" ht="15" x14ac:dyDescent="0.25">
      <c r="V5767"/>
    </row>
    <row r="5768" spans="22:22" ht="15" x14ac:dyDescent="0.25">
      <c r="V5768"/>
    </row>
    <row r="5769" spans="22:22" ht="15" x14ac:dyDescent="0.25">
      <c r="V5769"/>
    </row>
    <row r="5770" spans="22:22" ht="15" x14ac:dyDescent="0.25">
      <c r="V5770"/>
    </row>
    <row r="5771" spans="22:22" ht="15" x14ac:dyDescent="0.25">
      <c r="V5771"/>
    </row>
    <row r="5772" spans="22:22" ht="15" x14ac:dyDescent="0.25">
      <c r="V5772"/>
    </row>
    <row r="5773" spans="22:22" ht="15" x14ac:dyDescent="0.25">
      <c r="V5773"/>
    </row>
    <row r="5774" spans="22:22" ht="15" x14ac:dyDescent="0.25">
      <c r="V5774"/>
    </row>
    <row r="5775" spans="22:22" ht="15" x14ac:dyDescent="0.25">
      <c r="V5775"/>
    </row>
    <row r="5776" spans="22:22" ht="15" x14ac:dyDescent="0.25">
      <c r="V5776"/>
    </row>
    <row r="5777" spans="22:22" ht="15" x14ac:dyDescent="0.25">
      <c r="V5777"/>
    </row>
    <row r="5778" spans="22:22" ht="15" x14ac:dyDescent="0.25">
      <c r="V5778"/>
    </row>
    <row r="5779" spans="22:22" ht="15" x14ac:dyDescent="0.25">
      <c r="V5779"/>
    </row>
    <row r="5780" spans="22:22" ht="15" x14ac:dyDescent="0.25">
      <c r="V5780"/>
    </row>
    <row r="5781" spans="22:22" ht="15" x14ac:dyDescent="0.25">
      <c r="V5781"/>
    </row>
    <row r="5782" spans="22:22" ht="15" x14ac:dyDescent="0.25">
      <c r="V5782"/>
    </row>
    <row r="5783" spans="22:22" ht="15" x14ac:dyDescent="0.25">
      <c r="V5783"/>
    </row>
    <row r="5784" spans="22:22" ht="15" x14ac:dyDescent="0.25">
      <c r="V5784"/>
    </row>
    <row r="5785" spans="22:22" ht="15" x14ac:dyDescent="0.25">
      <c r="V5785"/>
    </row>
    <row r="5786" spans="22:22" ht="15" x14ac:dyDescent="0.25">
      <c r="V5786"/>
    </row>
    <row r="5787" spans="22:22" ht="15" x14ac:dyDescent="0.25">
      <c r="V5787"/>
    </row>
    <row r="5788" spans="22:22" ht="15" x14ac:dyDescent="0.25">
      <c r="V5788"/>
    </row>
    <row r="5789" spans="22:22" ht="15" x14ac:dyDescent="0.25">
      <c r="V5789"/>
    </row>
    <row r="5790" spans="22:22" ht="15" x14ac:dyDescent="0.25">
      <c r="V5790"/>
    </row>
    <row r="5791" spans="22:22" ht="15" x14ac:dyDescent="0.25">
      <c r="V5791"/>
    </row>
    <row r="5792" spans="22:22" ht="15" x14ac:dyDescent="0.25">
      <c r="V5792"/>
    </row>
    <row r="5793" spans="22:22" ht="15" x14ac:dyDescent="0.25">
      <c r="V5793"/>
    </row>
    <row r="5794" spans="22:22" ht="15" x14ac:dyDescent="0.25">
      <c r="V5794"/>
    </row>
    <row r="5795" spans="22:22" ht="15" x14ac:dyDescent="0.25">
      <c r="V5795"/>
    </row>
    <row r="5796" spans="22:22" ht="15" x14ac:dyDescent="0.25">
      <c r="V5796"/>
    </row>
    <row r="5797" spans="22:22" ht="15" x14ac:dyDescent="0.25">
      <c r="V5797"/>
    </row>
    <row r="5798" spans="22:22" ht="15" x14ac:dyDescent="0.25">
      <c r="V5798"/>
    </row>
    <row r="5799" spans="22:22" ht="15" x14ac:dyDescent="0.25">
      <c r="V5799"/>
    </row>
    <row r="5800" spans="22:22" ht="15" x14ac:dyDescent="0.25">
      <c r="V5800"/>
    </row>
    <row r="5801" spans="22:22" ht="15" x14ac:dyDescent="0.25">
      <c r="V5801"/>
    </row>
    <row r="5802" spans="22:22" ht="15" x14ac:dyDescent="0.25">
      <c r="V5802"/>
    </row>
    <row r="5803" spans="22:22" ht="15" x14ac:dyDescent="0.25">
      <c r="V5803"/>
    </row>
    <row r="5804" spans="22:22" ht="15" x14ac:dyDescent="0.25">
      <c r="V5804"/>
    </row>
    <row r="5805" spans="22:22" ht="15" x14ac:dyDescent="0.25">
      <c r="V5805"/>
    </row>
    <row r="5806" spans="22:22" ht="15" x14ac:dyDescent="0.25">
      <c r="V5806"/>
    </row>
    <row r="5807" spans="22:22" ht="15" x14ac:dyDescent="0.25">
      <c r="V5807"/>
    </row>
    <row r="5808" spans="22:22" ht="15" x14ac:dyDescent="0.25">
      <c r="V5808"/>
    </row>
    <row r="5809" spans="22:22" ht="15" x14ac:dyDescent="0.25">
      <c r="V5809"/>
    </row>
    <row r="5810" spans="22:22" ht="15" x14ac:dyDescent="0.25">
      <c r="V5810"/>
    </row>
    <row r="5811" spans="22:22" ht="15" x14ac:dyDescent="0.25">
      <c r="V5811"/>
    </row>
    <row r="5812" spans="22:22" ht="15" x14ac:dyDescent="0.25">
      <c r="V5812"/>
    </row>
    <row r="5813" spans="22:22" ht="15" x14ac:dyDescent="0.25">
      <c r="V5813"/>
    </row>
    <row r="5814" spans="22:22" ht="15" x14ac:dyDescent="0.25">
      <c r="V5814"/>
    </row>
    <row r="5815" spans="22:22" ht="15" x14ac:dyDescent="0.25">
      <c r="V5815"/>
    </row>
    <row r="5816" spans="22:22" ht="15" x14ac:dyDescent="0.25">
      <c r="V5816"/>
    </row>
    <row r="5817" spans="22:22" ht="15" x14ac:dyDescent="0.25">
      <c r="V5817"/>
    </row>
    <row r="5818" spans="22:22" ht="15" x14ac:dyDescent="0.25">
      <c r="V5818"/>
    </row>
    <row r="5819" spans="22:22" ht="15" x14ac:dyDescent="0.25">
      <c r="V5819"/>
    </row>
    <row r="5820" spans="22:22" ht="15" x14ac:dyDescent="0.25">
      <c r="V5820"/>
    </row>
    <row r="5821" spans="22:22" ht="15" x14ac:dyDescent="0.25">
      <c r="V5821"/>
    </row>
    <row r="5822" spans="22:22" ht="15" x14ac:dyDescent="0.25">
      <c r="V5822"/>
    </row>
    <row r="5823" spans="22:22" ht="15" x14ac:dyDescent="0.25">
      <c r="V5823"/>
    </row>
    <row r="5824" spans="22:22" ht="15" x14ac:dyDescent="0.25">
      <c r="V5824"/>
    </row>
    <row r="5825" spans="22:22" ht="15" x14ac:dyDescent="0.25">
      <c r="V5825"/>
    </row>
    <row r="5826" spans="22:22" ht="15" x14ac:dyDescent="0.25">
      <c r="V5826"/>
    </row>
    <row r="5827" spans="22:22" ht="15" x14ac:dyDescent="0.25">
      <c r="V5827"/>
    </row>
    <row r="5828" spans="22:22" ht="15" x14ac:dyDescent="0.25">
      <c r="V5828"/>
    </row>
    <row r="5829" spans="22:22" ht="15" x14ac:dyDescent="0.25">
      <c r="V5829"/>
    </row>
    <row r="5830" spans="22:22" ht="15" x14ac:dyDescent="0.25">
      <c r="V5830"/>
    </row>
    <row r="5831" spans="22:22" ht="15" x14ac:dyDescent="0.25">
      <c r="V5831"/>
    </row>
    <row r="5832" spans="22:22" ht="15" x14ac:dyDescent="0.25">
      <c r="V5832"/>
    </row>
    <row r="5833" spans="22:22" ht="15" x14ac:dyDescent="0.25">
      <c r="V5833"/>
    </row>
    <row r="5834" spans="22:22" ht="15" x14ac:dyDescent="0.25">
      <c r="V5834"/>
    </row>
    <row r="5835" spans="22:22" ht="15" x14ac:dyDescent="0.25">
      <c r="V5835"/>
    </row>
    <row r="5836" spans="22:22" ht="15" x14ac:dyDescent="0.25">
      <c r="V5836"/>
    </row>
    <row r="5837" spans="22:22" ht="15" x14ac:dyDescent="0.25">
      <c r="V5837"/>
    </row>
    <row r="5838" spans="22:22" ht="15" x14ac:dyDescent="0.25">
      <c r="V5838"/>
    </row>
    <row r="5839" spans="22:22" ht="15" x14ac:dyDescent="0.25">
      <c r="V5839"/>
    </row>
    <row r="5840" spans="22:22" ht="15" x14ac:dyDescent="0.25">
      <c r="V5840"/>
    </row>
    <row r="5841" spans="22:22" ht="15" x14ac:dyDescent="0.25">
      <c r="V5841"/>
    </row>
    <row r="5842" spans="22:22" ht="15" x14ac:dyDescent="0.25">
      <c r="V5842"/>
    </row>
    <row r="5843" spans="22:22" ht="15" x14ac:dyDescent="0.25">
      <c r="V5843"/>
    </row>
    <row r="5844" spans="22:22" ht="15" x14ac:dyDescent="0.25">
      <c r="V5844"/>
    </row>
    <row r="5845" spans="22:22" ht="15" x14ac:dyDescent="0.25">
      <c r="V5845"/>
    </row>
    <row r="5846" spans="22:22" ht="15" x14ac:dyDescent="0.25">
      <c r="V5846"/>
    </row>
    <row r="5847" spans="22:22" ht="15" x14ac:dyDescent="0.25">
      <c r="V5847"/>
    </row>
    <row r="5848" spans="22:22" ht="15" x14ac:dyDescent="0.25">
      <c r="V5848"/>
    </row>
    <row r="5849" spans="22:22" ht="15" x14ac:dyDescent="0.25">
      <c r="V5849"/>
    </row>
    <row r="5850" spans="22:22" ht="15" x14ac:dyDescent="0.25">
      <c r="V5850"/>
    </row>
    <row r="5851" spans="22:22" ht="15" x14ac:dyDescent="0.25">
      <c r="V5851"/>
    </row>
    <row r="5852" spans="22:22" ht="15" x14ac:dyDescent="0.25">
      <c r="V5852"/>
    </row>
    <row r="5853" spans="22:22" ht="15" x14ac:dyDescent="0.25">
      <c r="V5853"/>
    </row>
    <row r="5854" spans="22:22" ht="15" x14ac:dyDescent="0.25">
      <c r="V5854"/>
    </row>
    <row r="5855" spans="22:22" ht="15" x14ac:dyDescent="0.25">
      <c r="V5855"/>
    </row>
    <row r="5856" spans="22:22" ht="15" x14ac:dyDescent="0.25">
      <c r="V5856"/>
    </row>
    <row r="5857" spans="22:22" ht="15" x14ac:dyDescent="0.25">
      <c r="V5857"/>
    </row>
    <row r="5858" spans="22:22" ht="15" x14ac:dyDescent="0.25">
      <c r="V5858"/>
    </row>
    <row r="5859" spans="22:22" ht="15" x14ac:dyDescent="0.25">
      <c r="V5859"/>
    </row>
    <row r="5860" spans="22:22" ht="15" x14ac:dyDescent="0.25">
      <c r="V5860"/>
    </row>
    <row r="5861" spans="22:22" ht="15" x14ac:dyDescent="0.25">
      <c r="V5861"/>
    </row>
    <row r="5862" spans="22:22" ht="15" x14ac:dyDescent="0.25">
      <c r="V5862"/>
    </row>
    <row r="5863" spans="22:22" ht="15" x14ac:dyDescent="0.25">
      <c r="V5863"/>
    </row>
    <row r="5864" spans="22:22" ht="15" x14ac:dyDescent="0.25">
      <c r="V5864"/>
    </row>
    <row r="5865" spans="22:22" ht="15" x14ac:dyDescent="0.25">
      <c r="V5865"/>
    </row>
    <row r="5866" spans="22:22" ht="15" x14ac:dyDescent="0.25">
      <c r="V5866"/>
    </row>
    <row r="5867" spans="22:22" ht="15" x14ac:dyDescent="0.25">
      <c r="V5867"/>
    </row>
    <row r="5868" spans="22:22" ht="15" x14ac:dyDescent="0.25">
      <c r="V5868"/>
    </row>
    <row r="5869" spans="22:22" ht="15" x14ac:dyDescent="0.25">
      <c r="V5869"/>
    </row>
    <row r="5870" spans="22:22" ht="15" x14ac:dyDescent="0.25">
      <c r="V5870"/>
    </row>
    <row r="5871" spans="22:22" ht="15" x14ac:dyDescent="0.25">
      <c r="V5871"/>
    </row>
    <row r="5872" spans="22:22" ht="15" x14ac:dyDescent="0.25">
      <c r="V5872"/>
    </row>
    <row r="5873" spans="22:22" ht="15" x14ac:dyDescent="0.25">
      <c r="V5873"/>
    </row>
    <row r="5874" spans="22:22" ht="15" x14ac:dyDescent="0.25">
      <c r="V5874"/>
    </row>
    <row r="5875" spans="22:22" ht="15" x14ac:dyDescent="0.25">
      <c r="V5875"/>
    </row>
    <row r="5876" spans="22:22" ht="15" x14ac:dyDescent="0.25">
      <c r="V5876"/>
    </row>
    <row r="5877" spans="22:22" ht="15" x14ac:dyDescent="0.25">
      <c r="V5877"/>
    </row>
    <row r="5878" spans="22:22" ht="15" x14ac:dyDescent="0.25">
      <c r="V5878"/>
    </row>
    <row r="5879" spans="22:22" ht="15" x14ac:dyDescent="0.25">
      <c r="V5879"/>
    </row>
    <row r="5880" spans="22:22" ht="15" x14ac:dyDescent="0.25">
      <c r="V5880"/>
    </row>
    <row r="5881" spans="22:22" ht="15" x14ac:dyDescent="0.25">
      <c r="V5881"/>
    </row>
    <row r="5882" spans="22:22" ht="15" x14ac:dyDescent="0.25">
      <c r="V5882"/>
    </row>
    <row r="5883" spans="22:22" ht="15" x14ac:dyDescent="0.25">
      <c r="V5883"/>
    </row>
    <row r="5884" spans="22:22" ht="15" x14ac:dyDescent="0.25">
      <c r="V5884"/>
    </row>
    <row r="5885" spans="22:22" ht="15" x14ac:dyDescent="0.25">
      <c r="V5885"/>
    </row>
    <row r="5886" spans="22:22" ht="15" x14ac:dyDescent="0.25">
      <c r="V5886"/>
    </row>
    <row r="5887" spans="22:22" ht="15" x14ac:dyDescent="0.25">
      <c r="V5887"/>
    </row>
    <row r="5888" spans="22:22" ht="15" x14ac:dyDescent="0.25">
      <c r="V5888"/>
    </row>
    <row r="5889" spans="22:22" ht="15" x14ac:dyDescent="0.25">
      <c r="V5889"/>
    </row>
    <row r="5890" spans="22:22" ht="15" x14ac:dyDescent="0.25">
      <c r="V5890"/>
    </row>
    <row r="5891" spans="22:22" ht="15" x14ac:dyDescent="0.25">
      <c r="V5891"/>
    </row>
    <row r="5892" spans="22:22" ht="15" x14ac:dyDescent="0.25">
      <c r="V5892"/>
    </row>
    <row r="5893" spans="22:22" ht="15" x14ac:dyDescent="0.25">
      <c r="V5893"/>
    </row>
    <row r="5894" spans="22:22" ht="15" x14ac:dyDescent="0.25">
      <c r="V5894"/>
    </row>
    <row r="5895" spans="22:22" ht="15" x14ac:dyDescent="0.25">
      <c r="V5895"/>
    </row>
    <row r="5896" spans="22:22" ht="15" x14ac:dyDescent="0.25">
      <c r="V5896"/>
    </row>
    <row r="5897" spans="22:22" ht="15" x14ac:dyDescent="0.25">
      <c r="V5897"/>
    </row>
    <row r="5898" spans="22:22" ht="15" x14ac:dyDescent="0.25">
      <c r="V5898"/>
    </row>
    <row r="5899" spans="22:22" ht="15" x14ac:dyDescent="0.25">
      <c r="V5899"/>
    </row>
    <row r="5900" spans="22:22" ht="15" x14ac:dyDescent="0.25">
      <c r="V5900"/>
    </row>
    <row r="5901" spans="22:22" ht="15" x14ac:dyDescent="0.25">
      <c r="V5901"/>
    </row>
    <row r="5902" spans="22:22" ht="15" x14ac:dyDescent="0.25">
      <c r="V5902"/>
    </row>
    <row r="5903" spans="22:22" ht="15" x14ac:dyDescent="0.25">
      <c r="V5903"/>
    </row>
    <row r="5904" spans="22:22" ht="15" x14ac:dyDescent="0.25">
      <c r="V5904"/>
    </row>
    <row r="5905" spans="22:22" ht="15" x14ac:dyDescent="0.25">
      <c r="V5905"/>
    </row>
    <row r="5906" spans="22:22" ht="15" x14ac:dyDescent="0.25">
      <c r="V5906"/>
    </row>
    <row r="5907" spans="22:22" ht="15" x14ac:dyDescent="0.25">
      <c r="V5907"/>
    </row>
    <row r="5908" spans="22:22" ht="15" x14ac:dyDescent="0.25">
      <c r="V5908"/>
    </row>
    <row r="5909" spans="22:22" ht="15" x14ac:dyDescent="0.25">
      <c r="V5909"/>
    </row>
    <row r="5910" spans="22:22" ht="15" x14ac:dyDescent="0.25">
      <c r="V5910"/>
    </row>
    <row r="5911" spans="22:22" ht="15" x14ac:dyDescent="0.25">
      <c r="V5911"/>
    </row>
    <row r="5912" spans="22:22" ht="15" x14ac:dyDescent="0.25">
      <c r="V5912"/>
    </row>
    <row r="5913" spans="22:22" ht="15" x14ac:dyDescent="0.25">
      <c r="V5913"/>
    </row>
    <row r="5914" spans="22:22" ht="15" x14ac:dyDescent="0.25">
      <c r="V5914"/>
    </row>
    <row r="5915" spans="22:22" ht="15" x14ac:dyDescent="0.25">
      <c r="V5915"/>
    </row>
    <row r="5916" spans="22:22" ht="15" x14ac:dyDescent="0.25">
      <c r="V5916"/>
    </row>
    <row r="5917" spans="22:22" ht="15" x14ac:dyDescent="0.25">
      <c r="V5917"/>
    </row>
    <row r="5918" spans="22:22" ht="15" x14ac:dyDescent="0.25">
      <c r="V5918"/>
    </row>
    <row r="5919" spans="22:22" ht="15" x14ac:dyDescent="0.25">
      <c r="V5919"/>
    </row>
    <row r="5920" spans="22:22" ht="15" x14ac:dyDescent="0.25">
      <c r="V5920"/>
    </row>
    <row r="5921" spans="22:22" ht="15" x14ac:dyDescent="0.25">
      <c r="V5921"/>
    </row>
    <row r="5922" spans="22:22" ht="15" x14ac:dyDescent="0.25">
      <c r="V5922"/>
    </row>
    <row r="5923" spans="22:22" ht="15" x14ac:dyDescent="0.25">
      <c r="V5923"/>
    </row>
    <row r="5924" spans="22:22" ht="15" x14ac:dyDescent="0.25">
      <c r="V5924"/>
    </row>
    <row r="5925" spans="22:22" ht="15" x14ac:dyDescent="0.25">
      <c r="V5925"/>
    </row>
    <row r="5926" spans="22:22" ht="15" x14ac:dyDescent="0.25">
      <c r="V5926"/>
    </row>
    <row r="5927" spans="22:22" ht="15" x14ac:dyDescent="0.25">
      <c r="V5927"/>
    </row>
    <row r="5928" spans="22:22" ht="15" x14ac:dyDescent="0.25">
      <c r="V5928"/>
    </row>
    <row r="5929" spans="22:22" ht="15" x14ac:dyDescent="0.25">
      <c r="V5929"/>
    </row>
    <row r="5930" spans="22:22" ht="15" x14ac:dyDescent="0.25">
      <c r="V5930"/>
    </row>
    <row r="5931" spans="22:22" ht="15" x14ac:dyDescent="0.25">
      <c r="V5931"/>
    </row>
    <row r="5932" spans="22:22" ht="15" x14ac:dyDescent="0.25">
      <c r="V5932"/>
    </row>
    <row r="5933" spans="22:22" ht="15" x14ac:dyDescent="0.25">
      <c r="V5933"/>
    </row>
    <row r="5934" spans="22:22" ht="15" x14ac:dyDescent="0.25">
      <c r="V5934"/>
    </row>
    <row r="5935" spans="22:22" ht="15" x14ac:dyDescent="0.25">
      <c r="V5935"/>
    </row>
    <row r="5936" spans="22:22" ht="15" x14ac:dyDescent="0.25">
      <c r="V5936"/>
    </row>
    <row r="5937" spans="22:22" ht="15" x14ac:dyDescent="0.25">
      <c r="V5937"/>
    </row>
    <row r="5938" spans="22:22" ht="15" x14ac:dyDescent="0.25">
      <c r="V5938"/>
    </row>
    <row r="5939" spans="22:22" ht="15" x14ac:dyDescent="0.25">
      <c r="V5939"/>
    </row>
    <row r="5940" spans="22:22" ht="15" x14ac:dyDescent="0.25">
      <c r="V5940"/>
    </row>
    <row r="5941" spans="22:22" ht="15" x14ac:dyDescent="0.25">
      <c r="V5941"/>
    </row>
    <row r="5942" spans="22:22" ht="15" x14ac:dyDescent="0.25">
      <c r="V5942"/>
    </row>
    <row r="5943" spans="22:22" ht="15" x14ac:dyDescent="0.25">
      <c r="V5943"/>
    </row>
    <row r="5944" spans="22:22" ht="15" x14ac:dyDescent="0.25">
      <c r="V5944"/>
    </row>
    <row r="5945" spans="22:22" ht="15" x14ac:dyDescent="0.25">
      <c r="V5945"/>
    </row>
    <row r="5946" spans="22:22" ht="15" x14ac:dyDescent="0.25">
      <c r="V5946"/>
    </row>
    <row r="5947" spans="22:22" ht="15" x14ac:dyDescent="0.25">
      <c r="V5947"/>
    </row>
    <row r="5948" spans="22:22" ht="15" x14ac:dyDescent="0.25">
      <c r="V5948"/>
    </row>
    <row r="5949" spans="22:22" ht="15" x14ac:dyDescent="0.25">
      <c r="V5949"/>
    </row>
    <row r="5950" spans="22:22" ht="15" x14ac:dyDescent="0.25">
      <c r="V5950"/>
    </row>
    <row r="5951" spans="22:22" ht="15" x14ac:dyDescent="0.25">
      <c r="V5951"/>
    </row>
    <row r="5952" spans="22:22" ht="15" x14ac:dyDescent="0.25">
      <c r="V5952"/>
    </row>
    <row r="5953" spans="22:22" ht="15" x14ac:dyDescent="0.25">
      <c r="V5953"/>
    </row>
    <row r="5954" spans="22:22" ht="15" x14ac:dyDescent="0.25">
      <c r="V5954"/>
    </row>
    <row r="5955" spans="22:22" ht="15" x14ac:dyDescent="0.25">
      <c r="V5955"/>
    </row>
    <row r="5956" spans="22:22" ht="15" x14ac:dyDescent="0.25">
      <c r="V5956"/>
    </row>
    <row r="5957" spans="22:22" ht="15" x14ac:dyDescent="0.25">
      <c r="V5957"/>
    </row>
    <row r="5958" spans="22:22" ht="15" x14ac:dyDescent="0.25">
      <c r="V5958"/>
    </row>
    <row r="5959" spans="22:22" ht="15" x14ac:dyDescent="0.25">
      <c r="V5959"/>
    </row>
    <row r="5960" spans="22:22" ht="15" x14ac:dyDescent="0.25">
      <c r="V5960"/>
    </row>
    <row r="5961" spans="22:22" ht="15" x14ac:dyDescent="0.25">
      <c r="V5961"/>
    </row>
    <row r="5962" spans="22:22" ht="15" x14ac:dyDescent="0.25">
      <c r="V5962"/>
    </row>
    <row r="5963" spans="22:22" ht="15" x14ac:dyDescent="0.25">
      <c r="V5963"/>
    </row>
    <row r="5964" spans="22:22" ht="15" x14ac:dyDescent="0.25">
      <c r="V5964"/>
    </row>
    <row r="5965" spans="22:22" ht="15" x14ac:dyDescent="0.25">
      <c r="V5965"/>
    </row>
    <row r="5966" spans="22:22" ht="15" x14ac:dyDescent="0.25">
      <c r="V5966"/>
    </row>
    <row r="5967" spans="22:22" ht="15" x14ac:dyDescent="0.25">
      <c r="V5967"/>
    </row>
    <row r="5968" spans="22:22" ht="15" x14ac:dyDescent="0.25">
      <c r="V5968"/>
    </row>
    <row r="5969" spans="22:22" ht="15" x14ac:dyDescent="0.25">
      <c r="V5969"/>
    </row>
    <row r="5970" spans="22:22" ht="15" x14ac:dyDescent="0.25">
      <c r="V5970"/>
    </row>
    <row r="5971" spans="22:22" ht="15" x14ac:dyDescent="0.25">
      <c r="V5971"/>
    </row>
    <row r="5972" spans="22:22" ht="15" x14ac:dyDescent="0.25">
      <c r="V5972"/>
    </row>
    <row r="5973" spans="22:22" ht="15" x14ac:dyDescent="0.25">
      <c r="V5973"/>
    </row>
    <row r="5974" spans="22:22" ht="15" x14ac:dyDescent="0.25">
      <c r="V5974"/>
    </row>
    <row r="5975" spans="22:22" ht="15" x14ac:dyDescent="0.25">
      <c r="V5975"/>
    </row>
    <row r="5976" spans="22:22" ht="15" x14ac:dyDescent="0.25">
      <c r="V5976"/>
    </row>
    <row r="5977" spans="22:22" ht="15" x14ac:dyDescent="0.25">
      <c r="V5977"/>
    </row>
    <row r="5978" spans="22:22" ht="15" x14ac:dyDescent="0.25">
      <c r="V5978"/>
    </row>
    <row r="5979" spans="22:22" ht="15" x14ac:dyDescent="0.25">
      <c r="V5979"/>
    </row>
    <row r="5980" spans="22:22" ht="15" x14ac:dyDescent="0.25">
      <c r="V5980"/>
    </row>
    <row r="5981" spans="22:22" ht="15" x14ac:dyDescent="0.25">
      <c r="V5981"/>
    </row>
    <row r="5982" spans="22:22" ht="15" x14ac:dyDescent="0.25">
      <c r="V5982"/>
    </row>
    <row r="5983" spans="22:22" ht="15" x14ac:dyDescent="0.25">
      <c r="V5983"/>
    </row>
    <row r="5984" spans="22:22" ht="15" x14ac:dyDescent="0.25">
      <c r="V5984"/>
    </row>
    <row r="5985" spans="22:22" ht="15" x14ac:dyDescent="0.25">
      <c r="V5985"/>
    </row>
    <row r="5986" spans="22:22" ht="15" x14ac:dyDescent="0.25">
      <c r="V5986"/>
    </row>
    <row r="5987" spans="22:22" ht="15" x14ac:dyDescent="0.25">
      <c r="V5987"/>
    </row>
    <row r="5988" spans="22:22" ht="15" x14ac:dyDescent="0.25">
      <c r="V5988"/>
    </row>
    <row r="5989" spans="22:22" ht="15" x14ac:dyDescent="0.25">
      <c r="V5989"/>
    </row>
    <row r="5990" spans="22:22" ht="15" x14ac:dyDescent="0.25">
      <c r="V5990"/>
    </row>
    <row r="5991" spans="22:22" ht="15" x14ac:dyDescent="0.25">
      <c r="V5991"/>
    </row>
    <row r="5992" spans="22:22" ht="15" x14ac:dyDescent="0.25">
      <c r="V5992"/>
    </row>
    <row r="5993" spans="22:22" ht="15" x14ac:dyDescent="0.25">
      <c r="V5993"/>
    </row>
    <row r="5994" spans="22:22" ht="15" x14ac:dyDescent="0.25">
      <c r="V5994"/>
    </row>
    <row r="5995" spans="22:22" ht="15" x14ac:dyDescent="0.25">
      <c r="V5995"/>
    </row>
    <row r="5996" spans="22:22" ht="15" x14ac:dyDescent="0.25">
      <c r="V5996"/>
    </row>
    <row r="5997" spans="22:22" ht="15" x14ac:dyDescent="0.25">
      <c r="V5997"/>
    </row>
    <row r="5998" spans="22:22" ht="15" x14ac:dyDescent="0.25">
      <c r="V5998"/>
    </row>
    <row r="5999" spans="22:22" ht="15" x14ac:dyDescent="0.25">
      <c r="V5999"/>
    </row>
    <row r="6000" spans="22:22" ht="15" x14ac:dyDescent="0.25">
      <c r="V6000"/>
    </row>
    <row r="6001" spans="22:22" ht="15" x14ac:dyDescent="0.25">
      <c r="V6001"/>
    </row>
    <row r="6002" spans="22:22" ht="15" x14ac:dyDescent="0.25">
      <c r="V6002"/>
    </row>
    <row r="6003" spans="22:22" ht="15" x14ac:dyDescent="0.25">
      <c r="V6003"/>
    </row>
    <row r="6004" spans="22:22" ht="15" x14ac:dyDescent="0.25">
      <c r="V6004"/>
    </row>
    <row r="6005" spans="22:22" ht="15" x14ac:dyDescent="0.25">
      <c r="V6005"/>
    </row>
    <row r="6006" spans="22:22" ht="15" x14ac:dyDescent="0.25">
      <c r="V6006"/>
    </row>
    <row r="6007" spans="22:22" ht="15" x14ac:dyDescent="0.25">
      <c r="V6007"/>
    </row>
    <row r="6008" spans="22:22" ht="15" x14ac:dyDescent="0.25">
      <c r="V6008"/>
    </row>
    <row r="6009" spans="22:22" ht="15" x14ac:dyDescent="0.25">
      <c r="V6009"/>
    </row>
    <row r="6010" spans="22:22" ht="15" x14ac:dyDescent="0.25">
      <c r="V6010"/>
    </row>
    <row r="6011" spans="22:22" ht="15" x14ac:dyDescent="0.25">
      <c r="V6011"/>
    </row>
    <row r="6012" spans="22:22" ht="15" x14ac:dyDescent="0.25">
      <c r="V6012"/>
    </row>
    <row r="6013" spans="22:22" ht="15" x14ac:dyDescent="0.25">
      <c r="V6013"/>
    </row>
    <row r="6014" spans="22:22" ht="15" x14ac:dyDescent="0.25">
      <c r="V6014"/>
    </row>
    <row r="6015" spans="22:22" ht="15" x14ac:dyDescent="0.25">
      <c r="V6015"/>
    </row>
    <row r="6016" spans="22:22" ht="15" x14ac:dyDescent="0.25">
      <c r="V6016"/>
    </row>
    <row r="6017" spans="22:22" ht="15" x14ac:dyDescent="0.25">
      <c r="V6017"/>
    </row>
    <row r="6018" spans="22:22" ht="15" x14ac:dyDescent="0.25">
      <c r="V6018"/>
    </row>
    <row r="6019" spans="22:22" ht="15" x14ac:dyDescent="0.25">
      <c r="V6019"/>
    </row>
    <row r="6020" spans="22:22" ht="15" x14ac:dyDescent="0.25">
      <c r="V6020"/>
    </row>
    <row r="6021" spans="22:22" ht="15" x14ac:dyDescent="0.25">
      <c r="V6021"/>
    </row>
    <row r="6022" spans="22:22" ht="15" x14ac:dyDescent="0.25">
      <c r="V6022"/>
    </row>
    <row r="6023" spans="22:22" ht="15" x14ac:dyDescent="0.25">
      <c r="V6023"/>
    </row>
    <row r="6024" spans="22:22" ht="15" x14ac:dyDescent="0.25">
      <c r="V6024"/>
    </row>
    <row r="6025" spans="22:22" ht="15" x14ac:dyDescent="0.25">
      <c r="V6025"/>
    </row>
    <row r="6026" spans="22:22" ht="15" x14ac:dyDescent="0.25">
      <c r="V6026"/>
    </row>
    <row r="6027" spans="22:22" ht="15" x14ac:dyDescent="0.25">
      <c r="V6027"/>
    </row>
    <row r="6028" spans="22:22" ht="15" x14ac:dyDescent="0.25">
      <c r="V6028"/>
    </row>
    <row r="6029" spans="22:22" ht="15" x14ac:dyDescent="0.25">
      <c r="V6029"/>
    </row>
    <row r="6030" spans="22:22" ht="15" x14ac:dyDescent="0.25">
      <c r="V6030"/>
    </row>
    <row r="6031" spans="22:22" ht="15" x14ac:dyDescent="0.25">
      <c r="V6031"/>
    </row>
    <row r="6032" spans="22:22" ht="15" x14ac:dyDescent="0.25">
      <c r="V6032"/>
    </row>
    <row r="6033" spans="22:22" ht="15" x14ac:dyDescent="0.25">
      <c r="V6033"/>
    </row>
    <row r="6034" spans="22:22" ht="15" x14ac:dyDescent="0.25">
      <c r="V6034"/>
    </row>
    <row r="6035" spans="22:22" ht="15" x14ac:dyDescent="0.25">
      <c r="V6035"/>
    </row>
    <row r="6036" spans="22:22" ht="15" x14ac:dyDescent="0.25">
      <c r="V6036"/>
    </row>
    <row r="6037" spans="22:22" ht="15" x14ac:dyDescent="0.25">
      <c r="V6037"/>
    </row>
    <row r="6038" spans="22:22" ht="15" x14ac:dyDescent="0.25">
      <c r="V6038"/>
    </row>
    <row r="6039" spans="22:22" ht="15" x14ac:dyDescent="0.25">
      <c r="V6039"/>
    </row>
    <row r="6040" spans="22:22" ht="15" x14ac:dyDescent="0.25">
      <c r="V6040"/>
    </row>
    <row r="6041" spans="22:22" ht="15" x14ac:dyDescent="0.25">
      <c r="V6041"/>
    </row>
    <row r="6042" spans="22:22" ht="15" x14ac:dyDescent="0.25">
      <c r="V6042"/>
    </row>
    <row r="6043" spans="22:22" ht="15" x14ac:dyDescent="0.25">
      <c r="V6043"/>
    </row>
    <row r="6044" spans="22:22" ht="15" x14ac:dyDescent="0.25">
      <c r="V6044"/>
    </row>
    <row r="6045" spans="22:22" ht="15" x14ac:dyDescent="0.25">
      <c r="V6045"/>
    </row>
    <row r="6046" spans="22:22" ht="15" x14ac:dyDescent="0.25">
      <c r="V6046"/>
    </row>
    <row r="6047" spans="22:22" ht="15" x14ac:dyDescent="0.25">
      <c r="V6047"/>
    </row>
    <row r="6048" spans="22:22" ht="15" x14ac:dyDescent="0.25">
      <c r="V6048"/>
    </row>
    <row r="6049" spans="22:22" ht="15" x14ac:dyDescent="0.25">
      <c r="V6049"/>
    </row>
    <row r="6050" spans="22:22" ht="15" x14ac:dyDescent="0.25">
      <c r="V6050"/>
    </row>
    <row r="6051" spans="22:22" ht="15" x14ac:dyDescent="0.25">
      <c r="V6051"/>
    </row>
    <row r="6052" spans="22:22" ht="15" x14ac:dyDescent="0.25">
      <c r="V6052"/>
    </row>
    <row r="6053" spans="22:22" ht="15" x14ac:dyDescent="0.25">
      <c r="V6053"/>
    </row>
    <row r="6054" spans="22:22" ht="15" x14ac:dyDescent="0.25">
      <c r="V6054"/>
    </row>
    <row r="6055" spans="22:22" ht="15" x14ac:dyDescent="0.25">
      <c r="V6055"/>
    </row>
    <row r="6056" spans="22:22" ht="15" x14ac:dyDescent="0.25">
      <c r="V6056"/>
    </row>
    <row r="6057" spans="22:22" ht="15" x14ac:dyDescent="0.25">
      <c r="V6057"/>
    </row>
    <row r="6058" spans="22:22" ht="15" x14ac:dyDescent="0.25">
      <c r="V6058"/>
    </row>
    <row r="6059" spans="22:22" ht="15" x14ac:dyDescent="0.25">
      <c r="V6059"/>
    </row>
    <row r="6060" spans="22:22" ht="15" x14ac:dyDescent="0.25">
      <c r="V6060"/>
    </row>
    <row r="6061" spans="22:22" ht="15" x14ac:dyDescent="0.25">
      <c r="V6061"/>
    </row>
    <row r="6062" spans="22:22" ht="15" x14ac:dyDescent="0.25">
      <c r="V6062"/>
    </row>
    <row r="6063" spans="22:22" ht="15" x14ac:dyDescent="0.25">
      <c r="V6063"/>
    </row>
    <row r="6064" spans="22:22" ht="15" x14ac:dyDescent="0.25">
      <c r="V6064"/>
    </row>
    <row r="6065" spans="22:22" ht="15" x14ac:dyDescent="0.25">
      <c r="V6065"/>
    </row>
    <row r="6066" spans="22:22" ht="15" x14ac:dyDescent="0.25">
      <c r="V6066"/>
    </row>
    <row r="6067" spans="22:22" ht="15" x14ac:dyDescent="0.25">
      <c r="V6067"/>
    </row>
    <row r="6068" spans="22:22" ht="15" x14ac:dyDescent="0.25">
      <c r="V6068"/>
    </row>
    <row r="6069" spans="22:22" ht="15" x14ac:dyDescent="0.25">
      <c r="V6069"/>
    </row>
    <row r="6070" spans="22:22" ht="15" x14ac:dyDescent="0.25">
      <c r="V6070"/>
    </row>
    <row r="6071" spans="22:22" ht="15" x14ac:dyDescent="0.25">
      <c r="V6071"/>
    </row>
    <row r="6072" spans="22:22" ht="15" x14ac:dyDescent="0.25">
      <c r="V6072"/>
    </row>
    <row r="6073" spans="22:22" ht="15" x14ac:dyDescent="0.25">
      <c r="V6073"/>
    </row>
    <row r="6074" spans="22:22" ht="15" x14ac:dyDescent="0.25">
      <c r="V6074"/>
    </row>
    <row r="6075" spans="22:22" ht="15" x14ac:dyDescent="0.25">
      <c r="V6075"/>
    </row>
    <row r="6076" spans="22:22" ht="15" x14ac:dyDescent="0.25">
      <c r="V6076"/>
    </row>
    <row r="6077" spans="22:22" ht="15" x14ac:dyDescent="0.25">
      <c r="V6077"/>
    </row>
    <row r="6078" spans="22:22" ht="15" x14ac:dyDescent="0.25">
      <c r="V6078"/>
    </row>
    <row r="6079" spans="22:22" ht="15" x14ac:dyDescent="0.25">
      <c r="V6079"/>
    </row>
    <row r="6080" spans="22:22" ht="15" x14ac:dyDescent="0.25">
      <c r="V6080"/>
    </row>
    <row r="6081" spans="22:22" ht="15" x14ac:dyDescent="0.25">
      <c r="V6081"/>
    </row>
    <row r="6082" spans="22:22" ht="15" x14ac:dyDescent="0.25">
      <c r="V6082"/>
    </row>
    <row r="6083" spans="22:22" ht="15" x14ac:dyDescent="0.25">
      <c r="V6083"/>
    </row>
    <row r="6084" spans="22:22" ht="15" x14ac:dyDescent="0.25">
      <c r="V6084"/>
    </row>
    <row r="6085" spans="22:22" ht="15" x14ac:dyDescent="0.25">
      <c r="V6085"/>
    </row>
    <row r="6086" spans="22:22" ht="15" x14ac:dyDescent="0.25">
      <c r="V6086"/>
    </row>
    <row r="6087" spans="22:22" ht="15" x14ac:dyDescent="0.25">
      <c r="V6087"/>
    </row>
    <row r="6088" spans="22:22" ht="15" x14ac:dyDescent="0.25">
      <c r="V6088"/>
    </row>
    <row r="6089" spans="22:22" ht="15" x14ac:dyDescent="0.25">
      <c r="V6089"/>
    </row>
    <row r="6090" spans="22:22" ht="15" x14ac:dyDescent="0.25">
      <c r="V6090"/>
    </row>
    <row r="6091" spans="22:22" ht="15" x14ac:dyDescent="0.25">
      <c r="V6091"/>
    </row>
    <row r="6092" spans="22:22" ht="15" x14ac:dyDescent="0.25">
      <c r="V6092"/>
    </row>
    <row r="6093" spans="22:22" ht="15" x14ac:dyDescent="0.25">
      <c r="V6093"/>
    </row>
    <row r="6094" spans="22:22" ht="15" x14ac:dyDescent="0.25">
      <c r="V6094"/>
    </row>
    <row r="6095" spans="22:22" ht="15" x14ac:dyDescent="0.25">
      <c r="V6095"/>
    </row>
    <row r="6096" spans="22:22" ht="15" x14ac:dyDescent="0.25">
      <c r="V6096"/>
    </row>
    <row r="6097" spans="22:22" ht="15" x14ac:dyDescent="0.25">
      <c r="V6097"/>
    </row>
    <row r="6098" spans="22:22" ht="15" x14ac:dyDescent="0.25">
      <c r="V6098"/>
    </row>
    <row r="6099" spans="22:22" ht="15" x14ac:dyDescent="0.25">
      <c r="V6099"/>
    </row>
    <row r="6100" spans="22:22" ht="15" x14ac:dyDescent="0.25">
      <c r="V6100"/>
    </row>
    <row r="6101" spans="22:22" ht="15" x14ac:dyDescent="0.25">
      <c r="V6101"/>
    </row>
    <row r="6102" spans="22:22" ht="15" x14ac:dyDescent="0.25">
      <c r="V6102"/>
    </row>
    <row r="6103" spans="22:22" ht="15" x14ac:dyDescent="0.25">
      <c r="V6103"/>
    </row>
    <row r="6104" spans="22:22" ht="15" x14ac:dyDescent="0.25">
      <c r="V6104"/>
    </row>
    <row r="6105" spans="22:22" ht="15" x14ac:dyDescent="0.25">
      <c r="V6105"/>
    </row>
    <row r="6106" spans="22:22" ht="15" x14ac:dyDescent="0.25">
      <c r="V6106"/>
    </row>
    <row r="6107" spans="22:22" ht="15" x14ac:dyDescent="0.25">
      <c r="V6107"/>
    </row>
    <row r="6108" spans="22:22" ht="15" x14ac:dyDescent="0.25">
      <c r="V6108"/>
    </row>
    <row r="6109" spans="22:22" ht="15" x14ac:dyDescent="0.25">
      <c r="V6109"/>
    </row>
    <row r="6110" spans="22:22" ht="15" x14ac:dyDescent="0.25">
      <c r="V6110"/>
    </row>
    <row r="6111" spans="22:22" ht="15" x14ac:dyDescent="0.25">
      <c r="V6111"/>
    </row>
    <row r="6112" spans="22:22" ht="15" x14ac:dyDescent="0.25">
      <c r="V6112"/>
    </row>
    <row r="6113" spans="22:22" ht="15" x14ac:dyDescent="0.25">
      <c r="V6113"/>
    </row>
    <row r="6114" spans="22:22" ht="15" x14ac:dyDescent="0.25">
      <c r="V6114"/>
    </row>
    <row r="6115" spans="22:22" ht="15" x14ac:dyDescent="0.25">
      <c r="V6115"/>
    </row>
    <row r="6116" spans="22:22" ht="15" x14ac:dyDescent="0.25">
      <c r="V6116"/>
    </row>
    <row r="6117" spans="22:22" ht="15" x14ac:dyDescent="0.25">
      <c r="V6117"/>
    </row>
    <row r="6118" spans="22:22" ht="15" x14ac:dyDescent="0.25">
      <c r="V6118"/>
    </row>
    <row r="6119" spans="22:22" ht="15" x14ac:dyDescent="0.25">
      <c r="V6119"/>
    </row>
    <row r="6120" spans="22:22" ht="15" x14ac:dyDescent="0.25">
      <c r="V6120"/>
    </row>
    <row r="6121" spans="22:22" ht="15" x14ac:dyDescent="0.25">
      <c r="V6121"/>
    </row>
    <row r="6122" spans="22:22" ht="15" x14ac:dyDescent="0.25">
      <c r="V6122"/>
    </row>
    <row r="6123" spans="22:22" ht="15" x14ac:dyDescent="0.25">
      <c r="V6123"/>
    </row>
    <row r="6124" spans="22:22" ht="15" x14ac:dyDescent="0.25">
      <c r="V6124"/>
    </row>
    <row r="6125" spans="22:22" ht="15" x14ac:dyDescent="0.25">
      <c r="V6125"/>
    </row>
    <row r="6126" spans="22:22" ht="15" x14ac:dyDescent="0.25">
      <c r="V6126"/>
    </row>
    <row r="6127" spans="22:22" ht="15" x14ac:dyDescent="0.25">
      <c r="V6127"/>
    </row>
    <row r="6128" spans="22:22" ht="15" x14ac:dyDescent="0.25">
      <c r="V6128"/>
    </row>
    <row r="6129" spans="22:22" ht="15" x14ac:dyDescent="0.25">
      <c r="V6129"/>
    </row>
    <row r="6130" spans="22:22" ht="15" x14ac:dyDescent="0.25">
      <c r="V6130"/>
    </row>
    <row r="6131" spans="22:22" ht="15" x14ac:dyDescent="0.25">
      <c r="V6131"/>
    </row>
    <row r="6132" spans="22:22" ht="15" x14ac:dyDescent="0.25">
      <c r="V6132"/>
    </row>
    <row r="6133" spans="22:22" ht="15" x14ac:dyDescent="0.25">
      <c r="V6133"/>
    </row>
    <row r="6134" spans="22:22" ht="15" x14ac:dyDescent="0.25">
      <c r="V6134"/>
    </row>
    <row r="6135" spans="22:22" ht="15" x14ac:dyDescent="0.25">
      <c r="V6135"/>
    </row>
    <row r="6136" spans="22:22" ht="15" x14ac:dyDescent="0.25">
      <c r="V6136"/>
    </row>
    <row r="6137" spans="22:22" ht="15" x14ac:dyDescent="0.25">
      <c r="V6137"/>
    </row>
    <row r="6138" spans="22:22" ht="15" x14ac:dyDescent="0.25">
      <c r="V6138"/>
    </row>
    <row r="6139" spans="22:22" ht="15" x14ac:dyDescent="0.25">
      <c r="V6139"/>
    </row>
    <row r="6140" spans="22:22" ht="15" x14ac:dyDescent="0.25">
      <c r="V6140"/>
    </row>
    <row r="6141" spans="22:22" ht="15" x14ac:dyDescent="0.25">
      <c r="V6141"/>
    </row>
    <row r="6142" spans="22:22" ht="15" x14ac:dyDescent="0.25">
      <c r="V6142"/>
    </row>
    <row r="6143" spans="22:22" ht="15" x14ac:dyDescent="0.25">
      <c r="V6143"/>
    </row>
    <row r="6144" spans="22:22" ht="15" x14ac:dyDescent="0.25">
      <c r="V6144"/>
    </row>
    <row r="6145" spans="22:22" ht="15" x14ac:dyDescent="0.25">
      <c r="V6145"/>
    </row>
    <row r="6146" spans="22:22" ht="15" x14ac:dyDescent="0.25">
      <c r="V6146"/>
    </row>
    <row r="6147" spans="22:22" ht="15" x14ac:dyDescent="0.25">
      <c r="V6147"/>
    </row>
    <row r="6148" spans="22:22" ht="15" x14ac:dyDescent="0.25">
      <c r="V6148"/>
    </row>
    <row r="6149" spans="22:22" ht="15" x14ac:dyDescent="0.25">
      <c r="V6149"/>
    </row>
    <row r="6150" spans="22:22" ht="15" x14ac:dyDescent="0.25">
      <c r="V6150"/>
    </row>
    <row r="6151" spans="22:22" ht="15" x14ac:dyDescent="0.25">
      <c r="V6151"/>
    </row>
    <row r="6152" spans="22:22" ht="15" x14ac:dyDescent="0.25">
      <c r="V6152"/>
    </row>
    <row r="6153" spans="22:22" ht="15" x14ac:dyDescent="0.25">
      <c r="V6153"/>
    </row>
    <row r="6154" spans="22:22" ht="15" x14ac:dyDescent="0.25">
      <c r="V6154"/>
    </row>
    <row r="6155" spans="22:22" ht="15" x14ac:dyDescent="0.25">
      <c r="V6155"/>
    </row>
    <row r="6156" spans="22:22" ht="15" x14ac:dyDescent="0.25">
      <c r="V6156"/>
    </row>
    <row r="6157" spans="22:22" ht="15" x14ac:dyDescent="0.25">
      <c r="V6157"/>
    </row>
    <row r="6158" spans="22:22" ht="15" x14ac:dyDescent="0.25">
      <c r="V6158"/>
    </row>
    <row r="6159" spans="22:22" ht="15" x14ac:dyDescent="0.25">
      <c r="V6159"/>
    </row>
    <row r="6160" spans="22:22" ht="15" x14ac:dyDescent="0.25">
      <c r="V6160"/>
    </row>
    <row r="6161" spans="22:22" ht="15" x14ac:dyDescent="0.25">
      <c r="V6161"/>
    </row>
    <row r="6162" spans="22:22" ht="15" x14ac:dyDescent="0.25">
      <c r="V6162"/>
    </row>
    <row r="6163" spans="22:22" ht="15" x14ac:dyDescent="0.25">
      <c r="V6163"/>
    </row>
    <row r="6164" spans="22:22" ht="15" x14ac:dyDescent="0.25">
      <c r="V6164"/>
    </row>
    <row r="6165" spans="22:22" ht="15" x14ac:dyDescent="0.25">
      <c r="V6165"/>
    </row>
    <row r="6166" spans="22:22" ht="15" x14ac:dyDescent="0.25">
      <c r="V6166"/>
    </row>
    <row r="6167" spans="22:22" ht="15" x14ac:dyDescent="0.25">
      <c r="V6167"/>
    </row>
    <row r="6168" spans="22:22" ht="15" x14ac:dyDescent="0.25">
      <c r="V6168"/>
    </row>
    <row r="6169" spans="22:22" ht="15" x14ac:dyDescent="0.25">
      <c r="V6169"/>
    </row>
    <row r="6170" spans="22:22" ht="15" x14ac:dyDescent="0.25">
      <c r="V6170"/>
    </row>
    <row r="6171" spans="22:22" ht="15" x14ac:dyDescent="0.25">
      <c r="V6171"/>
    </row>
    <row r="6172" spans="22:22" ht="15" x14ac:dyDescent="0.25">
      <c r="V6172"/>
    </row>
    <row r="6173" spans="22:22" ht="15" x14ac:dyDescent="0.25">
      <c r="V6173"/>
    </row>
    <row r="6174" spans="22:22" ht="15" x14ac:dyDescent="0.25">
      <c r="V6174"/>
    </row>
    <row r="6175" spans="22:22" ht="15" x14ac:dyDescent="0.25">
      <c r="V6175"/>
    </row>
    <row r="6176" spans="22:22" ht="15" x14ac:dyDescent="0.25">
      <c r="V6176"/>
    </row>
    <row r="6177" spans="22:22" ht="15" x14ac:dyDescent="0.25">
      <c r="V6177"/>
    </row>
    <row r="6178" spans="22:22" ht="15" x14ac:dyDescent="0.25">
      <c r="V6178"/>
    </row>
    <row r="6179" spans="22:22" ht="15" x14ac:dyDescent="0.25">
      <c r="V6179"/>
    </row>
    <row r="6180" spans="22:22" ht="15" x14ac:dyDescent="0.25">
      <c r="V6180"/>
    </row>
    <row r="6181" spans="22:22" ht="15" x14ac:dyDescent="0.25">
      <c r="V6181"/>
    </row>
    <row r="6182" spans="22:22" ht="15" x14ac:dyDescent="0.25">
      <c r="V6182"/>
    </row>
    <row r="6183" spans="22:22" ht="15" x14ac:dyDescent="0.25">
      <c r="V6183"/>
    </row>
    <row r="6184" spans="22:22" ht="15" x14ac:dyDescent="0.25">
      <c r="V6184"/>
    </row>
    <row r="6185" spans="22:22" ht="15" x14ac:dyDescent="0.25">
      <c r="V6185"/>
    </row>
    <row r="6186" spans="22:22" ht="15" x14ac:dyDescent="0.25">
      <c r="V6186"/>
    </row>
    <row r="6187" spans="22:22" ht="15" x14ac:dyDescent="0.25">
      <c r="V6187"/>
    </row>
    <row r="6188" spans="22:22" ht="15" x14ac:dyDescent="0.25">
      <c r="V6188"/>
    </row>
    <row r="6189" spans="22:22" ht="15" x14ac:dyDescent="0.25">
      <c r="V6189"/>
    </row>
    <row r="6190" spans="22:22" ht="15" x14ac:dyDescent="0.25">
      <c r="V6190"/>
    </row>
    <row r="6191" spans="22:22" ht="15" x14ac:dyDescent="0.25">
      <c r="V6191"/>
    </row>
    <row r="6192" spans="22:22" ht="15" x14ac:dyDescent="0.25">
      <c r="V6192"/>
    </row>
    <row r="6193" spans="22:22" ht="15" x14ac:dyDescent="0.25">
      <c r="V6193"/>
    </row>
    <row r="6194" spans="22:22" ht="15" x14ac:dyDescent="0.25">
      <c r="V6194"/>
    </row>
    <row r="6195" spans="22:22" ht="15" x14ac:dyDescent="0.25">
      <c r="V6195"/>
    </row>
    <row r="6196" spans="22:22" ht="15" x14ac:dyDescent="0.25">
      <c r="V6196"/>
    </row>
    <row r="6197" spans="22:22" ht="15" x14ac:dyDescent="0.25">
      <c r="V6197"/>
    </row>
    <row r="6198" spans="22:22" ht="15" x14ac:dyDescent="0.25">
      <c r="V6198"/>
    </row>
    <row r="6199" spans="22:22" ht="15" x14ac:dyDescent="0.25">
      <c r="V6199"/>
    </row>
    <row r="6200" spans="22:22" ht="15" x14ac:dyDescent="0.25">
      <c r="V6200"/>
    </row>
    <row r="6201" spans="22:22" ht="15" x14ac:dyDescent="0.25">
      <c r="V6201"/>
    </row>
    <row r="6202" spans="22:22" ht="15" x14ac:dyDescent="0.25">
      <c r="V6202"/>
    </row>
    <row r="6203" spans="22:22" ht="15" x14ac:dyDescent="0.25">
      <c r="V6203"/>
    </row>
    <row r="6204" spans="22:22" ht="15" x14ac:dyDescent="0.25">
      <c r="V6204"/>
    </row>
    <row r="6205" spans="22:22" ht="15" x14ac:dyDescent="0.25">
      <c r="V6205"/>
    </row>
    <row r="6206" spans="22:22" ht="15" x14ac:dyDescent="0.25">
      <c r="V6206"/>
    </row>
    <row r="6207" spans="22:22" ht="15" x14ac:dyDescent="0.25">
      <c r="V6207"/>
    </row>
    <row r="6208" spans="22:22" ht="15" x14ac:dyDescent="0.25">
      <c r="V6208"/>
    </row>
    <row r="6209" spans="22:22" ht="15" x14ac:dyDescent="0.25">
      <c r="V6209"/>
    </row>
    <row r="6210" spans="22:22" ht="15" x14ac:dyDescent="0.25">
      <c r="V6210"/>
    </row>
    <row r="6211" spans="22:22" ht="15" x14ac:dyDescent="0.25">
      <c r="V6211"/>
    </row>
    <row r="6212" spans="22:22" ht="15" x14ac:dyDescent="0.25">
      <c r="V6212"/>
    </row>
    <row r="6213" spans="22:22" ht="15" x14ac:dyDescent="0.25">
      <c r="V6213"/>
    </row>
    <row r="6214" spans="22:22" ht="15" x14ac:dyDescent="0.25">
      <c r="V6214"/>
    </row>
    <row r="6215" spans="22:22" ht="15" x14ac:dyDescent="0.25">
      <c r="V6215"/>
    </row>
    <row r="6216" spans="22:22" ht="15" x14ac:dyDescent="0.25">
      <c r="V6216"/>
    </row>
    <row r="6217" spans="22:22" ht="15" x14ac:dyDescent="0.25">
      <c r="V6217"/>
    </row>
    <row r="6218" spans="22:22" ht="15" x14ac:dyDescent="0.25">
      <c r="V6218"/>
    </row>
    <row r="6219" spans="22:22" ht="15" x14ac:dyDescent="0.25">
      <c r="V6219"/>
    </row>
    <row r="6220" spans="22:22" ht="15" x14ac:dyDescent="0.25">
      <c r="V6220"/>
    </row>
    <row r="6221" spans="22:22" ht="15" x14ac:dyDescent="0.25">
      <c r="V6221"/>
    </row>
    <row r="6222" spans="22:22" ht="15" x14ac:dyDescent="0.25">
      <c r="V6222"/>
    </row>
    <row r="6223" spans="22:22" ht="15" x14ac:dyDescent="0.25">
      <c r="V6223"/>
    </row>
    <row r="6224" spans="22:22" ht="15" x14ac:dyDescent="0.25">
      <c r="V6224"/>
    </row>
    <row r="6225" spans="22:22" ht="15" x14ac:dyDescent="0.25">
      <c r="V6225"/>
    </row>
    <row r="6226" spans="22:22" ht="15" x14ac:dyDescent="0.25">
      <c r="V6226"/>
    </row>
    <row r="6227" spans="22:22" ht="15" x14ac:dyDescent="0.25">
      <c r="V6227"/>
    </row>
    <row r="6228" spans="22:22" ht="15" x14ac:dyDescent="0.25">
      <c r="V6228"/>
    </row>
    <row r="6229" spans="22:22" ht="15" x14ac:dyDescent="0.25">
      <c r="V6229"/>
    </row>
    <row r="6230" spans="22:22" ht="15" x14ac:dyDescent="0.25">
      <c r="V6230"/>
    </row>
    <row r="6231" spans="22:22" ht="15" x14ac:dyDescent="0.25">
      <c r="V6231"/>
    </row>
    <row r="6232" spans="22:22" ht="15" x14ac:dyDescent="0.25">
      <c r="V6232"/>
    </row>
    <row r="6233" spans="22:22" ht="15" x14ac:dyDescent="0.25">
      <c r="V6233"/>
    </row>
    <row r="6234" spans="22:22" ht="15" x14ac:dyDescent="0.25">
      <c r="V6234"/>
    </row>
    <row r="6235" spans="22:22" ht="15" x14ac:dyDescent="0.25">
      <c r="V6235"/>
    </row>
    <row r="6236" spans="22:22" ht="15" x14ac:dyDescent="0.25">
      <c r="V6236"/>
    </row>
    <row r="6237" spans="22:22" ht="15" x14ac:dyDescent="0.25">
      <c r="V6237"/>
    </row>
    <row r="6238" spans="22:22" ht="15" x14ac:dyDescent="0.25">
      <c r="V6238"/>
    </row>
    <row r="6239" spans="22:22" ht="15" x14ac:dyDescent="0.25">
      <c r="V6239"/>
    </row>
    <row r="6240" spans="22:22" ht="15" x14ac:dyDescent="0.25">
      <c r="V6240"/>
    </row>
    <row r="6241" spans="22:22" ht="15" x14ac:dyDescent="0.25">
      <c r="V6241"/>
    </row>
    <row r="6242" spans="22:22" ht="15" x14ac:dyDescent="0.25">
      <c r="V6242"/>
    </row>
    <row r="6243" spans="22:22" ht="15" x14ac:dyDescent="0.25">
      <c r="V6243"/>
    </row>
    <row r="6244" spans="22:22" ht="15" x14ac:dyDescent="0.25">
      <c r="V6244"/>
    </row>
    <row r="6245" spans="22:22" ht="15" x14ac:dyDescent="0.25">
      <c r="V6245"/>
    </row>
    <row r="6246" spans="22:22" ht="15" x14ac:dyDescent="0.25">
      <c r="V6246"/>
    </row>
    <row r="6247" spans="22:22" ht="15" x14ac:dyDescent="0.25">
      <c r="V6247"/>
    </row>
    <row r="6248" spans="22:22" ht="15" x14ac:dyDescent="0.25">
      <c r="V6248"/>
    </row>
    <row r="6249" spans="22:22" ht="15" x14ac:dyDescent="0.25">
      <c r="V6249"/>
    </row>
    <row r="6250" spans="22:22" ht="15" x14ac:dyDescent="0.25">
      <c r="V6250"/>
    </row>
    <row r="6251" spans="22:22" ht="15" x14ac:dyDescent="0.25">
      <c r="V6251"/>
    </row>
    <row r="6252" spans="22:22" ht="15" x14ac:dyDescent="0.25">
      <c r="V6252"/>
    </row>
    <row r="6253" spans="22:22" ht="15" x14ac:dyDescent="0.25">
      <c r="V6253"/>
    </row>
    <row r="6254" spans="22:22" ht="15" x14ac:dyDescent="0.25">
      <c r="V6254"/>
    </row>
    <row r="6255" spans="22:22" ht="15" x14ac:dyDescent="0.25">
      <c r="V6255"/>
    </row>
    <row r="6256" spans="22:22" ht="15" x14ac:dyDescent="0.25">
      <c r="V6256"/>
    </row>
    <row r="6257" spans="22:22" ht="15" x14ac:dyDescent="0.25">
      <c r="V6257"/>
    </row>
    <row r="6258" spans="22:22" ht="15" x14ac:dyDescent="0.25">
      <c r="V6258"/>
    </row>
    <row r="6259" spans="22:22" ht="15" x14ac:dyDescent="0.25">
      <c r="V6259"/>
    </row>
    <row r="6260" spans="22:22" ht="15" x14ac:dyDescent="0.25">
      <c r="V6260"/>
    </row>
    <row r="6261" spans="22:22" ht="15" x14ac:dyDescent="0.25">
      <c r="V6261"/>
    </row>
    <row r="6262" spans="22:22" ht="15" x14ac:dyDescent="0.25">
      <c r="V6262"/>
    </row>
    <row r="6263" spans="22:22" ht="15" x14ac:dyDescent="0.25">
      <c r="V6263"/>
    </row>
    <row r="6264" spans="22:22" ht="15" x14ac:dyDescent="0.25">
      <c r="V6264"/>
    </row>
    <row r="6265" spans="22:22" ht="15" x14ac:dyDescent="0.25">
      <c r="V6265"/>
    </row>
    <row r="6266" spans="22:22" ht="15" x14ac:dyDescent="0.25">
      <c r="V6266"/>
    </row>
    <row r="6267" spans="22:22" ht="15" x14ac:dyDescent="0.25">
      <c r="V6267"/>
    </row>
    <row r="6268" spans="22:22" ht="15" x14ac:dyDescent="0.25">
      <c r="V6268"/>
    </row>
    <row r="6269" spans="22:22" ht="15" x14ac:dyDescent="0.25">
      <c r="V6269"/>
    </row>
    <row r="6270" spans="22:22" ht="15" x14ac:dyDescent="0.25">
      <c r="V6270"/>
    </row>
    <row r="6271" spans="22:22" ht="15" x14ac:dyDescent="0.25">
      <c r="V6271"/>
    </row>
    <row r="6272" spans="22:22" ht="15" x14ac:dyDescent="0.25">
      <c r="V6272"/>
    </row>
    <row r="6273" spans="22:22" ht="15" x14ac:dyDescent="0.25">
      <c r="V6273"/>
    </row>
    <row r="6274" spans="22:22" ht="15" x14ac:dyDescent="0.25">
      <c r="V6274"/>
    </row>
    <row r="6275" spans="22:22" ht="15" x14ac:dyDescent="0.25">
      <c r="V6275"/>
    </row>
    <row r="6276" spans="22:22" ht="15" x14ac:dyDescent="0.25">
      <c r="V6276"/>
    </row>
    <row r="6277" spans="22:22" ht="15" x14ac:dyDescent="0.25">
      <c r="V6277"/>
    </row>
    <row r="6278" spans="22:22" ht="15" x14ac:dyDescent="0.25">
      <c r="V6278"/>
    </row>
    <row r="6279" spans="22:22" ht="15" x14ac:dyDescent="0.25">
      <c r="V6279"/>
    </row>
    <row r="6280" spans="22:22" ht="15" x14ac:dyDescent="0.25">
      <c r="V6280"/>
    </row>
    <row r="6281" spans="22:22" ht="15" x14ac:dyDescent="0.25">
      <c r="V6281"/>
    </row>
    <row r="6282" spans="22:22" ht="15" x14ac:dyDescent="0.25">
      <c r="V6282"/>
    </row>
    <row r="6283" spans="22:22" ht="15" x14ac:dyDescent="0.25">
      <c r="V6283"/>
    </row>
    <row r="6284" spans="22:22" ht="15" x14ac:dyDescent="0.25">
      <c r="V6284"/>
    </row>
    <row r="6285" spans="22:22" ht="15" x14ac:dyDescent="0.25">
      <c r="V6285"/>
    </row>
    <row r="6286" spans="22:22" ht="15" x14ac:dyDescent="0.25">
      <c r="V6286"/>
    </row>
    <row r="6287" spans="22:22" ht="15" x14ac:dyDescent="0.25">
      <c r="V6287"/>
    </row>
    <row r="6288" spans="22:22" ht="15" x14ac:dyDescent="0.25">
      <c r="V6288"/>
    </row>
    <row r="6289" spans="22:22" ht="15" x14ac:dyDescent="0.25">
      <c r="V6289"/>
    </row>
    <row r="6290" spans="22:22" ht="15" x14ac:dyDescent="0.25">
      <c r="V6290"/>
    </row>
    <row r="6291" spans="22:22" ht="15" x14ac:dyDescent="0.25">
      <c r="V6291"/>
    </row>
    <row r="6292" spans="22:22" ht="15" x14ac:dyDescent="0.25">
      <c r="V6292"/>
    </row>
    <row r="6293" spans="22:22" ht="15" x14ac:dyDescent="0.25">
      <c r="V6293"/>
    </row>
    <row r="6294" spans="22:22" ht="15" x14ac:dyDescent="0.25">
      <c r="V6294"/>
    </row>
    <row r="6295" spans="22:22" ht="15" x14ac:dyDescent="0.25">
      <c r="V6295"/>
    </row>
    <row r="6296" spans="22:22" ht="15" x14ac:dyDescent="0.25">
      <c r="V6296"/>
    </row>
    <row r="6297" spans="22:22" ht="15" x14ac:dyDescent="0.25">
      <c r="V6297"/>
    </row>
    <row r="6298" spans="22:22" ht="15" x14ac:dyDescent="0.25">
      <c r="V6298"/>
    </row>
    <row r="6299" spans="22:22" ht="15" x14ac:dyDescent="0.25">
      <c r="V6299"/>
    </row>
    <row r="6300" spans="22:22" ht="15" x14ac:dyDescent="0.25">
      <c r="V6300"/>
    </row>
    <row r="6301" spans="22:22" ht="15" x14ac:dyDescent="0.25">
      <c r="V6301"/>
    </row>
    <row r="6302" spans="22:22" ht="15" x14ac:dyDescent="0.25">
      <c r="V6302"/>
    </row>
    <row r="6303" spans="22:22" ht="15" x14ac:dyDescent="0.25">
      <c r="V6303"/>
    </row>
    <row r="6304" spans="22:22" ht="15" x14ac:dyDescent="0.25">
      <c r="V6304"/>
    </row>
    <row r="6305" spans="22:22" ht="15" x14ac:dyDescent="0.25">
      <c r="V6305"/>
    </row>
    <row r="6306" spans="22:22" ht="15" x14ac:dyDescent="0.25">
      <c r="V6306"/>
    </row>
    <row r="6307" spans="22:22" ht="15" x14ac:dyDescent="0.25">
      <c r="V6307"/>
    </row>
    <row r="6308" spans="22:22" ht="15" x14ac:dyDescent="0.25">
      <c r="V6308"/>
    </row>
    <row r="6309" spans="22:22" ht="15" x14ac:dyDescent="0.25">
      <c r="V6309"/>
    </row>
    <row r="6310" spans="22:22" ht="15" x14ac:dyDescent="0.25">
      <c r="V6310"/>
    </row>
    <row r="6311" spans="22:22" ht="15" x14ac:dyDescent="0.25">
      <c r="V6311"/>
    </row>
    <row r="6312" spans="22:22" ht="15" x14ac:dyDescent="0.25">
      <c r="V6312"/>
    </row>
    <row r="6313" spans="22:22" ht="15" x14ac:dyDescent="0.25">
      <c r="V6313"/>
    </row>
    <row r="6314" spans="22:22" ht="15" x14ac:dyDescent="0.25">
      <c r="V6314"/>
    </row>
    <row r="6315" spans="22:22" ht="15" x14ac:dyDescent="0.25">
      <c r="V6315"/>
    </row>
    <row r="6316" spans="22:22" ht="15" x14ac:dyDescent="0.25">
      <c r="V6316"/>
    </row>
    <row r="6317" spans="22:22" ht="15" x14ac:dyDescent="0.25">
      <c r="V6317"/>
    </row>
    <row r="6318" spans="22:22" ht="15" x14ac:dyDescent="0.25">
      <c r="V6318"/>
    </row>
    <row r="6319" spans="22:22" ht="15" x14ac:dyDescent="0.25">
      <c r="V6319"/>
    </row>
    <row r="6320" spans="22:22" ht="15" x14ac:dyDescent="0.25">
      <c r="V6320"/>
    </row>
    <row r="6321" spans="22:22" ht="15" x14ac:dyDescent="0.25">
      <c r="V6321"/>
    </row>
    <row r="6322" spans="22:22" ht="15" x14ac:dyDescent="0.25">
      <c r="V6322"/>
    </row>
    <row r="6323" spans="22:22" ht="15" x14ac:dyDescent="0.25">
      <c r="V6323"/>
    </row>
    <row r="6324" spans="22:22" ht="15" x14ac:dyDescent="0.25">
      <c r="V6324"/>
    </row>
    <row r="6325" spans="22:22" ht="15" x14ac:dyDescent="0.25">
      <c r="V6325"/>
    </row>
    <row r="6326" spans="22:22" ht="15" x14ac:dyDescent="0.25">
      <c r="V6326"/>
    </row>
    <row r="6327" spans="22:22" ht="15" x14ac:dyDescent="0.25">
      <c r="V6327"/>
    </row>
    <row r="6328" spans="22:22" ht="15" x14ac:dyDescent="0.25">
      <c r="V6328"/>
    </row>
    <row r="6329" spans="22:22" ht="15" x14ac:dyDescent="0.25">
      <c r="V6329"/>
    </row>
    <row r="6330" spans="22:22" ht="15" x14ac:dyDescent="0.25">
      <c r="V6330"/>
    </row>
    <row r="6331" spans="22:22" ht="15" x14ac:dyDescent="0.25">
      <c r="V6331"/>
    </row>
    <row r="6332" spans="22:22" ht="15" x14ac:dyDescent="0.25">
      <c r="V6332"/>
    </row>
    <row r="6333" spans="22:22" ht="15" x14ac:dyDescent="0.25">
      <c r="V6333"/>
    </row>
    <row r="6334" spans="22:22" ht="15" x14ac:dyDescent="0.25">
      <c r="V6334"/>
    </row>
    <row r="6335" spans="22:22" ht="15" x14ac:dyDescent="0.25">
      <c r="V6335"/>
    </row>
    <row r="6336" spans="22:22" ht="15" x14ac:dyDescent="0.25">
      <c r="V6336"/>
    </row>
    <row r="6337" spans="22:22" ht="15" x14ac:dyDescent="0.25">
      <c r="V6337"/>
    </row>
    <row r="6338" spans="22:22" ht="15" x14ac:dyDescent="0.25">
      <c r="V6338"/>
    </row>
    <row r="6339" spans="22:22" ht="15" x14ac:dyDescent="0.25">
      <c r="V6339"/>
    </row>
    <row r="6340" spans="22:22" ht="15" x14ac:dyDescent="0.25">
      <c r="V6340"/>
    </row>
    <row r="6341" spans="22:22" ht="15" x14ac:dyDescent="0.25">
      <c r="V6341"/>
    </row>
    <row r="6342" spans="22:22" ht="15" x14ac:dyDescent="0.25">
      <c r="V6342"/>
    </row>
    <row r="6343" spans="22:22" ht="15" x14ac:dyDescent="0.25">
      <c r="V6343"/>
    </row>
    <row r="6344" spans="22:22" ht="15" x14ac:dyDescent="0.25">
      <c r="V6344"/>
    </row>
    <row r="6345" spans="22:22" ht="15" x14ac:dyDescent="0.25">
      <c r="V6345"/>
    </row>
    <row r="6346" spans="22:22" ht="15" x14ac:dyDescent="0.25">
      <c r="V6346"/>
    </row>
    <row r="6347" spans="22:22" ht="15" x14ac:dyDescent="0.25">
      <c r="V6347"/>
    </row>
    <row r="6348" spans="22:22" ht="15" x14ac:dyDescent="0.25">
      <c r="V6348"/>
    </row>
    <row r="6349" spans="22:22" ht="15" x14ac:dyDescent="0.25">
      <c r="V6349"/>
    </row>
    <row r="6350" spans="22:22" ht="15" x14ac:dyDescent="0.25">
      <c r="V6350"/>
    </row>
    <row r="6351" spans="22:22" ht="15" x14ac:dyDescent="0.25">
      <c r="V6351"/>
    </row>
    <row r="6352" spans="22:22" ht="15" x14ac:dyDescent="0.25">
      <c r="V6352"/>
    </row>
    <row r="6353" spans="22:22" ht="15" x14ac:dyDescent="0.25">
      <c r="V6353"/>
    </row>
    <row r="6354" spans="22:22" ht="15" x14ac:dyDescent="0.25">
      <c r="V6354"/>
    </row>
    <row r="6355" spans="22:22" ht="15" x14ac:dyDescent="0.25">
      <c r="V6355"/>
    </row>
    <row r="6356" spans="22:22" ht="15" x14ac:dyDescent="0.25">
      <c r="V6356"/>
    </row>
    <row r="6357" spans="22:22" ht="15" x14ac:dyDescent="0.25">
      <c r="V6357"/>
    </row>
    <row r="6358" spans="22:22" ht="15" x14ac:dyDescent="0.25">
      <c r="V6358"/>
    </row>
    <row r="6359" spans="22:22" ht="15" x14ac:dyDescent="0.25">
      <c r="V6359"/>
    </row>
    <row r="6360" spans="22:22" ht="15" x14ac:dyDescent="0.25">
      <c r="V6360"/>
    </row>
    <row r="6361" spans="22:22" ht="15" x14ac:dyDescent="0.25">
      <c r="V6361"/>
    </row>
    <row r="6362" spans="22:22" ht="15" x14ac:dyDescent="0.25">
      <c r="V6362"/>
    </row>
    <row r="6363" spans="22:22" ht="15" x14ac:dyDescent="0.25">
      <c r="V6363"/>
    </row>
    <row r="6364" spans="22:22" ht="15" x14ac:dyDescent="0.25">
      <c r="V6364"/>
    </row>
    <row r="6365" spans="22:22" ht="15" x14ac:dyDescent="0.25">
      <c r="V6365"/>
    </row>
    <row r="6366" spans="22:22" ht="15" x14ac:dyDescent="0.25">
      <c r="V6366"/>
    </row>
    <row r="6367" spans="22:22" ht="15" x14ac:dyDescent="0.25">
      <c r="V6367"/>
    </row>
    <row r="6368" spans="22:22" ht="15" x14ac:dyDescent="0.25">
      <c r="V6368"/>
    </row>
    <row r="6369" spans="22:22" ht="15" x14ac:dyDescent="0.25">
      <c r="V6369"/>
    </row>
    <row r="6370" spans="22:22" ht="15" x14ac:dyDescent="0.25">
      <c r="V6370"/>
    </row>
    <row r="6371" spans="22:22" ht="15" x14ac:dyDescent="0.25">
      <c r="V6371"/>
    </row>
    <row r="6372" spans="22:22" ht="15" x14ac:dyDescent="0.25">
      <c r="V6372"/>
    </row>
    <row r="6373" spans="22:22" ht="15" x14ac:dyDescent="0.25">
      <c r="V6373"/>
    </row>
    <row r="6374" spans="22:22" ht="15" x14ac:dyDescent="0.25">
      <c r="V6374"/>
    </row>
    <row r="6375" spans="22:22" ht="15" x14ac:dyDescent="0.25">
      <c r="V6375"/>
    </row>
    <row r="6376" spans="22:22" ht="15" x14ac:dyDescent="0.25">
      <c r="V6376"/>
    </row>
    <row r="6377" spans="22:22" ht="15" x14ac:dyDescent="0.25">
      <c r="V6377"/>
    </row>
    <row r="6378" spans="22:22" ht="15" x14ac:dyDescent="0.25">
      <c r="V6378"/>
    </row>
    <row r="6379" spans="22:22" ht="15" x14ac:dyDescent="0.25">
      <c r="V6379"/>
    </row>
    <row r="6380" spans="22:22" ht="15" x14ac:dyDescent="0.25">
      <c r="V6380"/>
    </row>
    <row r="6381" spans="22:22" ht="15" x14ac:dyDescent="0.25">
      <c r="V6381"/>
    </row>
    <row r="6382" spans="22:22" ht="15" x14ac:dyDescent="0.25">
      <c r="V6382"/>
    </row>
    <row r="6383" spans="22:22" ht="15" x14ac:dyDescent="0.25">
      <c r="V6383"/>
    </row>
    <row r="6384" spans="22:22" ht="15" x14ac:dyDescent="0.25">
      <c r="V6384"/>
    </row>
    <row r="6385" spans="22:22" ht="15" x14ac:dyDescent="0.25">
      <c r="V6385"/>
    </row>
    <row r="6386" spans="22:22" ht="15" x14ac:dyDescent="0.25">
      <c r="V6386"/>
    </row>
    <row r="6387" spans="22:22" ht="15" x14ac:dyDescent="0.25">
      <c r="V6387"/>
    </row>
    <row r="6388" spans="22:22" ht="15" x14ac:dyDescent="0.25">
      <c r="V6388"/>
    </row>
    <row r="6389" spans="22:22" ht="15" x14ac:dyDescent="0.25">
      <c r="V6389"/>
    </row>
    <row r="6390" spans="22:22" ht="15" x14ac:dyDescent="0.25">
      <c r="V6390"/>
    </row>
    <row r="6391" spans="22:22" ht="15" x14ac:dyDescent="0.25">
      <c r="V6391"/>
    </row>
    <row r="6392" spans="22:22" ht="15" x14ac:dyDescent="0.25">
      <c r="V6392"/>
    </row>
    <row r="6393" spans="22:22" ht="15" x14ac:dyDescent="0.25">
      <c r="V6393"/>
    </row>
    <row r="6394" spans="22:22" ht="15" x14ac:dyDescent="0.25">
      <c r="V6394"/>
    </row>
    <row r="6395" spans="22:22" ht="15" x14ac:dyDescent="0.25">
      <c r="V6395"/>
    </row>
    <row r="6396" spans="22:22" ht="15" x14ac:dyDescent="0.25">
      <c r="V6396"/>
    </row>
    <row r="6397" spans="22:22" ht="15" x14ac:dyDescent="0.25">
      <c r="V6397"/>
    </row>
    <row r="6398" spans="22:22" ht="15" x14ac:dyDescent="0.25">
      <c r="V6398"/>
    </row>
    <row r="6399" spans="22:22" ht="15" x14ac:dyDescent="0.25">
      <c r="V6399"/>
    </row>
    <row r="6400" spans="22:22" ht="15" x14ac:dyDescent="0.25">
      <c r="V6400"/>
    </row>
    <row r="6401" spans="22:22" ht="15" x14ac:dyDescent="0.25">
      <c r="V6401"/>
    </row>
    <row r="6402" spans="22:22" ht="15" x14ac:dyDescent="0.25">
      <c r="V6402"/>
    </row>
    <row r="6403" spans="22:22" ht="15" x14ac:dyDescent="0.25">
      <c r="V6403"/>
    </row>
    <row r="6404" spans="22:22" ht="15" x14ac:dyDescent="0.25">
      <c r="V6404"/>
    </row>
    <row r="6405" spans="22:22" ht="15" x14ac:dyDescent="0.25">
      <c r="V6405"/>
    </row>
    <row r="6406" spans="22:22" ht="15" x14ac:dyDescent="0.25">
      <c r="V6406"/>
    </row>
    <row r="6407" spans="22:22" ht="15" x14ac:dyDescent="0.25">
      <c r="V6407"/>
    </row>
    <row r="6408" spans="22:22" ht="15" x14ac:dyDescent="0.25">
      <c r="V6408"/>
    </row>
    <row r="6409" spans="22:22" ht="15" x14ac:dyDescent="0.25">
      <c r="V6409"/>
    </row>
    <row r="6410" spans="22:22" ht="15" x14ac:dyDescent="0.25">
      <c r="V6410"/>
    </row>
    <row r="6411" spans="22:22" ht="15" x14ac:dyDescent="0.25">
      <c r="V6411"/>
    </row>
    <row r="6412" spans="22:22" ht="15" x14ac:dyDescent="0.25">
      <c r="V6412"/>
    </row>
    <row r="6413" spans="22:22" ht="15" x14ac:dyDescent="0.25">
      <c r="V6413"/>
    </row>
    <row r="6414" spans="22:22" ht="15" x14ac:dyDescent="0.25">
      <c r="V6414"/>
    </row>
    <row r="6415" spans="22:22" ht="15" x14ac:dyDescent="0.25">
      <c r="V6415"/>
    </row>
    <row r="6416" spans="22:22" ht="15" x14ac:dyDescent="0.25">
      <c r="V6416"/>
    </row>
    <row r="6417" spans="22:22" ht="15" x14ac:dyDescent="0.25">
      <c r="V6417"/>
    </row>
    <row r="6418" spans="22:22" ht="15" x14ac:dyDescent="0.25">
      <c r="V6418"/>
    </row>
    <row r="6419" spans="22:22" ht="15" x14ac:dyDescent="0.25">
      <c r="V6419"/>
    </row>
    <row r="6420" spans="22:22" ht="15" x14ac:dyDescent="0.25">
      <c r="V6420"/>
    </row>
    <row r="6421" spans="22:22" ht="15" x14ac:dyDescent="0.25">
      <c r="V6421"/>
    </row>
    <row r="6422" spans="22:22" ht="15" x14ac:dyDescent="0.25">
      <c r="V6422"/>
    </row>
    <row r="6423" spans="22:22" ht="15" x14ac:dyDescent="0.25">
      <c r="V6423"/>
    </row>
    <row r="6424" spans="22:22" ht="15" x14ac:dyDescent="0.25">
      <c r="V6424"/>
    </row>
    <row r="6425" spans="22:22" ht="15" x14ac:dyDescent="0.25">
      <c r="V6425"/>
    </row>
    <row r="6426" spans="22:22" ht="15" x14ac:dyDescent="0.25">
      <c r="V6426"/>
    </row>
    <row r="6427" spans="22:22" ht="15" x14ac:dyDescent="0.25">
      <c r="V6427"/>
    </row>
    <row r="6428" spans="22:22" ht="15" x14ac:dyDescent="0.25">
      <c r="V6428"/>
    </row>
    <row r="6429" spans="22:22" ht="15" x14ac:dyDescent="0.25">
      <c r="V6429"/>
    </row>
    <row r="6430" spans="22:22" ht="15" x14ac:dyDescent="0.25">
      <c r="V6430"/>
    </row>
    <row r="6431" spans="22:22" ht="15" x14ac:dyDescent="0.25">
      <c r="V6431"/>
    </row>
    <row r="6432" spans="22:22" ht="15" x14ac:dyDescent="0.25">
      <c r="V6432"/>
    </row>
    <row r="6433" spans="22:22" ht="15" x14ac:dyDescent="0.25">
      <c r="V6433"/>
    </row>
    <row r="6434" spans="22:22" ht="15" x14ac:dyDescent="0.25">
      <c r="V6434"/>
    </row>
    <row r="6435" spans="22:22" ht="15" x14ac:dyDescent="0.25">
      <c r="V6435"/>
    </row>
    <row r="6436" spans="22:22" ht="15" x14ac:dyDescent="0.25">
      <c r="V6436"/>
    </row>
    <row r="6437" spans="22:22" ht="15" x14ac:dyDescent="0.25">
      <c r="V6437"/>
    </row>
    <row r="6438" spans="22:22" ht="15" x14ac:dyDescent="0.25">
      <c r="V6438"/>
    </row>
    <row r="6439" spans="22:22" ht="15" x14ac:dyDescent="0.25">
      <c r="V6439"/>
    </row>
    <row r="6440" spans="22:22" ht="15" x14ac:dyDescent="0.25">
      <c r="V6440"/>
    </row>
    <row r="6441" spans="22:22" ht="15" x14ac:dyDescent="0.25">
      <c r="V6441"/>
    </row>
    <row r="6442" spans="22:22" ht="15" x14ac:dyDescent="0.25">
      <c r="V6442"/>
    </row>
    <row r="6443" spans="22:22" ht="15" x14ac:dyDescent="0.25">
      <c r="V6443"/>
    </row>
    <row r="6444" spans="22:22" ht="15" x14ac:dyDescent="0.25">
      <c r="V6444"/>
    </row>
    <row r="6445" spans="22:22" ht="15" x14ac:dyDescent="0.25">
      <c r="V6445"/>
    </row>
    <row r="6446" spans="22:22" ht="15" x14ac:dyDescent="0.25">
      <c r="V6446"/>
    </row>
    <row r="6447" spans="22:22" ht="15" x14ac:dyDescent="0.25">
      <c r="V6447"/>
    </row>
    <row r="6448" spans="22:22" ht="15" x14ac:dyDescent="0.25">
      <c r="V6448"/>
    </row>
    <row r="6449" spans="22:22" ht="15" x14ac:dyDescent="0.25">
      <c r="V6449"/>
    </row>
    <row r="6450" spans="22:22" ht="15" x14ac:dyDescent="0.25">
      <c r="V6450"/>
    </row>
    <row r="6451" spans="22:22" ht="15" x14ac:dyDescent="0.25">
      <c r="V6451"/>
    </row>
    <row r="6452" spans="22:22" ht="15" x14ac:dyDescent="0.25">
      <c r="V6452"/>
    </row>
    <row r="6453" spans="22:22" ht="15" x14ac:dyDescent="0.25">
      <c r="V6453"/>
    </row>
    <row r="6454" spans="22:22" ht="15" x14ac:dyDescent="0.25">
      <c r="V6454"/>
    </row>
    <row r="6455" spans="22:22" ht="15" x14ac:dyDescent="0.25">
      <c r="V6455"/>
    </row>
    <row r="6456" spans="22:22" ht="15" x14ac:dyDescent="0.25">
      <c r="V6456"/>
    </row>
    <row r="6457" spans="22:22" ht="15" x14ac:dyDescent="0.25">
      <c r="V6457"/>
    </row>
    <row r="6458" spans="22:22" ht="15" x14ac:dyDescent="0.25">
      <c r="V6458"/>
    </row>
    <row r="6459" spans="22:22" ht="15" x14ac:dyDescent="0.25">
      <c r="V6459"/>
    </row>
    <row r="6460" spans="22:22" ht="15" x14ac:dyDescent="0.25">
      <c r="V6460"/>
    </row>
    <row r="6461" spans="22:22" ht="15" x14ac:dyDescent="0.25">
      <c r="V6461"/>
    </row>
    <row r="6462" spans="22:22" ht="15" x14ac:dyDescent="0.25">
      <c r="V6462"/>
    </row>
    <row r="6463" spans="22:22" ht="15" x14ac:dyDescent="0.25">
      <c r="V6463"/>
    </row>
    <row r="6464" spans="22:22" ht="15" x14ac:dyDescent="0.25">
      <c r="V6464"/>
    </row>
    <row r="6465" spans="22:22" ht="15" x14ac:dyDescent="0.25">
      <c r="V6465"/>
    </row>
    <row r="6466" spans="22:22" ht="15" x14ac:dyDescent="0.25">
      <c r="V6466"/>
    </row>
    <row r="6467" spans="22:22" ht="15" x14ac:dyDescent="0.25">
      <c r="V6467"/>
    </row>
    <row r="6468" spans="22:22" ht="15" x14ac:dyDescent="0.25">
      <c r="V6468"/>
    </row>
    <row r="6469" spans="22:22" ht="15" x14ac:dyDescent="0.25">
      <c r="V6469"/>
    </row>
    <row r="6470" spans="22:22" ht="15" x14ac:dyDescent="0.25">
      <c r="V6470"/>
    </row>
    <row r="6471" spans="22:22" ht="15" x14ac:dyDescent="0.25">
      <c r="V6471"/>
    </row>
    <row r="6472" spans="22:22" ht="15" x14ac:dyDescent="0.25">
      <c r="V6472"/>
    </row>
    <row r="6473" spans="22:22" ht="15" x14ac:dyDescent="0.25">
      <c r="V6473"/>
    </row>
    <row r="6474" spans="22:22" ht="15" x14ac:dyDescent="0.25">
      <c r="V6474"/>
    </row>
    <row r="6475" spans="22:22" ht="15" x14ac:dyDescent="0.25">
      <c r="V6475"/>
    </row>
    <row r="6476" spans="22:22" ht="15" x14ac:dyDescent="0.25">
      <c r="V6476"/>
    </row>
    <row r="6477" spans="22:22" ht="15" x14ac:dyDescent="0.25">
      <c r="V6477"/>
    </row>
    <row r="6478" spans="22:22" ht="15" x14ac:dyDescent="0.25">
      <c r="V6478"/>
    </row>
    <row r="6479" spans="22:22" ht="15" x14ac:dyDescent="0.25">
      <c r="V6479"/>
    </row>
    <row r="6480" spans="22:22" ht="15" x14ac:dyDescent="0.25">
      <c r="V6480"/>
    </row>
    <row r="6481" spans="22:22" ht="15" x14ac:dyDescent="0.25">
      <c r="V6481"/>
    </row>
    <row r="6482" spans="22:22" ht="15" x14ac:dyDescent="0.25">
      <c r="V6482"/>
    </row>
    <row r="6483" spans="22:22" ht="15" x14ac:dyDescent="0.25">
      <c r="V6483"/>
    </row>
    <row r="6484" spans="22:22" ht="15" x14ac:dyDescent="0.25">
      <c r="V6484"/>
    </row>
    <row r="6485" spans="22:22" ht="15" x14ac:dyDescent="0.25">
      <c r="V6485"/>
    </row>
    <row r="6486" spans="22:22" ht="15" x14ac:dyDescent="0.25">
      <c r="V6486"/>
    </row>
    <row r="6487" spans="22:22" ht="15" x14ac:dyDescent="0.25">
      <c r="V6487"/>
    </row>
    <row r="6488" spans="22:22" ht="15" x14ac:dyDescent="0.25">
      <c r="V6488"/>
    </row>
    <row r="6489" spans="22:22" ht="15" x14ac:dyDescent="0.25">
      <c r="V6489"/>
    </row>
    <row r="6490" spans="22:22" ht="15" x14ac:dyDescent="0.25">
      <c r="V6490"/>
    </row>
    <row r="6491" spans="22:22" ht="15" x14ac:dyDescent="0.25">
      <c r="V6491"/>
    </row>
    <row r="6492" spans="22:22" ht="15" x14ac:dyDescent="0.25">
      <c r="V6492"/>
    </row>
    <row r="6493" spans="22:22" ht="15" x14ac:dyDescent="0.25">
      <c r="V6493"/>
    </row>
    <row r="6494" spans="22:22" ht="15" x14ac:dyDescent="0.25">
      <c r="V6494"/>
    </row>
    <row r="6495" spans="22:22" ht="15" x14ac:dyDescent="0.25">
      <c r="V6495"/>
    </row>
    <row r="6496" spans="22:22" ht="15" x14ac:dyDescent="0.25">
      <c r="V6496"/>
    </row>
    <row r="6497" spans="22:22" ht="15" x14ac:dyDescent="0.25">
      <c r="V6497"/>
    </row>
    <row r="6498" spans="22:22" ht="15" x14ac:dyDescent="0.25">
      <c r="V6498"/>
    </row>
    <row r="6499" spans="22:22" ht="15" x14ac:dyDescent="0.25">
      <c r="V6499"/>
    </row>
    <row r="6500" spans="22:22" ht="15" x14ac:dyDescent="0.25">
      <c r="V6500"/>
    </row>
    <row r="6501" spans="22:22" ht="15" x14ac:dyDescent="0.25">
      <c r="V6501"/>
    </row>
    <row r="6502" spans="22:22" ht="15" x14ac:dyDescent="0.25">
      <c r="V6502"/>
    </row>
    <row r="6503" spans="22:22" ht="15" x14ac:dyDescent="0.25">
      <c r="V6503"/>
    </row>
    <row r="6504" spans="22:22" ht="15" x14ac:dyDescent="0.25">
      <c r="V6504"/>
    </row>
    <row r="6505" spans="22:22" ht="15" x14ac:dyDescent="0.25">
      <c r="V6505"/>
    </row>
    <row r="6506" spans="22:22" ht="15" x14ac:dyDescent="0.25">
      <c r="V6506"/>
    </row>
    <row r="6507" spans="22:22" ht="15" x14ac:dyDescent="0.25">
      <c r="V6507"/>
    </row>
    <row r="6508" spans="22:22" ht="15" x14ac:dyDescent="0.25">
      <c r="V6508"/>
    </row>
    <row r="6509" spans="22:22" ht="15" x14ac:dyDescent="0.25">
      <c r="V6509"/>
    </row>
    <row r="6510" spans="22:22" ht="15" x14ac:dyDescent="0.25">
      <c r="V6510"/>
    </row>
    <row r="6511" spans="22:22" ht="15" x14ac:dyDescent="0.25">
      <c r="V6511"/>
    </row>
    <row r="6512" spans="22:22" ht="15" x14ac:dyDescent="0.25">
      <c r="V6512"/>
    </row>
    <row r="6513" spans="22:22" ht="15" x14ac:dyDescent="0.25">
      <c r="V6513"/>
    </row>
    <row r="6514" spans="22:22" ht="15" x14ac:dyDescent="0.25">
      <c r="V6514"/>
    </row>
    <row r="6515" spans="22:22" ht="15" x14ac:dyDescent="0.25">
      <c r="V6515"/>
    </row>
    <row r="6516" spans="22:22" ht="15" x14ac:dyDescent="0.25">
      <c r="V6516"/>
    </row>
    <row r="6517" spans="22:22" ht="15" x14ac:dyDescent="0.25">
      <c r="V6517"/>
    </row>
    <row r="6518" spans="22:22" ht="15" x14ac:dyDescent="0.25">
      <c r="V6518"/>
    </row>
    <row r="6519" spans="22:22" ht="15" x14ac:dyDescent="0.25">
      <c r="V6519"/>
    </row>
    <row r="6520" spans="22:22" ht="15" x14ac:dyDescent="0.25">
      <c r="V6520"/>
    </row>
    <row r="6521" spans="22:22" ht="15" x14ac:dyDescent="0.25">
      <c r="V6521"/>
    </row>
    <row r="6522" spans="22:22" ht="15" x14ac:dyDescent="0.25">
      <c r="V6522"/>
    </row>
    <row r="6523" spans="22:22" ht="15" x14ac:dyDescent="0.25">
      <c r="V6523"/>
    </row>
    <row r="6524" spans="22:22" ht="15" x14ac:dyDescent="0.25">
      <c r="V6524"/>
    </row>
    <row r="6525" spans="22:22" ht="15" x14ac:dyDescent="0.25">
      <c r="V6525"/>
    </row>
    <row r="6526" spans="22:22" ht="15" x14ac:dyDescent="0.25">
      <c r="V6526"/>
    </row>
    <row r="6527" spans="22:22" ht="15" x14ac:dyDescent="0.25">
      <c r="V6527"/>
    </row>
    <row r="6528" spans="22:22" ht="15" x14ac:dyDescent="0.25">
      <c r="V6528"/>
    </row>
    <row r="6529" spans="22:22" ht="15" x14ac:dyDescent="0.25">
      <c r="V6529"/>
    </row>
    <row r="6530" spans="22:22" ht="15" x14ac:dyDescent="0.25">
      <c r="V6530"/>
    </row>
    <row r="6531" spans="22:22" ht="15" x14ac:dyDescent="0.25">
      <c r="V6531"/>
    </row>
    <row r="6532" spans="22:22" ht="15" x14ac:dyDescent="0.25">
      <c r="V6532"/>
    </row>
    <row r="6533" spans="22:22" ht="15" x14ac:dyDescent="0.25">
      <c r="V6533"/>
    </row>
    <row r="6534" spans="22:22" ht="15" x14ac:dyDescent="0.25">
      <c r="V6534"/>
    </row>
    <row r="6535" spans="22:22" ht="15" x14ac:dyDescent="0.25">
      <c r="V6535"/>
    </row>
    <row r="6536" spans="22:22" ht="15" x14ac:dyDescent="0.25">
      <c r="V6536"/>
    </row>
    <row r="6537" spans="22:22" ht="15" x14ac:dyDescent="0.25">
      <c r="V6537"/>
    </row>
    <row r="6538" spans="22:22" ht="15" x14ac:dyDescent="0.25">
      <c r="V6538"/>
    </row>
    <row r="6539" spans="22:22" ht="15" x14ac:dyDescent="0.25">
      <c r="V6539"/>
    </row>
    <row r="6540" spans="22:22" ht="15" x14ac:dyDescent="0.25">
      <c r="V6540"/>
    </row>
    <row r="6541" spans="22:22" ht="15" x14ac:dyDescent="0.25">
      <c r="V6541"/>
    </row>
    <row r="6542" spans="22:22" ht="15" x14ac:dyDescent="0.25">
      <c r="V6542"/>
    </row>
    <row r="6543" spans="22:22" ht="15" x14ac:dyDescent="0.25">
      <c r="V6543"/>
    </row>
    <row r="6544" spans="22:22" ht="15" x14ac:dyDescent="0.25">
      <c r="V6544"/>
    </row>
    <row r="6545" spans="22:22" ht="15" x14ac:dyDescent="0.25">
      <c r="V6545"/>
    </row>
    <row r="6546" spans="22:22" ht="15" x14ac:dyDescent="0.25">
      <c r="V6546"/>
    </row>
    <row r="6547" spans="22:22" ht="15" x14ac:dyDescent="0.25">
      <c r="V6547"/>
    </row>
    <row r="6548" spans="22:22" ht="15" x14ac:dyDescent="0.25">
      <c r="V6548"/>
    </row>
    <row r="6549" spans="22:22" ht="15" x14ac:dyDescent="0.25">
      <c r="V6549"/>
    </row>
    <row r="6550" spans="22:22" ht="15" x14ac:dyDescent="0.25">
      <c r="V6550"/>
    </row>
    <row r="6551" spans="22:22" ht="15" x14ac:dyDescent="0.25">
      <c r="V6551"/>
    </row>
    <row r="6552" spans="22:22" ht="15" x14ac:dyDescent="0.25">
      <c r="V6552"/>
    </row>
    <row r="6553" spans="22:22" ht="15" x14ac:dyDescent="0.25">
      <c r="V6553"/>
    </row>
    <row r="6554" spans="22:22" ht="15" x14ac:dyDescent="0.25">
      <c r="V6554"/>
    </row>
    <row r="6555" spans="22:22" ht="15" x14ac:dyDescent="0.25">
      <c r="V6555"/>
    </row>
    <row r="6556" spans="22:22" ht="15" x14ac:dyDescent="0.25">
      <c r="V6556"/>
    </row>
    <row r="6557" spans="22:22" ht="15" x14ac:dyDescent="0.25">
      <c r="V6557"/>
    </row>
    <row r="6558" spans="22:22" ht="15" x14ac:dyDescent="0.25">
      <c r="V6558"/>
    </row>
    <row r="6559" spans="22:22" ht="15" x14ac:dyDescent="0.25">
      <c r="V6559"/>
    </row>
    <row r="6560" spans="22:22" ht="15" x14ac:dyDescent="0.25">
      <c r="V6560"/>
    </row>
    <row r="6561" spans="22:22" ht="15" x14ac:dyDescent="0.25">
      <c r="V6561"/>
    </row>
    <row r="6562" spans="22:22" ht="15" x14ac:dyDescent="0.25">
      <c r="V6562"/>
    </row>
    <row r="6563" spans="22:22" ht="15" x14ac:dyDescent="0.25">
      <c r="V6563"/>
    </row>
    <row r="6564" spans="22:22" ht="15" x14ac:dyDescent="0.25">
      <c r="V6564"/>
    </row>
    <row r="6565" spans="22:22" ht="15" x14ac:dyDescent="0.25">
      <c r="V6565"/>
    </row>
    <row r="6566" spans="22:22" ht="15" x14ac:dyDescent="0.25">
      <c r="V6566"/>
    </row>
    <row r="6567" spans="22:22" ht="15" x14ac:dyDescent="0.25">
      <c r="V6567"/>
    </row>
    <row r="6568" spans="22:22" ht="15" x14ac:dyDescent="0.25">
      <c r="V6568"/>
    </row>
    <row r="6569" spans="22:22" ht="15" x14ac:dyDescent="0.25">
      <c r="V6569"/>
    </row>
    <row r="6570" spans="22:22" ht="15" x14ac:dyDescent="0.25">
      <c r="V6570"/>
    </row>
    <row r="6571" spans="22:22" ht="15" x14ac:dyDescent="0.25">
      <c r="V6571"/>
    </row>
    <row r="6572" spans="22:22" ht="15" x14ac:dyDescent="0.25">
      <c r="V6572"/>
    </row>
    <row r="6573" spans="22:22" ht="15" x14ac:dyDescent="0.25">
      <c r="V6573"/>
    </row>
    <row r="6574" spans="22:22" ht="15" x14ac:dyDescent="0.25">
      <c r="V6574"/>
    </row>
    <row r="6575" spans="22:22" ht="15" x14ac:dyDescent="0.25">
      <c r="V6575"/>
    </row>
    <row r="6576" spans="22:22" ht="15" x14ac:dyDescent="0.25">
      <c r="V6576"/>
    </row>
    <row r="6577" spans="22:22" ht="15" x14ac:dyDescent="0.25">
      <c r="V6577"/>
    </row>
    <row r="6578" spans="22:22" ht="15" x14ac:dyDescent="0.25">
      <c r="V6578"/>
    </row>
    <row r="6579" spans="22:22" ht="15" x14ac:dyDescent="0.25">
      <c r="V6579"/>
    </row>
    <row r="6580" spans="22:22" ht="15" x14ac:dyDescent="0.25">
      <c r="V6580"/>
    </row>
    <row r="6581" spans="22:22" ht="15" x14ac:dyDescent="0.25">
      <c r="V6581"/>
    </row>
    <row r="6582" spans="22:22" ht="15" x14ac:dyDescent="0.25">
      <c r="V6582"/>
    </row>
    <row r="6583" spans="22:22" ht="15" x14ac:dyDescent="0.25">
      <c r="V6583"/>
    </row>
    <row r="6584" spans="22:22" ht="15" x14ac:dyDescent="0.25">
      <c r="V6584"/>
    </row>
    <row r="6585" spans="22:22" ht="15" x14ac:dyDescent="0.25">
      <c r="V6585"/>
    </row>
    <row r="6586" spans="22:22" ht="15" x14ac:dyDescent="0.25">
      <c r="V6586"/>
    </row>
    <row r="6587" spans="22:22" ht="15" x14ac:dyDescent="0.25">
      <c r="V6587"/>
    </row>
    <row r="6588" spans="22:22" ht="15" x14ac:dyDescent="0.25">
      <c r="V6588"/>
    </row>
    <row r="6589" spans="22:22" ht="15" x14ac:dyDescent="0.25">
      <c r="V6589"/>
    </row>
    <row r="6590" spans="22:22" ht="15" x14ac:dyDescent="0.25">
      <c r="V6590"/>
    </row>
    <row r="6591" spans="22:22" ht="15" x14ac:dyDescent="0.25">
      <c r="V6591"/>
    </row>
    <row r="6592" spans="22:22" ht="15" x14ac:dyDescent="0.25">
      <c r="V6592"/>
    </row>
    <row r="6593" spans="22:22" ht="15" x14ac:dyDescent="0.25">
      <c r="V6593"/>
    </row>
    <row r="6594" spans="22:22" ht="15" x14ac:dyDescent="0.25">
      <c r="V6594"/>
    </row>
    <row r="6595" spans="22:22" ht="15" x14ac:dyDescent="0.25">
      <c r="V6595"/>
    </row>
    <row r="6596" spans="22:22" ht="15" x14ac:dyDescent="0.25">
      <c r="V6596"/>
    </row>
    <row r="6597" spans="22:22" ht="15" x14ac:dyDescent="0.25">
      <c r="V6597"/>
    </row>
    <row r="6598" spans="22:22" ht="15" x14ac:dyDescent="0.25">
      <c r="V6598"/>
    </row>
    <row r="6599" spans="22:22" ht="15" x14ac:dyDescent="0.25">
      <c r="V6599"/>
    </row>
    <row r="6600" spans="22:22" ht="15" x14ac:dyDescent="0.25">
      <c r="V6600"/>
    </row>
    <row r="6601" spans="22:22" ht="15" x14ac:dyDescent="0.25">
      <c r="V6601"/>
    </row>
    <row r="6602" spans="22:22" ht="15" x14ac:dyDescent="0.25">
      <c r="V6602"/>
    </row>
    <row r="6603" spans="22:22" ht="15" x14ac:dyDescent="0.25">
      <c r="V6603"/>
    </row>
    <row r="6604" spans="22:22" ht="15" x14ac:dyDescent="0.25">
      <c r="V6604"/>
    </row>
    <row r="6605" spans="22:22" ht="15" x14ac:dyDescent="0.25">
      <c r="V6605"/>
    </row>
    <row r="6606" spans="22:22" ht="15" x14ac:dyDescent="0.25">
      <c r="V6606"/>
    </row>
    <row r="6607" spans="22:22" ht="15" x14ac:dyDescent="0.25">
      <c r="V6607"/>
    </row>
    <row r="6608" spans="22:22" ht="15" x14ac:dyDescent="0.25">
      <c r="V6608"/>
    </row>
    <row r="6609" spans="22:22" ht="15" x14ac:dyDescent="0.25">
      <c r="V6609"/>
    </row>
    <row r="6610" spans="22:22" ht="15" x14ac:dyDescent="0.25">
      <c r="V6610"/>
    </row>
    <row r="6611" spans="22:22" ht="15" x14ac:dyDescent="0.25">
      <c r="V6611"/>
    </row>
    <row r="6612" spans="22:22" ht="15" x14ac:dyDescent="0.25">
      <c r="V6612"/>
    </row>
    <row r="6613" spans="22:22" ht="15" x14ac:dyDescent="0.25">
      <c r="V6613"/>
    </row>
    <row r="6614" spans="22:22" ht="15" x14ac:dyDescent="0.25">
      <c r="V6614"/>
    </row>
    <row r="6615" spans="22:22" ht="15" x14ac:dyDescent="0.25">
      <c r="V6615"/>
    </row>
    <row r="6616" spans="22:22" ht="15" x14ac:dyDescent="0.25">
      <c r="V6616"/>
    </row>
    <row r="6617" spans="22:22" ht="15" x14ac:dyDescent="0.25">
      <c r="V6617"/>
    </row>
    <row r="6618" spans="22:22" ht="15" x14ac:dyDescent="0.25">
      <c r="V6618"/>
    </row>
    <row r="6619" spans="22:22" ht="15" x14ac:dyDescent="0.25">
      <c r="V6619"/>
    </row>
    <row r="6620" spans="22:22" ht="15" x14ac:dyDescent="0.25">
      <c r="V6620"/>
    </row>
    <row r="6621" spans="22:22" ht="15" x14ac:dyDescent="0.25">
      <c r="V6621"/>
    </row>
    <row r="6622" spans="22:22" ht="15" x14ac:dyDescent="0.25">
      <c r="V6622"/>
    </row>
    <row r="6623" spans="22:22" ht="15" x14ac:dyDescent="0.25">
      <c r="V6623"/>
    </row>
    <row r="6624" spans="22:22" ht="15" x14ac:dyDescent="0.25">
      <c r="V6624"/>
    </row>
    <row r="6625" spans="22:22" ht="15" x14ac:dyDescent="0.25">
      <c r="V6625"/>
    </row>
    <row r="6626" spans="22:22" ht="15" x14ac:dyDescent="0.25">
      <c r="V6626"/>
    </row>
    <row r="6627" spans="22:22" ht="15" x14ac:dyDescent="0.25">
      <c r="V6627"/>
    </row>
    <row r="6628" spans="22:22" ht="15" x14ac:dyDescent="0.25">
      <c r="V6628"/>
    </row>
    <row r="6629" spans="22:22" ht="15" x14ac:dyDescent="0.25">
      <c r="V6629"/>
    </row>
    <row r="6630" spans="22:22" ht="15" x14ac:dyDescent="0.25">
      <c r="V6630"/>
    </row>
    <row r="6631" spans="22:22" ht="15" x14ac:dyDescent="0.25">
      <c r="V6631"/>
    </row>
    <row r="6632" spans="22:22" ht="15" x14ac:dyDescent="0.25">
      <c r="V6632"/>
    </row>
    <row r="6633" spans="22:22" ht="15" x14ac:dyDescent="0.25">
      <c r="V6633"/>
    </row>
    <row r="6634" spans="22:22" ht="15" x14ac:dyDescent="0.25">
      <c r="V6634"/>
    </row>
    <row r="6635" spans="22:22" ht="15" x14ac:dyDescent="0.25">
      <c r="V6635"/>
    </row>
    <row r="6636" spans="22:22" ht="15" x14ac:dyDescent="0.25">
      <c r="V6636"/>
    </row>
    <row r="6637" spans="22:22" ht="15" x14ac:dyDescent="0.25">
      <c r="V6637"/>
    </row>
    <row r="6638" spans="22:22" ht="15" x14ac:dyDescent="0.25">
      <c r="V6638"/>
    </row>
    <row r="6639" spans="22:22" ht="15" x14ac:dyDescent="0.25">
      <c r="V6639"/>
    </row>
    <row r="6640" spans="22:22" ht="15" x14ac:dyDescent="0.25">
      <c r="V6640"/>
    </row>
    <row r="6641" spans="22:22" ht="15" x14ac:dyDescent="0.25">
      <c r="V6641"/>
    </row>
    <row r="6642" spans="22:22" ht="15" x14ac:dyDescent="0.25">
      <c r="V6642"/>
    </row>
    <row r="6643" spans="22:22" ht="15" x14ac:dyDescent="0.25">
      <c r="V6643"/>
    </row>
    <row r="6644" spans="22:22" ht="15" x14ac:dyDescent="0.25">
      <c r="V6644"/>
    </row>
    <row r="6645" spans="22:22" ht="15" x14ac:dyDescent="0.25">
      <c r="V6645"/>
    </row>
    <row r="6646" spans="22:22" ht="15" x14ac:dyDescent="0.25">
      <c r="V6646"/>
    </row>
    <row r="6647" spans="22:22" ht="15" x14ac:dyDescent="0.25">
      <c r="V6647"/>
    </row>
    <row r="6648" spans="22:22" ht="15" x14ac:dyDescent="0.25">
      <c r="V6648"/>
    </row>
    <row r="6649" spans="22:22" ht="15" x14ac:dyDescent="0.25">
      <c r="V6649"/>
    </row>
    <row r="6650" spans="22:22" ht="15" x14ac:dyDescent="0.25">
      <c r="V6650"/>
    </row>
    <row r="6651" spans="22:22" ht="15" x14ac:dyDescent="0.25">
      <c r="V6651"/>
    </row>
    <row r="6652" spans="22:22" ht="15" x14ac:dyDescent="0.25">
      <c r="V6652"/>
    </row>
    <row r="6653" spans="22:22" ht="15" x14ac:dyDescent="0.25">
      <c r="V6653"/>
    </row>
    <row r="6654" spans="22:22" ht="15" x14ac:dyDescent="0.25">
      <c r="V6654"/>
    </row>
    <row r="6655" spans="22:22" ht="15" x14ac:dyDescent="0.25">
      <c r="V6655"/>
    </row>
    <row r="6656" spans="22:22" ht="15" x14ac:dyDescent="0.25">
      <c r="V6656"/>
    </row>
    <row r="6657" spans="22:22" ht="15" x14ac:dyDescent="0.25">
      <c r="V6657"/>
    </row>
    <row r="6658" spans="22:22" ht="15" x14ac:dyDescent="0.25">
      <c r="V6658"/>
    </row>
    <row r="6659" spans="22:22" ht="15" x14ac:dyDescent="0.25">
      <c r="V6659"/>
    </row>
    <row r="6660" spans="22:22" ht="15" x14ac:dyDescent="0.25">
      <c r="V6660"/>
    </row>
    <row r="6661" spans="22:22" ht="15" x14ac:dyDescent="0.25">
      <c r="V6661"/>
    </row>
    <row r="6662" spans="22:22" ht="15" x14ac:dyDescent="0.25">
      <c r="V6662"/>
    </row>
    <row r="6663" spans="22:22" ht="15" x14ac:dyDescent="0.25">
      <c r="V6663"/>
    </row>
    <row r="6664" spans="22:22" ht="15" x14ac:dyDescent="0.25">
      <c r="V6664"/>
    </row>
    <row r="6665" spans="22:22" ht="15" x14ac:dyDescent="0.25">
      <c r="V6665"/>
    </row>
    <row r="6666" spans="22:22" ht="15" x14ac:dyDescent="0.25">
      <c r="V6666"/>
    </row>
    <row r="6667" spans="22:22" ht="15" x14ac:dyDescent="0.25">
      <c r="V6667"/>
    </row>
    <row r="6668" spans="22:22" ht="15" x14ac:dyDescent="0.25">
      <c r="V6668"/>
    </row>
    <row r="6669" spans="22:22" ht="15" x14ac:dyDescent="0.25">
      <c r="V6669"/>
    </row>
    <row r="6670" spans="22:22" ht="15" x14ac:dyDescent="0.25">
      <c r="V6670"/>
    </row>
    <row r="6671" spans="22:22" ht="15" x14ac:dyDescent="0.25">
      <c r="V6671"/>
    </row>
    <row r="6672" spans="22:22" ht="15" x14ac:dyDescent="0.25">
      <c r="V6672"/>
    </row>
    <row r="6673" spans="22:22" ht="15" x14ac:dyDescent="0.25">
      <c r="V6673"/>
    </row>
    <row r="6674" spans="22:22" ht="15" x14ac:dyDescent="0.25">
      <c r="V6674"/>
    </row>
    <row r="6675" spans="22:22" ht="15" x14ac:dyDescent="0.25">
      <c r="V6675"/>
    </row>
    <row r="6676" spans="22:22" ht="15" x14ac:dyDescent="0.25">
      <c r="V6676"/>
    </row>
    <row r="6677" spans="22:22" ht="15" x14ac:dyDescent="0.25">
      <c r="V6677"/>
    </row>
    <row r="6678" spans="22:22" ht="15" x14ac:dyDescent="0.25">
      <c r="V6678"/>
    </row>
    <row r="6679" spans="22:22" ht="15" x14ac:dyDescent="0.25">
      <c r="V6679"/>
    </row>
    <row r="6680" spans="22:22" ht="15" x14ac:dyDescent="0.25">
      <c r="V6680"/>
    </row>
    <row r="6681" spans="22:22" ht="15" x14ac:dyDescent="0.25">
      <c r="V6681"/>
    </row>
    <row r="6682" spans="22:22" ht="15" x14ac:dyDescent="0.25">
      <c r="V6682"/>
    </row>
    <row r="6683" spans="22:22" ht="15" x14ac:dyDescent="0.25">
      <c r="V6683"/>
    </row>
    <row r="6684" spans="22:22" ht="15" x14ac:dyDescent="0.25">
      <c r="V6684"/>
    </row>
    <row r="6685" spans="22:22" ht="15" x14ac:dyDescent="0.25">
      <c r="V6685"/>
    </row>
    <row r="6686" spans="22:22" ht="15" x14ac:dyDescent="0.25">
      <c r="V6686"/>
    </row>
    <row r="6687" spans="22:22" ht="15" x14ac:dyDescent="0.25">
      <c r="V6687"/>
    </row>
    <row r="6688" spans="22:22" ht="15" x14ac:dyDescent="0.25">
      <c r="V6688"/>
    </row>
    <row r="6689" spans="22:22" ht="15" x14ac:dyDescent="0.25">
      <c r="V6689"/>
    </row>
    <row r="6690" spans="22:22" ht="15" x14ac:dyDescent="0.25">
      <c r="V6690"/>
    </row>
    <row r="6691" spans="22:22" ht="15" x14ac:dyDescent="0.25">
      <c r="V6691"/>
    </row>
    <row r="6692" spans="22:22" ht="15" x14ac:dyDescent="0.25">
      <c r="V6692"/>
    </row>
    <row r="6693" spans="22:22" ht="15" x14ac:dyDescent="0.25">
      <c r="V6693"/>
    </row>
    <row r="6694" spans="22:22" ht="15" x14ac:dyDescent="0.25">
      <c r="V6694"/>
    </row>
    <row r="6695" spans="22:22" ht="15" x14ac:dyDescent="0.25">
      <c r="V6695"/>
    </row>
    <row r="6696" spans="22:22" ht="15" x14ac:dyDescent="0.25">
      <c r="V6696"/>
    </row>
    <row r="6697" spans="22:22" ht="15" x14ac:dyDescent="0.25">
      <c r="V6697"/>
    </row>
    <row r="6698" spans="22:22" ht="15" x14ac:dyDescent="0.25">
      <c r="V6698"/>
    </row>
    <row r="6699" spans="22:22" ht="15" x14ac:dyDescent="0.25">
      <c r="V6699"/>
    </row>
    <row r="6700" spans="22:22" ht="15" x14ac:dyDescent="0.25">
      <c r="V6700"/>
    </row>
    <row r="6701" spans="22:22" ht="15" x14ac:dyDescent="0.25">
      <c r="V6701"/>
    </row>
    <row r="6702" spans="22:22" ht="15" x14ac:dyDescent="0.25">
      <c r="V6702"/>
    </row>
    <row r="6703" spans="22:22" ht="15" x14ac:dyDescent="0.25">
      <c r="V6703"/>
    </row>
    <row r="6704" spans="22:22" ht="15" x14ac:dyDescent="0.25">
      <c r="V6704"/>
    </row>
    <row r="6705" spans="22:22" ht="15" x14ac:dyDescent="0.25">
      <c r="V6705"/>
    </row>
    <row r="6706" spans="22:22" ht="15" x14ac:dyDescent="0.25">
      <c r="V6706"/>
    </row>
    <row r="6707" spans="22:22" ht="15" x14ac:dyDescent="0.25">
      <c r="V6707"/>
    </row>
    <row r="6708" spans="22:22" ht="15" x14ac:dyDescent="0.25">
      <c r="V6708"/>
    </row>
    <row r="6709" spans="22:22" ht="15" x14ac:dyDescent="0.25">
      <c r="V6709"/>
    </row>
    <row r="6710" spans="22:22" ht="15" x14ac:dyDescent="0.25">
      <c r="V6710"/>
    </row>
    <row r="6711" spans="22:22" ht="15" x14ac:dyDescent="0.25">
      <c r="V6711"/>
    </row>
    <row r="6712" spans="22:22" ht="15" x14ac:dyDescent="0.25">
      <c r="V6712"/>
    </row>
    <row r="6713" spans="22:22" ht="15" x14ac:dyDescent="0.25">
      <c r="V6713"/>
    </row>
    <row r="6714" spans="22:22" ht="15" x14ac:dyDescent="0.25">
      <c r="V6714"/>
    </row>
    <row r="6715" spans="22:22" ht="15" x14ac:dyDescent="0.25">
      <c r="V6715"/>
    </row>
    <row r="6716" spans="22:22" ht="15" x14ac:dyDescent="0.25">
      <c r="V6716"/>
    </row>
    <row r="6717" spans="22:22" ht="15" x14ac:dyDescent="0.25">
      <c r="V6717"/>
    </row>
    <row r="6718" spans="22:22" ht="15" x14ac:dyDescent="0.25">
      <c r="V6718"/>
    </row>
    <row r="6719" spans="22:22" ht="15" x14ac:dyDescent="0.25">
      <c r="V6719"/>
    </row>
    <row r="6720" spans="22:22" ht="15" x14ac:dyDescent="0.25">
      <c r="V6720"/>
    </row>
    <row r="6721" spans="22:22" ht="15" x14ac:dyDescent="0.25">
      <c r="V6721"/>
    </row>
    <row r="6722" spans="22:22" ht="15" x14ac:dyDescent="0.25">
      <c r="V6722"/>
    </row>
    <row r="6723" spans="22:22" ht="15" x14ac:dyDescent="0.25">
      <c r="V6723"/>
    </row>
    <row r="6724" spans="22:22" ht="15" x14ac:dyDescent="0.25">
      <c r="V6724"/>
    </row>
    <row r="6725" spans="22:22" ht="15" x14ac:dyDescent="0.25">
      <c r="V6725"/>
    </row>
    <row r="6726" spans="22:22" ht="15" x14ac:dyDescent="0.25">
      <c r="V6726"/>
    </row>
    <row r="6727" spans="22:22" ht="15" x14ac:dyDescent="0.25">
      <c r="V6727"/>
    </row>
    <row r="6728" spans="22:22" ht="15" x14ac:dyDescent="0.25">
      <c r="V6728"/>
    </row>
    <row r="6729" spans="22:22" ht="15" x14ac:dyDescent="0.25">
      <c r="V6729"/>
    </row>
    <row r="6730" spans="22:22" ht="15" x14ac:dyDescent="0.25">
      <c r="V6730"/>
    </row>
    <row r="6731" spans="22:22" ht="15" x14ac:dyDescent="0.25">
      <c r="V6731"/>
    </row>
    <row r="6732" spans="22:22" ht="15" x14ac:dyDescent="0.25">
      <c r="V6732"/>
    </row>
    <row r="6733" spans="22:22" ht="15" x14ac:dyDescent="0.25">
      <c r="V6733"/>
    </row>
    <row r="6734" spans="22:22" ht="15" x14ac:dyDescent="0.25">
      <c r="V6734"/>
    </row>
    <row r="6735" spans="22:22" ht="15" x14ac:dyDescent="0.25">
      <c r="V6735"/>
    </row>
    <row r="6736" spans="22:22" ht="15" x14ac:dyDescent="0.25">
      <c r="V6736"/>
    </row>
    <row r="6737" spans="22:22" ht="15" x14ac:dyDescent="0.25">
      <c r="V6737"/>
    </row>
    <row r="6738" spans="22:22" ht="15" x14ac:dyDescent="0.25">
      <c r="V6738"/>
    </row>
    <row r="6739" spans="22:22" ht="15" x14ac:dyDescent="0.25">
      <c r="V6739"/>
    </row>
    <row r="6740" spans="22:22" ht="15" x14ac:dyDescent="0.25">
      <c r="V6740"/>
    </row>
    <row r="6741" spans="22:22" ht="15" x14ac:dyDescent="0.25">
      <c r="V6741"/>
    </row>
    <row r="6742" spans="22:22" ht="15" x14ac:dyDescent="0.25">
      <c r="V6742"/>
    </row>
    <row r="6743" spans="22:22" ht="15" x14ac:dyDescent="0.25">
      <c r="V6743"/>
    </row>
    <row r="6744" spans="22:22" ht="15" x14ac:dyDescent="0.25">
      <c r="V6744"/>
    </row>
    <row r="6745" spans="22:22" ht="15" x14ac:dyDescent="0.25">
      <c r="V6745"/>
    </row>
    <row r="6746" spans="22:22" ht="15" x14ac:dyDescent="0.25">
      <c r="V6746"/>
    </row>
    <row r="6747" spans="22:22" ht="15" x14ac:dyDescent="0.25">
      <c r="V6747"/>
    </row>
    <row r="6748" spans="22:22" ht="15" x14ac:dyDescent="0.25">
      <c r="V6748"/>
    </row>
    <row r="6749" spans="22:22" ht="15" x14ac:dyDescent="0.25">
      <c r="V6749"/>
    </row>
    <row r="6750" spans="22:22" ht="15" x14ac:dyDescent="0.25">
      <c r="V6750"/>
    </row>
    <row r="6751" spans="22:22" ht="15" x14ac:dyDescent="0.25">
      <c r="V6751"/>
    </row>
    <row r="6752" spans="22:22" ht="15" x14ac:dyDescent="0.25">
      <c r="V6752"/>
    </row>
    <row r="6753" spans="22:22" ht="15" x14ac:dyDescent="0.25">
      <c r="V6753"/>
    </row>
    <row r="6754" spans="22:22" ht="15" x14ac:dyDescent="0.25">
      <c r="V6754"/>
    </row>
    <row r="6755" spans="22:22" ht="15" x14ac:dyDescent="0.25">
      <c r="V6755"/>
    </row>
    <row r="6756" spans="22:22" ht="15" x14ac:dyDescent="0.25">
      <c r="V6756"/>
    </row>
    <row r="6757" spans="22:22" ht="15" x14ac:dyDescent="0.25">
      <c r="V6757"/>
    </row>
    <row r="6758" spans="22:22" ht="15" x14ac:dyDescent="0.25">
      <c r="V6758"/>
    </row>
    <row r="6759" spans="22:22" ht="15" x14ac:dyDescent="0.25">
      <c r="V6759"/>
    </row>
    <row r="6760" spans="22:22" ht="15" x14ac:dyDescent="0.25">
      <c r="V6760"/>
    </row>
    <row r="6761" spans="22:22" ht="15" x14ac:dyDescent="0.25">
      <c r="V6761"/>
    </row>
    <row r="6762" spans="22:22" ht="15" x14ac:dyDescent="0.25">
      <c r="V6762"/>
    </row>
    <row r="6763" spans="22:22" ht="15" x14ac:dyDescent="0.25">
      <c r="V6763"/>
    </row>
    <row r="6764" spans="22:22" ht="15" x14ac:dyDescent="0.25">
      <c r="V6764"/>
    </row>
    <row r="6765" spans="22:22" ht="15" x14ac:dyDescent="0.25">
      <c r="V6765"/>
    </row>
    <row r="6766" spans="22:22" ht="15" x14ac:dyDescent="0.25">
      <c r="V6766"/>
    </row>
    <row r="6767" spans="22:22" ht="15" x14ac:dyDescent="0.25">
      <c r="V6767"/>
    </row>
    <row r="6768" spans="22:22" ht="15" x14ac:dyDescent="0.25">
      <c r="V6768"/>
    </row>
    <row r="6769" spans="22:22" ht="15" x14ac:dyDescent="0.25">
      <c r="V6769"/>
    </row>
    <row r="6770" spans="22:22" ht="15" x14ac:dyDescent="0.25">
      <c r="V6770"/>
    </row>
    <row r="6771" spans="22:22" ht="15" x14ac:dyDescent="0.25">
      <c r="V6771"/>
    </row>
    <row r="6772" spans="22:22" ht="15" x14ac:dyDescent="0.25">
      <c r="V6772"/>
    </row>
    <row r="6773" spans="22:22" ht="15" x14ac:dyDescent="0.25">
      <c r="V6773"/>
    </row>
    <row r="6774" spans="22:22" ht="15" x14ac:dyDescent="0.25">
      <c r="V6774"/>
    </row>
    <row r="6775" spans="22:22" ht="15" x14ac:dyDescent="0.25">
      <c r="V6775"/>
    </row>
    <row r="6776" spans="22:22" ht="15" x14ac:dyDescent="0.25">
      <c r="V6776"/>
    </row>
    <row r="6777" spans="22:22" ht="15" x14ac:dyDescent="0.25">
      <c r="V6777"/>
    </row>
    <row r="6778" spans="22:22" ht="15" x14ac:dyDescent="0.25">
      <c r="V6778"/>
    </row>
    <row r="6779" spans="22:22" ht="15" x14ac:dyDescent="0.25">
      <c r="V6779"/>
    </row>
    <row r="6780" spans="22:22" ht="15" x14ac:dyDescent="0.25">
      <c r="V6780"/>
    </row>
    <row r="6781" spans="22:22" ht="15" x14ac:dyDescent="0.25">
      <c r="V6781"/>
    </row>
    <row r="6782" spans="22:22" ht="15" x14ac:dyDescent="0.25">
      <c r="V6782"/>
    </row>
    <row r="6783" spans="22:22" ht="15" x14ac:dyDescent="0.25">
      <c r="V6783"/>
    </row>
    <row r="6784" spans="22:22" ht="15" x14ac:dyDescent="0.25">
      <c r="V6784"/>
    </row>
    <row r="6785" spans="22:22" ht="15" x14ac:dyDescent="0.25">
      <c r="V6785"/>
    </row>
    <row r="6786" spans="22:22" ht="15" x14ac:dyDescent="0.25">
      <c r="V6786"/>
    </row>
    <row r="6787" spans="22:22" ht="15" x14ac:dyDescent="0.25">
      <c r="V6787"/>
    </row>
    <row r="6788" spans="22:22" ht="15" x14ac:dyDescent="0.25">
      <c r="V6788"/>
    </row>
    <row r="6789" spans="22:22" ht="15" x14ac:dyDescent="0.25">
      <c r="V6789"/>
    </row>
    <row r="6790" spans="22:22" ht="15" x14ac:dyDescent="0.25">
      <c r="V6790"/>
    </row>
    <row r="6791" spans="22:22" ht="15" x14ac:dyDescent="0.25">
      <c r="V6791"/>
    </row>
    <row r="6792" spans="22:22" ht="15" x14ac:dyDescent="0.25">
      <c r="V6792"/>
    </row>
    <row r="6793" spans="22:22" ht="15" x14ac:dyDescent="0.25">
      <c r="V6793"/>
    </row>
    <row r="6794" spans="22:22" ht="15" x14ac:dyDescent="0.25">
      <c r="V6794"/>
    </row>
    <row r="6795" spans="22:22" ht="15" x14ac:dyDescent="0.25">
      <c r="V6795"/>
    </row>
    <row r="6796" spans="22:22" ht="15" x14ac:dyDescent="0.25">
      <c r="V6796"/>
    </row>
    <row r="6797" spans="22:22" ht="15" x14ac:dyDescent="0.25">
      <c r="V6797"/>
    </row>
    <row r="6798" spans="22:22" ht="15" x14ac:dyDescent="0.25">
      <c r="V6798"/>
    </row>
    <row r="6799" spans="22:22" ht="15" x14ac:dyDescent="0.25">
      <c r="V6799"/>
    </row>
    <row r="6800" spans="22:22" ht="15" x14ac:dyDescent="0.25">
      <c r="V6800"/>
    </row>
    <row r="6801" spans="22:22" ht="15" x14ac:dyDescent="0.25">
      <c r="V6801"/>
    </row>
    <row r="6802" spans="22:22" ht="15" x14ac:dyDescent="0.25">
      <c r="V6802"/>
    </row>
    <row r="6803" spans="22:22" ht="15" x14ac:dyDescent="0.25">
      <c r="V6803"/>
    </row>
    <row r="6804" spans="22:22" ht="15" x14ac:dyDescent="0.25">
      <c r="V6804"/>
    </row>
    <row r="6805" spans="22:22" ht="15" x14ac:dyDescent="0.25">
      <c r="V6805"/>
    </row>
    <row r="6806" spans="22:22" ht="15" x14ac:dyDescent="0.25">
      <c r="V6806"/>
    </row>
    <row r="6807" spans="22:22" ht="15" x14ac:dyDescent="0.25">
      <c r="V6807"/>
    </row>
    <row r="6808" spans="22:22" ht="15" x14ac:dyDescent="0.25">
      <c r="V6808"/>
    </row>
    <row r="6809" spans="22:22" ht="15" x14ac:dyDescent="0.25">
      <c r="V6809"/>
    </row>
    <row r="6810" spans="22:22" ht="15" x14ac:dyDescent="0.25">
      <c r="V6810"/>
    </row>
    <row r="6811" spans="22:22" ht="15" x14ac:dyDescent="0.25">
      <c r="V6811"/>
    </row>
    <row r="6812" spans="22:22" ht="15" x14ac:dyDescent="0.25">
      <c r="V6812"/>
    </row>
    <row r="6813" spans="22:22" ht="15" x14ac:dyDescent="0.25">
      <c r="V6813"/>
    </row>
    <row r="6814" spans="22:22" ht="15" x14ac:dyDescent="0.25">
      <c r="V6814"/>
    </row>
    <row r="6815" spans="22:22" ht="15" x14ac:dyDescent="0.25">
      <c r="V6815"/>
    </row>
    <row r="6816" spans="22:22" ht="15" x14ac:dyDescent="0.25">
      <c r="V6816"/>
    </row>
    <row r="6817" spans="22:22" ht="15" x14ac:dyDescent="0.25">
      <c r="V6817"/>
    </row>
    <row r="6818" spans="22:22" ht="15" x14ac:dyDescent="0.25">
      <c r="V6818"/>
    </row>
    <row r="6819" spans="22:22" ht="15" x14ac:dyDescent="0.25">
      <c r="V6819"/>
    </row>
    <row r="6820" spans="22:22" ht="15" x14ac:dyDescent="0.25">
      <c r="V6820"/>
    </row>
    <row r="6821" spans="22:22" ht="15" x14ac:dyDescent="0.25">
      <c r="V6821"/>
    </row>
    <row r="6822" spans="22:22" ht="15" x14ac:dyDescent="0.25">
      <c r="V6822"/>
    </row>
    <row r="6823" spans="22:22" ht="15" x14ac:dyDescent="0.25">
      <c r="V6823"/>
    </row>
    <row r="6824" spans="22:22" ht="15" x14ac:dyDescent="0.25">
      <c r="V6824"/>
    </row>
    <row r="6825" spans="22:22" ht="15" x14ac:dyDescent="0.25">
      <c r="V6825"/>
    </row>
    <row r="6826" spans="22:22" ht="15" x14ac:dyDescent="0.25">
      <c r="V6826"/>
    </row>
    <row r="6827" spans="22:22" ht="15" x14ac:dyDescent="0.25">
      <c r="V6827"/>
    </row>
    <row r="6828" spans="22:22" ht="15" x14ac:dyDescent="0.25">
      <c r="V6828"/>
    </row>
    <row r="6829" spans="22:22" ht="15" x14ac:dyDescent="0.25">
      <c r="V6829"/>
    </row>
    <row r="6830" spans="22:22" ht="15" x14ac:dyDescent="0.25">
      <c r="V6830"/>
    </row>
    <row r="6831" spans="22:22" ht="15" x14ac:dyDescent="0.25">
      <c r="V6831"/>
    </row>
    <row r="6832" spans="22:22" ht="15" x14ac:dyDescent="0.25">
      <c r="V6832"/>
    </row>
    <row r="6833" spans="22:22" ht="15" x14ac:dyDescent="0.25">
      <c r="V6833"/>
    </row>
    <row r="6834" spans="22:22" ht="15" x14ac:dyDescent="0.25">
      <c r="V6834"/>
    </row>
    <row r="6835" spans="22:22" ht="15" x14ac:dyDescent="0.25">
      <c r="V6835"/>
    </row>
    <row r="6836" spans="22:22" ht="15" x14ac:dyDescent="0.25">
      <c r="V6836"/>
    </row>
    <row r="6837" spans="22:22" ht="15" x14ac:dyDescent="0.25">
      <c r="V6837"/>
    </row>
    <row r="6838" spans="22:22" ht="15" x14ac:dyDescent="0.25">
      <c r="V6838"/>
    </row>
    <row r="6839" spans="22:22" ht="15" x14ac:dyDescent="0.25">
      <c r="V6839"/>
    </row>
    <row r="6840" spans="22:22" ht="15" x14ac:dyDescent="0.25">
      <c r="V6840"/>
    </row>
    <row r="6841" spans="22:22" ht="15" x14ac:dyDescent="0.25">
      <c r="V6841"/>
    </row>
    <row r="6842" spans="22:22" ht="15" x14ac:dyDescent="0.25">
      <c r="V6842"/>
    </row>
    <row r="6843" spans="22:22" ht="15" x14ac:dyDescent="0.25">
      <c r="V6843"/>
    </row>
    <row r="6844" spans="22:22" ht="15" x14ac:dyDescent="0.25">
      <c r="V6844"/>
    </row>
    <row r="6845" spans="22:22" ht="15" x14ac:dyDescent="0.25">
      <c r="V6845"/>
    </row>
    <row r="6846" spans="22:22" ht="15" x14ac:dyDescent="0.25">
      <c r="V6846"/>
    </row>
    <row r="6847" spans="22:22" ht="15" x14ac:dyDescent="0.25">
      <c r="V6847"/>
    </row>
    <row r="6848" spans="22:22" ht="15" x14ac:dyDescent="0.25">
      <c r="V6848"/>
    </row>
    <row r="6849" spans="22:22" ht="15" x14ac:dyDescent="0.25">
      <c r="V6849"/>
    </row>
    <row r="6850" spans="22:22" ht="15" x14ac:dyDescent="0.25">
      <c r="V6850"/>
    </row>
    <row r="6851" spans="22:22" ht="15" x14ac:dyDescent="0.25">
      <c r="V6851"/>
    </row>
    <row r="6852" spans="22:22" ht="15" x14ac:dyDescent="0.25">
      <c r="V6852"/>
    </row>
    <row r="6853" spans="22:22" ht="15" x14ac:dyDescent="0.25">
      <c r="V6853"/>
    </row>
    <row r="6854" spans="22:22" ht="15" x14ac:dyDescent="0.25">
      <c r="V6854"/>
    </row>
    <row r="6855" spans="22:22" ht="15" x14ac:dyDescent="0.25">
      <c r="V6855"/>
    </row>
    <row r="6856" spans="22:22" ht="15" x14ac:dyDescent="0.25">
      <c r="V6856"/>
    </row>
    <row r="6857" spans="22:22" ht="15" x14ac:dyDescent="0.25">
      <c r="V6857"/>
    </row>
    <row r="6858" spans="22:22" ht="15" x14ac:dyDescent="0.25">
      <c r="V6858"/>
    </row>
    <row r="6859" spans="22:22" ht="15" x14ac:dyDescent="0.25">
      <c r="V6859"/>
    </row>
    <row r="6860" spans="22:22" ht="15" x14ac:dyDescent="0.25">
      <c r="V6860"/>
    </row>
    <row r="6861" spans="22:22" ht="15" x14ac:dyDescent="0.25">
      <c r="V6861"/>
    </row>
    <row r="6862" spans="22:22" ht="15" x14ac:dyDescent="0.25">
      <c r="V6862"/>
    </row>
    <row r="6863" spans="22:22" ht="15" x14ac:dyDescent="0.25">
      <c r="V6863"/>
    </row>
    <row r="6864" spans="22:22" ht="15" x14ac:dyDescent="0.25">
      <c r="V6864"/>
    </row>
    <row r="6865" spans="22:22" ht="15" x14ac:dyDescent="0.25">
      <c r="V6865"/>
    </row>
    <row r="6866" spans="22:22" ht="15" x14ac:dyDescent="0.25">
      <c r="V6866"/>
    </row>
    <row r="6867" spans="22:22" ht="15" x14ac:dyDescent="0.25">
      <c r="V6867"/>
    </row>
    <row r="6868" spans="22:22" ht="15" x14ac:dyDescent="0.25">
      <c r="V6868"/>
    </row>
    <row r="6869" spans="22:22" ht="15" x14ac:dyDescent="0.25">
      <c r="V6869"/>
    </row>
    <row r="6870" spans="22:22" ht="15" x14ac:dyDescent="0.25">
      <c r="V6870"/>
    </row>
    <row r="6871" spans="22:22" ht="15" x14ac:dyDescent="0.25">
      <c r="V6871"/>
    </row>
    <row r="6872" spans="22:22" ht="15" x14ac:dyDescent="0.25">
      <c r="V6872"/>
    </row>
    <row r="6873" spans="22:22" ht="15" x14ac:dyDescent="0.25">
      <c r="V6873"/>
    </row>
    <row r="6874" spans="22:22" ht="15" x14ac:dyDescent="0.25">
      <c r="V6874"/>
    </row>
    <row r="6875" spans="22:22" ht="15" x14ac:dyDescent="0.25">
      <c r="V6875"/>
    </row>
    <row r="6876" spans="22:22" ht="15" x14ac:dyDescent="0.25">
      <c r="V6876"/>
    </row>
    <row r="6877" spans="22:22" ht="15" x14ac:dyDescent="0.25">
      <c r="V6877"/>
    </row>
    <row r="6878" spans="22:22" ht="15" x14ac:dyDescent="0.25">
      <c r="V6878"/>
    </row>
    <row r="6879" spans="22:22" ht="15" x14ac:dyDescent="0.25">
      <c r="V6879"/>
    </row>
    <row r="6880" spans="22:22" ht="15" x14ac:dyDescent="0.25">
      <c r="V6880"/>
    </row>
    <row r="6881" spans="22:22" ht="15" x14ac:dyDescent="0.25">
      <c r="V6881"/>
    </row>
    <row r="6882" spans="22:22" ht="15" x14ac:dyDescent="0.25">
      <c r="V6882"/>
    </row>
    <row r="6883" spans="22:22" ht="15" x14ac:dyDescent="0.25">
      <c r="V6883"/>
    </row>
    <row r="6884" spans="22:22" ht="15" x14ac:dyDescent="0.25">
      <c r="V6884"/>
    </row>
    <row r="6885" spans="22:22" ht="15" x14ac:dyDescent="0.25">
      <c r="V6885"/>
    </row>
    <row r="6886" spans="22:22" ht="15" x14ac:dyDescent="0.25">
      <c r="V6886"/>
    </row>
    <row r="6887" spans="22:22" ht="15" x14ac:dyDescent="0.25">
      <c r="V6887"/>
    </row>
    <row r="6888" spans="22:22" ht="15" x14ac:dyDescent="0.25">
      <c r="V6888"/>
    </row>
    <row r="6889" spans="22:22" ht="15" x14ac:dyDescent="0.25">
      <c r="V6889"/>
    </row>
    <row r="6890" spans="22:22" ht="15" x14ac:dyDescent="0.25">
      <c r="V6890"/>
    </row>
    <row r="6891" spans="22:22" ht="15" x14ac:dyDescent="0.25">
      <c r="V6891"/>
    </row>
    <row r="6892" spans="22:22" ht="15" x14ac:dyDescent="0.25">
      <c r="V6892"/>
    </row>
    <row r="6893" spans="22:22" ht="15" x14ac:dyDescent="0.25">
      <c r="V6893"/>
    </row>
    <row r="6894" spans="22:22" ht="15" x14ac:dyDescent="0.25">
      <c r="V6894"/>
    </row>
    <row r="6895" spans="22:22" ht="15" x14ac:dyDescent="0.25">
      <c r="V6895"/>
    </row>
    <row r="6896" spans="22:22" ht="15" x14ac:dyDescent="0.25">
      <c r="V6896"/>
    </row>
    <row r="6897" spans="22:22" ht="15" x14ac:dyDescent="0.25">
      <c r="V6897"/>
    </row>
    <row r="6898" spans="22:22" ht="15" x14ac:dyDescent="0.25">
      <c r="V6898"/>
    </row>
    <row r="6899" spans="22:22" ht="15" x14ac:dyDescent="0.25">
      <c r="V6899"/>
    </row>
    <row r="6900" spans="22:22" ht="15" x14ac:dyDescent="0.25">
      <c r="V6900"/>
    </row>
    <row r="6901" spans="22:22" ht="15" x14ac:dyDescent="0.25">
      <c r="V6901"/>
    </row>
    <row r="6902" spans="22:22" ht="15" x14ac:dyDescent="0.25">
      <c r="V6902"/>
    </row>
    <row r="6903" spans="22:22" ht="15" x14ac:dyDescent="0.25">
      <c r="V6903"/>
    </row>
    <row r="6904" spans="22:22" ht="15" x14ac:dyDescent="0.25">
      <c r="V6904"/>
    </row>
    <row r="6905" spans="22:22" ht="15" x14ac:dyDescent="0.25">
      <c r="V6905"/>
    </row>
    <row r="6906" spans="22:22" ht="15" x14ac:dyDescent="0.25">
      <c r="V6906"/>
    </row>
    <row r="6907" spans="22:22" ht="15" x14ac:dyDescent="0.25">
      <c r="V6907"/>
    </row>
    <row r="6908" spans="22:22" ht="15" x14ac:dyDescent="0.25">
      <c r="V6908"/>
    </row>
    <row r="6909" spans="22:22" ht="15" x14ac:dyDescent="0.25">
      <c r="V6909"/>
    </row>
    <row r="6910" spans="22:22" ht="15" x14ac:dyDescent="0.25">
      <c r="V6910"/>
    </row>
    <row r="6911" spans="22:22" ht="15" x14ac:dyDescent="0.25">
      <c r="V6911"/>
    </row>
    <row r="6912" spans="22:22" ht="15" x14ac:dyDescent="0.25">
      <c r="V6912"/>
    </row>
    <row r="6913" spans="22:22" ht="15" x14ac:dyDescent="0.25">
      <c r="V6913"/>
    </row>
    <row r="6914" spans="22:22" ht="15" x14ac:dyDescent="0.25">
      <c r="V6914"/>
    </row>
    <row r="6915" spans="22:22" ht="15" x14ac:dyDescent="0.25">
      <c r="V6915"/>
    </row>
    <row r="6916" spans="22:22" ht="15" x14ac:dyDescent="0.25">
      <c r="V6916"/>
    </row>
    <row r="6917" spans="22:22" ht="15" x14ac:dyDescent="0.25">
      <c r="V6917"/>
    </row>
    <row r="6918" spans="22:22" ht="15" x14ac:dyDescent="0.25">
      <c r="V6918"/>
    </row>
    <row r="6919" spans="22:22" ht="15" x14ac:dyDescent="0.25">
      <c r="V6919"/>
    </row>
    <row r="6920" spans="22:22" ht="15" x14ac:dyDescent="0.25">
      <c r="V6920"/>
    </row>
    <row r="6921" spans="22:22" ht="15" x14ac:dyDescent="0.25">
      <c r="V6921"/>
    </row>
    <row r="6922" spans="22:22" ht="15" x14ac:dyDescent="0.25">
      <c r="V6922"/>
    </row>
    <row r="6923" spans="22:22" ht="15" x14ac:dyDescent="0.25">
      <c r="V6923"/>
    </row>
    <row r="6924" spans="22:22" ht="15" x14ac:dyDescent="0.25">
      <c r="V6924"/>
    </row>
    <row r="6925" spans="22:22" ht="15" x14ac:dyDescent="0.25">
      <c r="V6925"/>
    </row>
    <row r="6926" spans="22:22" ht="15" x14ac:dyDescent="0.25">
      <c r="V6926"/>
    </row>
    <row r="6927" spans="22:22" ht="15" x14ac:dyDescent="0.25">
      <c r="V6927"/>
    </row>
    <row r="6928" spans="22:22" ht="15" x14ac:dyDescent="0.25">
      <c r="V6928"/>
    </row>
    <row r="6929" spans="22:22" ht="15" x14ac:dyDescent="0.25">
      <c r="V6929"/>
    </row>
    <row r="6930" spans="22:22" ht="15" x14ac:dyDescent="0.25">
      <c r="V6930"/>
    </row>
    <row r="6931" spans="22:22" ht="15" x14ac:dyDescent="0.25">
      <c r="V6931"/>
    </row>
    <row r="6932" spans="22:22" ht="15" x14ac:dyDescent="0.25">
      <c r="V6932"/>
    </row>
    <row r="6933" spans="22:22" ht="15" x14ac:dyDescent="0.25">
      <c r="V6933"/>
    </row>
    <row r="6934" spans="22:22" ht="15" x14ac:dyDescent="0.25">
      <c r="V6934"/>
    </row>
    <row r="6935" spans="22:22" ht="15" x14ac:dyDescent="0.25">
      <c r="V6935"/>
    </row>
    <row r="6936" spans="22:22" ht="15" x14ac:dyDescent="0.25">
      <c r="V6936"/>
    </row>
    <row r="6937" spans="22:22" ht="15" x14ac:dyDescent="0.25">
      <c r="V6937"/>
    </row>
    <row r="6938" spans="22:22" ht="15" x14ac:dyDescent="0.25">
      <c r="V6938"/>
    </row>
    <row r="6939" spans="22:22" ht="15" x14ac:dyDescent="0.25">
      <c r="V6939"/>
    </row>
    <row r="6940" spans="22:22" ht="15" x14ac:dyDescent="0.25">
      <c r="V6940"/>
    </row>
    <row r="6941" spans="22:22" ht="15" x14ac:dyDescent="0.25">
      <c r="V6941"/>
    </row>
    <row r="6942" spans="22:22" ht="15" x14ac:dyDescent="0.25">
      <c r="V6942"/>
    </row>
    <row r="6943" spans="22:22" ht="15" x14ac:dyDescent="0.25">
      <c r="V6943"/>
    </row>
    <row r="6944" spans="22:22" ht="15" x14ac:dyDescent="0.25">
      <c r="V6944"/>
    </row>
    <row r="6945" spans="22:22" ht="15" x14ac:dyDescent="0.25">
      <c r="V6945"/>
    </row>
    <row r="6946" spans="22:22" ht="15" x14ac:dyDescent="0.25">
      <c r="V6946"/>
    </row>
    <row r="6947" spans="22:22" ht="15" x14ac:dyDescent="0.25">
      <c r="V6947"/>
    </row>
    <row r="6948" spans="22:22" ht="15" x14ac:dyDescent="0.25">
      <c r="V6948"/>
    </row>
    <row r="6949" spans="22:22" ht="15" x14ac:dyDescent="0.25">
      <c r="V6949"/>
    </row>
    <row r="6950" spans="22:22" ht="15" x14ac:dyDescent="0.25">
      <c r="V6950"/>
    </row>
    <row r="6951" spans="22:22" ht="15" x14ac:dyDescent="0.25">
      <c r="V6951"/>
    </row>
    <row r="6952" spans="22:22" ht="15" x14ac:dyDescent="0.25">
      <c r="V6952"/>
    </row>
    <row r="6953" spans="22:22" ht="15" x14ac:dyDescent="0.25">
      <c r="V6953"/>
    </row>
    <row r="6954" spans="22:22" ht="15" x14ac:dyDescent="0.25">
      <c r="V6954"/>
    </row>
    <row r="6955" spans="22:22" ht="15" x14ac:dyDescent="0.25">
      <c r="V6955"/>
    </row>
    <row r="6956" spans="22:22" ht="15" x14ac:dyDescent="0.25">
      <c r="V6956"/>
    </row>
    <row r="6957" spans="22:22" ht="15" x14ac:dyDescent="0.25">
      <c r="V6957"/>
    </row>
    <row r="6958" spans="22:22" ht="15" x14ac:dyDescent="0.25">
      <c r="V6958"/>
    </row>
    <row r="6959" spans="22:22" ht="15" x14ac:dyDescent="0.25">
      <c r="V6959"/>
    </row>
    <row r="6960" spans="22:22" ht="15" x14ac:dyDescent="0.25">
      <c r="V6960"/>
    </row>
    <row r="6961" spans="22:22" ht="15" x14ac:dyDescent="0.25">
      <c r="V6961"/>
    </row>
    <row r="6962" spans="22:22" ht="15" x14ac:dyDescent="0.25">
      <c r="V6962"/>
    </row>
    <row r="6963" spans="22:22" ht="15" x14ac:dyDescent="0.25">
      <c r="V6963"/>
    </row>
    <row r="6964" spans="22:22" ht="15" x14ac:dyDescent="0.25">
      <c r="V6964"/>
    </row>
    <row r="6965" spans="22:22" ht="15" x14ac:dyDescent="0.25">
      <c r="V6965"/>
    </row>
    <row r="6966" spans="22:22" ht="15" x14ac:dyDescent="0.25">
      <c r="V6966"/>
    </row>
    <row r="6967" spans="22:22" ht="15" x14ac:dyDescent="0.25">
      <c r="V6967"/>
    </row>
    <row r="6968" spans="22:22" ht="15" x14ac:dyDescent="0.25">
      <c r="V6968"/>
    </row>
    <row r="6969" spans="22:22" ht="15" x14ac:dyDescent="0.25">
      <c r="V6969"/>
    </row>
    <row r="6970" spans="22:22" ht="15" x14ac:dyDescent="0.25">
      <c r="V6970"/>
    </row>
    <row r="6971" spans="22:22" ht="15" x14ac:dyDescent="0.25">
      <c r="V6971"/>
    </row>
    <row r="6972" spans="22:22" ht="15" x14ac:dyDescent="0.25">
      <c r="V6972"/>
    </row>
    <row r="6973" spans="22:22" ht="15" x14ac:dyDescent="0.25">
      <c r="V6973"/>
    </row>
    <row r="6974" spans="22:22" ht="15" x14ac:dyDescent="0.25">
      <c r="V6974"/>
    </row>
    <row r="6975" spans="22:22" ht="15" x14ac:dyDescent="0.25">
      <c r="V6975"/>
    </row>
    <row r="6976" spans="22:22" ht="15" x14ac:dyDescent="0.25">
      <c r="V6976"/>
    </row>
    <row r="6977" spans="22:22" ht="15" x14ac:dyDescent="0.25">
      <c r="V6977"/>
    </row>
    <row r="6978" spans="22:22" ht="15" x14ac:dyDescent="0.25">
      <c r="V6978"/>
    </row>
    <row r="6979" spans="22:22" ht="15" x14ac:dyDescent="0.25">
      <c r="V6979"/>
    </row>
    <row r="6980" spans="22:22" ht="15" x14ac:dyDescent="0.25">
      <c r="V6980"/>
    </row>
    <row r="6981" spans="22:22" ht="15" x14ac:dyDescent="0.25">
      <c r="V6981"/>
    </row>
    <row r="6982" spans="22:22" ht="15" x14ac:dyDescent="0.25">
      <c r="V6982"/>
    </row>
    <row r="6983" spans="22:22" ht="15" x14ac:dyDescent="0.25">
      <c r="V6983"/>
    </row>
    <row r="6984" spans="22:22" ht="15" x14ac:dyDescent="0.25">
      <c r="V6984"/>
    </row>
    <row r="6985" spans="22:22" ht="15" x14ac:dyDescent="0.25">
      <c r="V6985"/>
    </row>
    <row r="6986" spans="22:22" ht="15" x14ac:dyDescent="0.25">
      <c r="V6986"/>
    </row>
    <row r="6987" spans="22:22" ht="15" x14ac:dyDescent="0.25">
      <c r="V6987"/>
    </row>
    <row r="6988" spans="22:22" ht="15" x14ac:dyDescent="0.25">
      <c r="V6988"/>
    </row>
    <row r="6989" spans="22:22" ht="15" x14ac:dyDescent="0.25">
      <c r="V6989"/>
    </row>
    <row r="6990" spans="22:22" ht="15" x14ac:dyDescent="0.25">
      <c r="V6990"/>
    </row>
    <row r="6991" spans="22:22" ht="15" x14ac:dyDescent="0.25">
      <c r="V6991"/>
    </row>
    <row r="6992" spans="22:22" ht="15" x14ac:dyDescent="0.25">
      <c r="V6992"/>
    </row>
    <row r="6993" spans="22:22" ht="15" x14ac:dyDescent="0.25">
      <c r="V6993"/>
    </row>
    <row r="6994" spans="22:22" ht="15" x14ac:dyDescent="0.25">
      <c r="V6994"/>
    </row>
    <row r="6995" spans="22:22" ht="15" x14ac:dyDescent="0.25">
      <c r="V6995"/>
    </row>
    <row r="6996" spans="22:22" ht="15" x14ac:dyDescent="0.25">
      <c r="V6996"/>
    </row>
    <row r="6997" spans="22:22" ht="15" x14ac:dyDescent="0.25">
      <c r="V6997"/>
    </row>
    <row r="6998" spans="22:22" ht="15" x14ac:dyDescent="0.25">
      <c r="V6998"/>
    </row>
    <row r="6999" spans="22:22" ht="15" x14ac:dyDescent="0.25">
      <c r="V6999"/>
    </row>
    <row r="7000" spans="22:22" ht="15" x14ac:dyDescent="0.25">
      <c r="V7000"/>
    </row>
    <row r="7001" spans="22:22" ht="15" x14ac:dyDescent="0.25">
      <c r="V7001"/>
    </row>
    <row r="7002" spans="22:22" ht="15" x14ac:dyDescent="0.25">
      <c r="V7002"/>
    </row>
    <row r="7003" spans="22:22" ht="15" x14ac:dyDescent="0.25">
      <c r="V7003"/>
    </row>
    <row r="7004" spans="22:22" ht="15" x14ac:dyDescent="0.25">
      <c r="V7004"/>
    </row>
    <row r="7005" spans="22:22" ht="15" x14ac:dyDescent="0.25">
      <c r="V7005"/>
    </row>
    <row r="7006" spans="22:22" ht="15" x14ac:dyDescent="0.25">
      <c r="V7006"/>
    </row>
    <row r="7007" spans="22:22" ht="15" x14ac:dyDescent="0.25">
      <c r="V7007"/>
    </row>
    <row r="7008" spans="22:22" ht="15" x14ac:dyDescent="0.25">
      <c r="V7008"/>
    </row>
    <row r="7009" spans="22:22" ht="15" x14ac:dyDescent="0.25">
      <c r="V7009"/>
    </row>
    <row r="7010" spans="22:22" ht="15" x14ac:dyDescent="0.25">
      <c r="V7010"/>
    </row>
    <row r="7011" spans="22:22" ht="15" x14ac:dyDescent="0.25">
      <c r="V7011"/>
    </row>
    <row r="7012" spans="22:22" ht="15" x14ac:dyDescent="0.25">
      <c r="V7012"/>
    </row>
    <row r="7013" spans="22:22" ht="15" x14ac:dyDescent="0.25">
      <c r="V7013"/>
    </row>
    <row r="7014" spans="22:22" ht="15" x14ac:dyDescent="0.25">
      <c r="V7014"/>
    </row>
    <row r="7015" spans="22:22" ht="15" x14ac:dyDescent="0.25">
      <c r="V7015"/>
    </row>
    <row r="7016" spans="22:22" ht="15" x14ac:dyDescent="0.25">
      <c r="V7016"/>
    </row>
    <row r="7017" spans="22:22" ht="15" x14ac:dyDescent="0.25">
      <c r="V7017"/>
    </row>
    <row r="7018" spans="22:22" ht="15" x14ac:dyDescent="0.25">
      <c r="V7018"/>
    </row>
    <row r="7019" spans="22:22" ht="15" x14ac:dyDescent="0.25">
      <c r="V7019"/>
    </row>
    <row r="7020" spans="22:22" ht="15" x14ac:dyDescent="0.25">
      <c r="V7020"/>
    </row>
    <row r="7021" spans="22:22" ht="15" x14ac:dyDescent="0.25">
      <c r="V7021"/>
    </row>
    <row r="7022" spans="22:22" ht="15" x14ac:dyDescent="0.25">
      <c r="V7022"/>
    </row>
    <row r="7023" spans="22:22" ht="15" x14ac:dyDescent="0.25">
      <c r="V7023"/>
    </row>
    <row r="7024" spans="22:22" ht="15" x14ac:dyDescent="0.25">
      <c r="V7024"/>
    </row>
    <row r="7025" spans="22:22" ht="15" x14ac:dyDescent="0.25">
      <c r="V7025"/>
    </row>
    <row r="7026" spans="22:22" ht="15" x14ac:dyDescent="0.25">
      <c r="V7026"/>
    </row>
    <row r="7027" spans="22:22" ht="15" x14ac:dyDescent="0.25">
      <c r="V7027"/>
    </row>
    <row r="7028" spans="22:22" ht="15" x14ac:dyDescent="0.25">
      <c r="V7028"/>
    </row>
    <row r="7029" spans="22:22" ht="15" x14ac:dyDescent="0.25">
      <c r="V7029"/>
    </row>
    <row r="7030" spans="22:22" ht="15" x14ac:dyDescent="0.25">
      <c r="V7030"/>
    </row>
    <row r="7031" spans="22:22" ht="15" x14ac:dyDescent="0.25">
      <c r="V7031"/>
    </row>
    <row r="7032" spans="22:22" ht="15" x14ac:dyDescent="0.25">
      <c r="V7032"/>
    </row>
    <row r="7033" spans="22:22" ht="15" x14ac:dyDescent="0.25">
      <c r="V7033"/>
    </row>
    <row r="7034" spans="22:22" ht="15" x14ac:dyDescent="0.25">
      <c r="V7034"/>
    </row>
    <row r="7035" spans="22:22" ht="15" x14ac:dyDescent="0.25">
      <c r="V7035"/>
    </row>
    <row r="7036" spans="22:22" ht="15" x14ac:dyDescent="0.25">
      <c r="V7036"/>
    </row>
    <row r="7037" spans="22:22" ht="15" x14ac:dyDescent="0.25">
      <c r="V7037"/>
    </row>
    <row r="7038" spans="22:22" ht="15" x14ac:dyDescent="0.25">
      <c r="V7038"/>
    </row>
    <row r="7039" spans="22:22" ht="15" x14ac:dyDescent="0.25">
      <c r="V7039"/>
    </row>
    <row r="7040" spans="22:22" ht="15" x14ac:dyDescent="0.25">
      <c r="V7040"/>
    </row>
    <row r="7041" spans="22:22" ht="15" x14ac:dyDescent="0.25">
      <c r="V7041"/>
    </row>
    <row r="7042" spans="22:22" ht="15" x14ac:dyDescent="0.25">
      <c r="V7042"/>
    </row>
    <row r="7043" spans="22:22" ht="15" x14ac:dyDescent="0.25">
      <c r="V7043"/>
    </row>
    <row r="7044" spans="22:22" ht="15" x14ac:dyDescent="0.25">
      <c r="V7044"/>
    </row>
    <row r="7045" spans="22:22" ht="15" x14ac:dyDescent="0.25">
      <c r="V7045"/>
    </row>
    <row r="7046" spans="22:22" ht="15" x14ac:dyDescent="0.25">
      <c r="V7046"/>
    </row>
    <row r="7047" spans="22:22" ht="15" x14ac:dyDescent="0.25">
      <c r="V7047"/>
    </row>
    <row r="7048" spans="22:22" ht="15" x14ac:dyDescent="0.25">
      <c r="V7048"/>
    </row>
    <row r="7049" spans="22:22" ht="15" x14ac:dyDescent="0.25">
      <c r="V7049"/>
    </row>
    <row r="7050" spans="22:22" ht="15" x14ac:dyDescent="0.25">
      <c r="V7050"/>
    </row>
    <row r="7051" spans="22:22" ht="15" x14ac:dyDescent="0.25">
      <c r="V7051"/>
    </row>
    <row r="7052" spans="22:22" ht="15" x14ac:dyDescent="0.25">
      <c r="V7052"/>
    </row>
    <row r="7053" spans="22:22" ht="15" x14ac:dyDescent="0.25">
      <c r="V7053"/>
    </row>
    <row r="7054" spans="22:22" ht="15" x14ac:dyDescent="0.25">
      <c r="V7054"/>
    </row>
    <row r="7055" spans="22:22" ht="15" x14ac:dyDescent="0.25">
      <c r="V7055"/>
    </row>
    <row r="7056" spans="22:22" ht="15" x14ac:dyDescent="0.25">
      <c r="V7056"/>
    </row>
    <row r="7057" spans="22:22" ht="15" x14ac:dyDescent="0.25">
      <c r="V7057"/>
    </row>
    <row r="7058" spans="22:22" ht="15" x14ac:dyDescent="0.25">
      <c r="V7058"/>
    </row>
    <row r="7059" spans="22:22" ht="15" x14ac:dyDescent="0.25">
      <c r="V7059"/>
    </row>
    <row r="7060" spans="22:22" ht="15" x14ac:dyDescent="0.25">
      <c r="V7060"/>
    </row>
    <row r="7061" spans="22:22" ht="15" x14ac:dyDescent="0.25">
      <c r="V7061"/>
    </row>
    <row r="7062" spans="22:22" ht="15" x14ac:dyDescent="0.25">
      <c r="V7062"/>
    </row>
    <row r="7063" spans="22:22" ht="15" x14ac:dyDescent="0.25">
      <c r="V7063"/>
    </row>
    <row r="7064" spans="22:22" ht="15" x14ac:dyDescent="0.25">
      <c r="V7064"/>
    </row>
    <row r="7065" spans="22:22" ht="15" x14ac:dyDescent="0.25">
      <c r="V7065"/>
    </row>
    <row r="7066" spans="22:22" ht="15" x14ac:dyDescent="0.25">
      <c r="V7066"/>
    </row>
    <row r="7067" spans="22:22" ht="15" x14ac:dyDescent="0.25">
      <c r="V7067"/>
    </row>
    <row r="7068" spans="22:22" ht="15" x14ac:dyDescent="0.25">
      <c r="V7068"/>
    </row>
    <row r="7069" spans="22:22" ht="15" x14ac:dyDescent="0.25">
      <c r="V7069"/>
    </row>
    <row r="7070" spans="22:22" ht="15" x14ac:dyDescent="0.25">
      <c r="V7070"/>
    </row>
    <row r="7071" spans="22:22" ht="15" x14ac:dyDescent="0.25">
      <c r="V7071"/>
    </row>
    <row r="7072" spans="22:22" ht="15" x14ac:dyDescent="0.25">
      <c r="V7072"/>
    </row>
    <row r="7073" spans="22:22" ht="15" x14ac:dyDescent="0.25">
      <c r="V7073"/>
    </row>
    <row r="7074" spans="22:22" ht="15" x14ac:dyDescent="0.25">
      <c r="V7074"/>
    </row>
    <row r="7075" spans="22:22" ht="15" x14ac:dyDescent="0.25">
      <c r="V7075"/>
    </row>
    <row r="7076" spans="22:22" ht="15" x14ac:dyDescent="0.25">
      <c r="V7076"/>
    </row>
    <row r="7077" spans="22:22" ht="15" x14ac:dyDescent="0.25">
      <c r="V7077"/>
    </row>
    <row r="7078" spans="22:22" ht="15" x14ac:dyDescent="0.25">
      <c r="V7078"/>
    </row>
    <row r="7079" spans="22:22" ht="15" x14ac:dyDescent="0.25">
      <c r="V7079"/>
    </row>
    <row r="7080" spans="22:22" ht="15" x14ac:dyDescent="0.25">
      <c r="V7080"/>
    </row>
    <row r="7081" spans="22:22" ht="15" x14ac:dyDescent="0.25">
      <c r="V7081"/>
    </row>
    <row r="7082" spans="22:22" ht="15" x14ac:dyDescent="0.25">
      <c r="V7082"/>
    </row>
    <row r="7083" spans="22:22" ht="15" x14ac:dyDescent="0.25">
      <c r="V7083"/>
    </row>
    <row r="7084" spans="22:22" ht="15" x14ac:dyDescent="0.25">
      <c r="V7084"/>
    </row>
    <row r="7085" spans="22:22" ht="15" x14ac:dyDescent="0.25">
      <c r="V7085"/>
    </row>
    <row r="7086" spans="22:22" ht="15" x14ac:dyDescent="0.25">
      <c r="V7086"/>
    </row>
    <row r="7087" spans="22:22" ht="15" x14ac:dyDescent="0.25">
      <c r="V7087"/>
    </row>
    <row r="7088" spans="22:22" ht="15" x14ac:dyDescent="0.25">
      <c r="V7088"/>
    </row>
    <row r="7089" spans="22:22" ht="15" x14ac:dyDescent="0.25">
      <c r="V7089"/>
    </row>
    <row r="7090" spans="22:22" ht="15" x14ac:dyDescent="0.25">
      <c r="V7090"/>
    </row>
    <row r="7091" spans="22:22" ht="15" x14ac:dyDescent="0.25">
      <c r="V7091"/>
    </row>
    <row r="7092" spans="22:22" ht="15" x14ac:dyDescent="0.25">
      <c r="V7092"/>
    </row>
    <row r="7093" spans="22:22" ht="15" x14ac:dyDescent="0.25">
      <c r="V7093"/>
    </row>
    <row r="7094" spans="22:22" ht="15" x14ac:dyDescent="0.25">
      <c r="V7094"/>
    </row>
    <row r="7095" spans="22:22" ht="15" x14ac:dyDescent="0.25">
      <c r="V7095"/>
    </row>
    <row r="7096" spans="22:22" ht="15" x14ac:dyDescent="0.25">
      <c r="V7096"/>
    </row>
    <row r="7097" spans="22:22" ht="15" x14ac:dyDescent="0.25">
      <c r="V7097"/>
    </row>
    <row r="7098" spans="22:22" ht="15" x14ac:dyDescent="0.25">
      <c r="V7098"/>
    </row>
    <row r="7099" spans="22:22" ht="15" x14ac:dyDescent="0.25">
      <c r="V7099"/>
    </row>
    <row r="7100" spans="22:22" ht="15" x14ac:dyDescent="0.25">
      <c r="V7100"/>
    </row>
    <row r="7101" spans="22:22" ht="15" x14ac:dyDescent="0.25">
      <c r="V7101"/>
    </row>
    <row r="7102" spans="22:22" ht="15" x14ac:dyDescent="0.25">
      <c r="V7102"/>
    </row>
    <row r="7103" spans="22:22" ht="15" x14ac:dyDescent="0.25">
      <c r="V7103"/>
    </row>
    <row r="7104" spans="22:22" ht="15" x14ac:dyDescent="0.25">
      <c r="V7104"/>
    </row>
    <row r="7105" spans="22:22" ht="15" x14ac:dyDescent="0.25">
      <c r="V7105"/>
    </row>
    <row r="7106" spans="22:22" ht="15" x14ac:dyDescent="0.25">
      <c r="V7106"/>
    </row>
    <row r="7107" spans="22:22" ht="15" x14ac:dyDescent="0.25">
      <c r="V7107"/>
    </row>
    <row r="7108" spans="22:22" ht="15" x14ac:dyDescent="0.25">
      <c r="V7108"/>
    </row>
    <row r="7109" spans="22:22" ht="15" x14ac:dyDescent="0.25">
      <c r="V7109"/>
    </row>
    <row r="7110" spans="22:22" ht="15" x14ac:dyDescent="0.25">
      <c r="V7110"/>
    </row>
    <row r="7111" spans="22:22" ht="15" x14ac:dyDescent="0.25">
      <c r="V7111"/>
    </row>
    <row r="7112" spans="22:22" ht="15" x14ac:dyDescent="0.25">
      <c r="V7112"/>
    </row>
    <row r="7113" spans="22:22" ht="15" x14ac:dyDescent="0.25">
      <c r="V7113"/>
    </row>
    <row r="7114" spans="22:22" ht="15" x14ac:dyDescent="0.25">
      <c r="V7114"/>
    </row>
    <row r="7115" spans="22:22" ht="15" x14ac:dyDescent="0.25">
      <c r="V7115"/>
    </row>
    <row r="7116" spans="22:22" ht="15" x14ac:dyDescent="0.25">
      <c r="V7116"/>
    </row>
    <row r="7117" spans="22:22" ht="15" x14ac:dyDescent="0.25">
      <c r="V7117"/>
    </row>
    <row r="7118" spans="22:22" ht="15" x14ac:dyDescent="0.25">
      <c r="V7118"/>
    </row>
    <row r="7119" spans="22:22" ht="15" x14ac:dyDescent="0.25">
      <c r="V7119"/>
    </row>
    <row r="7120" spans="22:22" ht="15" x14ac:dyDescent="0.25">
      <c r="V7120"/>
    </row>
    <row r="7121" spans="22:22" ht="15" x14ac:dyDescent="0.25">
      <c r="V7121"/>
    </row>
    <row r="7122" spans="22:22" ht="15" x14ac:dyDescent="0.25">
      <c r="V7122"/>
    </row>
    <row r="7123" spans="22:22" ht="15" x14ac:dyDescent="0.25">
      <c r="V7123"/>
    </row>
    <row r="7124" spans="22:22" ht="15" x14ac:dyDescent="0.25">
      <c r="V7124"/>
    </row>
    <row r="7125" spans="22:22" ht="15" x14ac:dyDescent="0.25">
      <c r="V7125"/>
    </row>
    <row r="7126" spans="22:22" ht="15" x14ac:dyDescent="0.25">
      <c r="V7126"/>
    </row>
    <row r="7127" spans="22:22" ht="15" x14ac:dyDescent="0.25">
      <c r="V7127"/>
    </row>
    <row r="7128" spans="22:22" ht="15" x14ac:dyDescent="0.25">
      <c r="V7128"/>
    </row>
    <row r="7129" spans="22:22" ht="15" x14ac:dyDescent="0.25">
      <c r="V7129"/>
    </row>
    <row r="7130" spans="22:22" ht="15" x14ac:dyDescent="0.25">
      <c r="V7130"/>
    </row>
    <row r="7131" spans="22:22" ht="15" x14ac:dyDescent="0.25">
      <c r="V7131"/>
    </row>
    <row r="7132" spans="22:22" ht="15" x14ac:dyDescent="0.25">
      <c r="V7132"/>
    </row>
    <row r="7133" spans="22:22" ht="15" x14ac:dyDescent="0.25">
      <c r="V7133"/>
    </row>
    <row r="7134" spans="22:22" ht="15" x14ac:dyDescent="0.25">
      <c r="V7134"/>
    </row>
    <row r="7135" spans="22:22" ht="15" x14ac:dyDescent="0.25">
      <c r="V7135"/>
    </row>
    <row r="7136" spans="22:22" ht="15" x14ac:dyDescent="0.25">
      <c r="V7136"/>
    </row>
    <row r="7137" spans="22:22" ht="15" x14ac:dyDescent="0.25">
      <c r="V7137"/>
    </row>
    <row r="7138" spans="22:22" ht="15" x14ac:dyDescent="0.25">
      <c r="V7138"/>
    </row>
    <row r="7139" spans="22:22" ht="15" x14ac:dyDescent="0.25">
      <c r="V7139"/>
    </row>
    <row r="7140" spans="22:22" ht="15" x14ac:dyDescent="0.25">
      <c r="V7140"/>
    </row>
    <row r="7141" spans="22:22" ht="15" x14ac:dyDescent="0.25">
      <c r="V7141"/>
    </row>
    <row r="7142" spans="22:22" ht="15" x14ac:dyDescent="0.25">
      <c r="V7142"/>
    </row>
    <row r="7143" spans="22:22" ht="15" x14ac:dyDescent="0.25">
      <c r="V7143"/>
    </row>
    <row r="7144" spans="22:22" ht="15" x14ac:dyDescent="0.25">
      <c r="V7144"/>
    </row>
    <row r="7145" spans="22:22" ht="15" x14ac:dyDescent="0.25">
      <c r="V7145"/>
    </row>
    <row r="7146" spans="22:22" ht="15" x14ac:dyDescent="0.25">
      <c r="V7146"/>
    </row>
    <row r="7147" spans="22:22" ht="15" x14ac:dyDescent="0.25">
      <c r="V7147"/>
    </row>
    <row r="7148" spans="22:22" ht="15" x14ac:dyDescent="0.25">
      <c r="V7148"/>
    </row>
    <row r="7149" spans="22:22" ht="15" x14ac:dyDescent="0.25">
      <c r="V7149"/>
    </row>
    <row r="7150" spans="22:22" ht="15" x14ac:dyDescent="0.25">
      <c r="V7150"/>
    </row>
    <row r="7151" spans="22:22" ht="15" x14ac:dyDescent="0.25">
      <c r="V7151"/>
    </row>
    <row r="7152" spans="22:22" ht="15" x14ac:dyDescent="0.25">
      <c r="V7152"/>
    </row>
    <row r="7153" spans="22:22" ht="15" x14ac:dyDescent="0.25">
      <c r="V7153"/>
    </row>
    <row r="7154" spans="22:22" ht="15" x14ac:dyDescent="0.25">
      <c r="V7154"/>
    </row>
    <row r="7155" spans="22:22" ht="15" x14ac:dyDescent="0.25">
      <c r="V7155"/>
    </row>
    <row r="7156" spans="22:22" ht="15" x14ac:dyDescent="0.25">
      <c r="V7156"/>
    </row>
    <row r="7157" spans="22:22" ht="15" x14ac:dyDescent="0.25">
      <c r="V7157"/>
    </row>
    <row r="7158" spans="22:22" ht="15" x14ac:dyDescent="0.25">
      <c r="V7158"/>
    </row>
    <row r="7159" spans="22:22" ht="15" x14ac:dyDescent="0.25">
      <c r="V7159"/>
    </row>
    <row r="7160" spans="22:22" ht="15" x14ac:dyDescent="0.25">
      <c r="V7160"/>
    </row>
    <row r="7161" spans="22:22" ht="15" x14ac:dyDescent="0.25">
      <c r="V7161"/>
    </row>
    <row r="7162" spans="22:22" ht="15" x14ac:dyDescent="0.25">
      <c r="V7162"/>
    </row>
    <row r="7163" spans="22:22" ht="15" x14ac:dyDescent="0.25">
      <c r="V7163"/>
    </row>
    <row r="7164" spans="22:22" ht="15" x14ac:dyDescent="0.25">
      <c r="V7164"/>
    </row>
    <row r="7165" spans="22:22" ht="15" x14ac:dyDescent="0.25">
      <c r="V7165"/>
    </row>
    <row r="7166" spans="22:22" ht="15" x14ac:dyDescent="0.25">
      <c r="V7166"/>
    </row>
    <row r="7167" spans="22:22" ht="15" x14ac:dyDescent="0.25">
      <c r="V7167"/>
    </row>
    <row r="7168" spans="22:22" ht="15" x14ac:dyDescent="0.25">
      <c r="V7168"/>
    </row>
    <row r="7169" spans="22:22" ht="15" x14ac:dyDescent="0.25">
      <c r="V7169"/>
    </row>
    <row r="7170" spans="22:22" ht="15" x14ac:dyDescent="0.25">
      <c r="V7170"/>
    </row>
    <row r="7171" spans="22:22" ht="15" x14ac:dyDescent="0.25">
      <c r="V7171"/>
    </row>
    <row r="7172" spans="22:22" ht="15" x14ac:dyDescent="0.25">
      <c r="V7172"/>
    </row>
    <row r="7173" spans="22:22" ht="15" x14ac:dyDescent="0.25">
      <c r="V7173"/>
    </row>
    <row r="7174" spans="22:22" ht="15" x14ac:dyDescent="0.25">
      <c r="V7174"/>
    </row>
    <row r="7175" spans="22:22" ht="15" x14ac:dyDescent="0.25">
      <c r="V7175"/>
    </row>
    <row r="7176" spans="22:22" ht="15" x14ac:dyDescent="0.25">
      <c r="V7176"/>
    </row>
    <row r="7177" spans="22:22" ht="15" x14ac:dyDescent="0.25">
      <c r="V7177"/>
    </row>
    <row r="7178" spans="22:22" ht="15" x14ac:dyDescent="0.25">
      <c r="V7178"/>
    </row>
    <row r="7179" spans="22:22" ht="15" x14ac:dyDescent="0.25">
      <c r="V7179"/>
    </row>
    <row r="7180" spans="22:22" ht="15" x14ac:dyDescent="0.25">
      <c r="V7180"/>
    </row>
    <row r="7181" spans="22:22" ht="15" x14ac:dyDescent="0.25">
      <c r="V7181"/>
    </row>
    <row r="7182" spans="22:22" ht="15" x14ac:dyDescent="0.25">
      <c r="V7182"/>
    </row>
    <row r="7183" spans="22:22" ht="15" x14ac:dyDescent="0.25">
      <c r="V7183"/>
    </row>
    <row r="7184" spans="22:22" ht="15" x14ac:dyDescent="0.25">
      <c r="V7184"/>
    </row>
    <row r="7185" spans="22:22" ht="15" x14ac:dyDescent="0.25">
      <c r="V7185"/>
    </row>
    <row r="7186" spans="22:22" ht="15" x14ac:dyDescent="0.25">
      <c r="V7186"/>
    </row>
    <row r="7187" spans="22:22" ht="15" x14ac:dyDescent="0.25">
      <c r="V7187"/>
    </row>
    <row r="7188" spans="22:22" ht="15" x14ac:dyDescent="0.25">
      <c r="V7188"/>
    </row>
    <row r="7189" spans="22:22" ht="15" x14ac:dyDescent="0.25">
      <c r="V7189"/>
    </row>
    <row r="7190" spans="22:22" ht="15" x14ac:dyDescent="0.25">
      <c r="V7190"/>
    </row>
    <row r="7191" spans="22:22" ht="15" x14ac:dyDescent="0.25">
      <c r="V7191"/>
    </row>
    <row r="7192" spans="22:22" ht="15" x14ac:dyDescent="0.25">
      <c r="V7192"/>
    </row>
    <row r="7193" spans="22:22" ht="15" x14ac:dyDescent="0.25">
      <c r="V7193"/>
    </row>
    <row r="7194" spans="22:22" ht="15" x14ac:dyDescent="0.25">
      <c r="V7194"/>
    </row>
    <row r="7195" spans="22:22" ht="15" x14ac:dyDescent="0.25">
      <c r="V7195"/>
    </row>
    <row r="7196" spans="22:22" ht="15" x14ac:dyDescent="0.25">
      <c r="V7196"/>
    </row>
    <row r="7197" spans="22:22" ht="15" x14ac:dyDescent="0.25">
      <c r="V7197"/>
    </row>
    <row r="7198" spans="22:22" ht="15" x14ac:dyDescent="0.25">
      <c r="V7198"/>
    </row>
    <row r="7199" spans="22:22" ht="15" x14ac:dyDescent="0.25">
      <c r="V7199"/>
    </row>
    <row r="7200" spans="22:22" ht="15" x14ac:dyDescent="0.25">
      <c r="V7200"/>
    </row>
    <row r="7201" spans="22:22" ht="15" x14ac:dyDescent="0.25">
      <c r="V7201"/>
    </row>
    <row r="7202" spans="22:22" ht="15" x14ac:dyDescent="0.25">
      <c r="V7202"/>
    </row>
    <row r="7203" spans="22:22" ht="15" x14ac:dyDescent="0.25">
      <c r="V7203"/>
    </row>
    <row r="7204" spans="22:22" ht="15" x14ac:dyDescent="0.25">
      <c r="V7204"/>
    </row>
    <row r="7205" spans="22:22" ht="15" x14ac:dyDescent="0.25">
      <c r="V7205"/>
    </row>
    <row r="7206" spans="22:22" ht="15" x14ac:dyDescent="0.25">
      <c r="V7206"/>
    </row>
    <row r="7207" spans="22:22" ht="15" x14ac:dyDescent="0.25">
      <c r="V7207"/>
    </row>
    <row r="7208" spans="22:22" ht="15" x14ac:dyDescent="0.25">
      <c r="V7208"/>
    </row>
    <row r="7209" spans="22:22" ht="15" x14ac:dyDescent="0.25">
      <c r="V7209"/>
    </row>
    <row r="7210" spans="22:22" ht="15" x14ac:dyDescent="0.25">
      <c r="V7210"/>
    </row>
    <row r="7211" spans="22:22" ht="15" x14ac:dyDescent="0.25">
      <c r="V7211"/>
    </row>
    <row r="7212" spans="22:22" ht="15" x14ac:dyDescent="0.25">
      <c r="V7212"/>
    </row>
    <row r="7213" spans="22:22" ht="15" x14ac:dyDescent="0.25">
      <c r="V7213"/>
    </row>
    <row r="7214" spans="22:22" ht="15" x14ac:dyDescent="0.25">
      <c r="V7214"/>
    </row>
    <row r="7215" spans="22:22" ht="15" x14ac:dyDescent="0.25">
      <c r="V7215"/>
    </row>
    <row r="7216" spans="22:22" ht="15" x14ac:dyDescent="0.25">
      <c r="V7216"/>
    </row>
    <row r="7217" spans="22:22" ht="15" x14ac:dyDescent="0.25">
      <c r="V7217"/>
    </row>
    <row r="7218" spans="22:22" ht="15" x14ac:dyDescent="0.25">
      <c r="V7218"/>
    </row>
    <row r="7219" spans="22:22" ht="15" x14ac:dyDescent="0.25">
      <c r="V7219"/>
    </row>
    <row r="7220" spans="22:22" ht="15" x14ac:dyDescent="0.25">
      <c r="V7220"/>
    </row>
    <row r="7221" spans="22:22" ht="15" x14ac:dyDescent="0.25">
      <c r="V7221"/>
    </row>
    <row r="7222" spans="22:22" ht="15" x14ac:dyDescent="0.25">
      <c r="V7222"/>
    </row>
    <row r="7223" spans="22:22" ht="15" x14ac:dyDescent="0.25">
      <c r="V7223"/>
    </row>
    <row r="7224" spans="22:22" ht="15" x14ac:dyDescent="0.25">
      <c r="V7224"/>
    </row>
    <row r="7225" spans="22:22" ht="15" x14ac:dyDescent="0.25">
      <c r="V7225"/>
    </row>
    <row r="7226" spans="22:22" ht="15" x14ac:dyDescent="0.25">
      <c r="V7226"/>
    </row>
    <row r="7227" spans="22:22" ht="15" x14ac:dyDescent="0.25">
      <c r="V7227"/>
    </row>
    <row r="7228" spans="22:22" ht="15" x14ac:dyDescent="0.25">
      <c r="V7228"/>
    </row>
    <row r="7229" spans="22:22" ht="15" x14ac:dyDescent="0.25">
      <c r="V7229"/>
    </row>
    <row r="7230" spans="22:22" ht="15" x14ac:dyDescent="0.25">
      <c r="V7230"/>
    </row>
    <row r="7231" spans="22:22" ht="15" x14ac:dyDescent="0.25">
      <c r="V7231"/>
    </row>
    <row r="7232" spans="22:22" ht="15" x14ac:dyDescent="0.25">
      <c r="V7232"/>
    </row>
    <row r="7233" spans="22:22" ht="15" x14ac:dyDescent="0.25">
      <c r="V7233"/>
    </row>
    <row r="7234" spans="22:22" ht="15" x14ac:dyDescent="0.25">
      <c r="V7234"/>
    </row>
    <row r="7235" spans="22:22" ht="15" x14ac:dyDescent="0.25">
      <c r="V7235"/>
    </row>
    <row r="7236" spans="22:22" ht="15" x14ac:dyDescent="0.25">
      <c r="V7236"/>
    </row>
    <row r="7237" spans="22:22" ht="15" x14ac:dyDescent="0.25">
      <c r="V7237"/>
    </row>
    <row r="7238" spans="22:22" ht="15" x14ac:dyDescent="0.25">
      <c r="V7238"/>
    </row>
    <row r="7239" spans="22:22" ht="15" x14ac:dyDescent="0.25">
      <c r="V7239"/>
    </row>
    <row r="7240" spans="22:22" ht="15" x14ac:dyDescent="0.25">
      <c r="V7240"/>
    </row>
    <row r="7241" spans="22:22" ht="15" x14ac:dyDescent="0.25">
      <c r="V7241"/>
    </row>
    <row r="7242" spans="22:22" ht="15" x14ac:dyDescent="0.25">
      <c r="V7242"/>
    </row>
    <row r="7243" spans="22:22" ht="15" x14ac:dyDescent="0.25">
      <c r="V7243"/>
    </row>
    <row r="7244" spans="22:22" ht="15" x14ac:dyDescent="0.25">
      <c r="V7244"/>
    </row>
    <row r="7245" spans="22:22" ht="15" x14ac:dyDescent="0.25">
      <c r="V7245"/>
    </row>
    <row r="7246" spans="22:22" ht="15" x14ac:dyDescent="0.25">
      <c r="V7246"/>
    </row>
    <row r="7247" spans="22:22" ht="15" x14ac:dyDescent="0.25">
      <c r="V7247"/>
    </row>
    <row r="7248" spans="22:22" ht="15" x14ac:dyDescent="0.25">
      <c r="V7248"/>
    </row>
    <row r="7249" spans="22:22" ht="15" x14ac:dyDescent="0.25">
      <c r="V7249"/>
    </row>
    <row r="7250" spans="22:22" ht="15" x14ac:dyDescent="0.25">
      <c r="V7250"/>
    </row>
    <row r="7251" spans="22:22" ht="15" x14ac:dyDescent="0.25">
      <c r="V7251"/>
    </row>
    <row r="7252" spans="22:22" ht="15" x14ac:dyDescent="0.25">
      <c r="V7252"/>
    </row>
    <row r="7253" spans="22:22" ht="15" x14ac:dyDescent="0.25">
      <c r="V7253"/>
    </row>
    <row r="7254" spans="22:22" ht="15" x14ac:dyDescent="0.25">
      <c r="V7254"/>
    </row>
    <row r="7255" spans="22:22" ht="15" x14ac:dyDescent="0.25">
      <c r="V7255"/>
    </row>
    <row r="7256" spans="22:22" ht="15" x14ac:dyDescent="0.25">
      <c r="V7256"/>
    </row>
    <row r="7257" spans="22:22" ht="15" x14ac:dyDescent="0.25">
      <c r="V7257"/>
    </row>
    <row r="7258" spans="22:22" ht="15" x14ac:dyDescent="0.25">
      <c r="V7258"/>
    </row>
    <row r="7259" spans="22:22" ht="15" x14ac:dyDescent="0.25">
      <c r="V7259"/>
    </row>
    <row r="7260" spans="22:22" ht="15" x14ac:dyDescent="0.25">
      <c r="V7260"/>
    </row>
    <row r="7261" spans="22:22" ht="15" x14ac:dyDescent="0.25">
      <c r="V7261"/>
    </row>
    <row r="7262" spans="22:22" ht="15" x14ac:dyDescent="0.25">
      <c r="V7262"/>
    </row>
    <row r="7263" spans="22:22" ht="15" x14ac:dyDescent="0.25">
      <c r="V7263"/>
    </row>
    <row r="7264" spans="22:22" ht="15" x14ac:dyDescent="0.25">
      <c r="V7264"/>
    </row>
    <row r="7265" spans="22:22" ht="15" x14ac:dyDescent="0.25">
      <c r="V7265"/>
    </row>
    <row r="7266" spans="22:22" ht="15" x14ac:dyDescent="0.25">
      <c r="V7266"/>
    </row>
    <row r="7267" spans="22:22" ht="15" x14ac:dyDescent="0.25">
      <c r="V7267"/>
    </row>
    <row r="7268" spans="22:22" ht="15" x14ac:dyDescent="0.25">
      <c r="V7268"/>
    </row>
    <row r="7269" spans="22:22" ht="15" x14ac:dyDescent="0.25">
      <c r="V7269"/>
    </row>
    <row r="7270" spans="22:22" ht="15" x14ac:dyDescent="0.25">
      <c r="V7270"/>
    </row>
    <row r="7271" spans="22:22" ht="15" x14ac:dyDescent="0.25">
      <c r="V7271"/>
    </row>
    <row r="7272" spans="22:22" ht="15" x14ac:dyDescent="0.25">
      <c r="V7272"/>
    </row>
    <row r="7273" spans="22:22" ht="15" x14ac:dyDescent="0.25">
      <c r="V7273"/>
    </row>
    <row r="7274" spans="22:22" ht="15" x14ac:dyDescent="0.25">
      <c r="V7274"/>
    </row>
    <row r="7275" spans="22:22" ht="15" x14ac:dyDescent="0.25">
      <c r="V7275"/>
    </row>
    <row r="7276" spans="22:22" ht="15" x14ac:dyDescent="0.25">
      <c r="V7276"/>
    </row>
    <row r="7277" spans="22:22" ht="15" x14ac:dyDescent="0.25">
      <c r="V7277"/>
    </row>
    <row r="7278" spans="22:22" ht="15" x14ac:dyDescent="0.25">
      <c r="V7278"/>
    </row>
    <row r="7279" spans="22:22" ht="15" x14ac:dyDescent="0.25">
      <c r="V7279"/>
    </row>
    <row r="7280" spans="22:22" ht="15" x14ac:dyDescent="0.25">
      <c r="V7280"/>
    </row>
    <row r="7281" spans="22:22" ht="15" x14ac:dyDescent="0.25">
      <c r="V7281"/>
    </row>
    <row r="7282" spans="22:22" ht="15" x14ac:dyDescent="0.25">
      <c r="V7282"/>
    </row>
    <row r="7283" spans="22:22" ht="15" x14ac:dyDescent="0.25">
      <c r="V7283"/>
    </row>
    <row r="7284" spans="22:22" ht="15" x14ac:dyDescent="0.25">
      <c r="V7284"/>
    </row>
    <row r="7285" spans="22:22" ht="15" x14ac:dyDescent="0.25">
      <c r="V7285"/>
    </row>
    <row r="7286" spans="22:22" ht="15" x14ac:dyDescent="0.25">
      <c r="V7286"/>
    </row>
    <row r="7287" spans="22:22" ht="15" x14ac:dyDescent="0.25">
      <c r="V7287"/>
    </row>
    <row r="7288" spans="22:22" ht="15" x14ac:dyDescent="0.25">
      <c r="V7288"/>
    </row>
    <row r="7289" spans="22:22" ht="15" x14ac:dyDescent="0.25">
      <c r="V7289"/>
    </row>
    <row r="7290" spans="22:22" ht="15" x14ac:dyDescent="0.25">
      <c r="V7290"/>
    </row>
    <row r="7291" spans="22:22" ht="15" x14ac:dyDescent="0.25">
      <c r="V7291"/>
    </row>
    <row r="7292" spans="22:22" ht="15" x14ac:dyDescent="0.25">
      <c r="V7292"/>
    </row>
    <row r="7293" spans="22:22" ht="15" x14ac:dyDescent="0.25">
      <c r="V7293"/>
    </row>
    <row r="7294" spans="22:22" ht="15" x14ac:dyDescent="0.25">
      <c r="V7294"/>
    </row>
    <row r="7295" spans="22:22" ht="15" x14ac:dyDescent="0.25">
      <c r="V7295"/>
    </row>
    <row r="7296" spans="22:22" ht="15" x14ac:dyDescent="0.25">
      <c r="V7296"/>
    </row>
    <row r="7297" spans="22:22" ht="15" x14ac:dyDescent="0.25">
      <c r="V7297"/>
    </row>
    <row r="7298" spans="22:22" ht="15" x14ac:dyDescent="0.25">
      <c r="V7298"/>
    </row>
    <row r="7299" spans="22:22" ht="15" x14ac:dyDescent="0.25">
      <c r="V7299"/>
    </row>
    <row r="7300" spans="22:22" ht="15" x14ac:dyDescent="0.25">
      <c r="V7300"/>
    </row>
    <row r="7301" spans="22:22" ht="15" x14ac:dyDescent="0.25">
      <c r="V7301"/>
    </row>
    <row r="7302" spans="22:22" ht="15" x14ac:dyDescent="0.25">
      <c r="V7302"/>
    </row>
    <row r="7303" spans="22:22" ht="15" x14ac:dyDescent="0.25">
      <c r="V7303"/>
    </row>
    <row r="7304" spans="22:22" ht="15" x14ac:dyDescent="0.25">
      <c r="V7304"/>
    </row>
    <row r="7305" spans="22:22" ht="15" x14ac:dyDescent="0.25">
      <c r="V7305"/>
    </row>
    <row r="7306" spans="22:22" ht="15" x14ac:dyDescent="0.25">
      <c r="V7306"/>
    </row>
    <row r="7307" spans="22:22" ht="15" x14ac:dyDescent="0.25">
      <c r="V7307"/>
    </row>
    <row r="7308" spans="22:22" ht="15" x14ac:dyDescent="0.25">
      <c r="V7308"/>
    </row>
    <row r="7309" spans="22:22" ht="15" x14ac:dyDescent="0.25">
      <c r="V7309"/>
    </row>
    <row r="7310" spans="22:22" ht="15" x14ac:dyDescent="0.25">
      <c r="V7310"/>
    </row>
    <row r="7311" spans="22:22" ht="15" x14ac:dyDescent="0.25">
      <c r="V7311"/>
    </row>
    <row r="7312" spans="22:22" ht="15" x14ac:dyDescent="0.25">
      <c r="V7312"/>
    </row>
    <row r="7313" spans="22:22" ht="15" x14ac:dyDescent="0.25">
      <c r="V7313"/>
    </row>
    <row r="7314" spans="22:22" ht="15" x14ac:dyDescent="0.25">
      <c r="V7314"/>
    </row>
    <row r="7315" spans="22:22" ht="15" x14ac:dyDescent="0.25">
      <c r="V7315"/>
    </row>
    <row r="7316" spans="22:22" ht="15" x14ac:dyDescent="0.25">
      <c r="V7316"/>
    </row>
    <row r="7317" spans="22:22" ht="15" x14ac:dyDescent="0.25">
      <c r="V7317"/>
    </row>
    <row r="7318" spans="22:22" ht="15" x14ac:dyDescent="0.25">
      <c r="V7318"/>
    </row>
    <row r="7319" spans="22:22" ht="15" x14ac:dyDescent="0.25">
      <c r="V7319"/>
    </row>
    <row r="7320" spans="22:22" ht="15" x14ac:dyDescent="0.25">
      <c r="V7320"/>
    </row>
    <row r="7321" spans="22:22" ht="15" x14ac:dyDescent="0.25">
      <c r="V7321"/>
    </row>
    <row r="7322" spans="22:22" ht="15" x14ac:dyDescent="0.25">
      <c r="V7322"/>
    </row>
    <row r="7323" spans="22:22" ht="15" x14ac:dyDescent="0.25">
      <c r="V7323"/>
    </row>
    <row r="7324" spans="22:22" ht="15" x14ac:dyDescent="0.25">
      <c r="V7324"/>
    </row>
    <row r="7325" spans="22:22" ht="15" x14ac:dyDescent="0.25">
      <c r="V7325"/>
    </row>
    <row r="7326" spans="22:22" ht="15" x14ac:dyDescent="0.25">
      <c r="V7326"/>
    </row>
    <row r="7327" spans="22:22" ht="15" x14ac:dyDescent="0.25">
      <c r="V7327"/>
    </row>
    <row r="7328" spans="22:22" ht="15" x14ac:dyDescent="0.25">
      <c r="V7328"/>
    </row>
    <row r="7329" spans="22:22" ht="15" x14ac:dyDescent="0.25">
      <c r="V7329"/>
    </row>
    <row r="7330" spans="22:22" ht="15" x14ac:dyDescent="0.25">
      <c r="V7330"/>
    </row>
    <row r="7331" spans="22:22" ht="15" x14ac:dyDescent="0.25">
      <c r="V7331"/>
    </row>
    <row r="7332" spans="22:22" ht="15" x14ac:dyDescent="0.25">
      <c r="V7332"/>
    </row>
    <row r="7333" spans="22:22" ht="15" x14ac:dyDescent="0.25">
      <c r="V7333"/>
    </row>
    <row r="7334" spans="22:22" ht="15" x14ac:dyDescent="0.25">
      <c r="V7334"/>
    </row>
    <row r="7335" spans="22:22" ht="15" x14ac:dyDescent="0.25">
      <c r="V7335"/>
    </row>
    <row r="7336" spans="22:22" ht="15" x14ac:dyDescent="0.25">
      <c r="V7336"/>
    </row>
    <row r="7337" spans="22:22" ht="15" x14ac:dyDescent="0.25">
      <c r="V7337"/>
    </row>
    <row r="7338" spans="22:22" ht="15" x14ac:dyDescent="0.25">
      <c r="V7338"/>
    </row>
    <row r="7339" spans="22:22" ht="15" x14ac:dyDescent="0.25">
      <c r="V7339"/>
    </row>
    <row r="7340" spans="22:22" ht="15" x14ac:dyDescent="0.25">
      <c r="V7340"/>
    </row>
    <row r="7341" spans="22:22" ht="15" x14ac:dyDescent="0.25">
      <c r="V7341"/>
    </row>
    <row r="7342" spans="22:22" ht="15" x14ac:dyDescent="0.25">
      <c r="V7342"/>
    </row>
    <row r="7343" spans="22:22" ht="15" x14ac:dyDescent="0.25">
      <c r="V7343"/>
    </row>
    <row r="7344" spans="22:22" ht="15" x14ac:dyDescent="0.25">
      <c r="V7344"/>
    </row>
    <row r="7345" spans="22:22" ht="15" x14ac:dyDescent="0.25">
      <c r="V7345"/>
    </row>
    <row r="7346" spans="22:22" ht="15" x14ac:dyDescent="0.25">
      <c r="V7346"/>
    </row>
    <row r="7347" spans="22:22" ht="15" x14ac:dyDescent="0.25">
      <c r="V7347"/>
    </row>
    <row r="7348" spans="22:22" ht="15" x14ac:dyDescent="0.25">
      <c r="V7348"/>
    </row>
    <row r="7349" spans="22:22" ht="15" x14ac:dyDescent="0.25">
      <c r="V7349"/>
    </row>
    <row r="7350" spans="22:22" ht="15" x14ac:dyDescent="0.25">
      <c r="V7350"/>
    </row>
    <row r="7351" spans="22:22" ht="15" x14ac:dyDescent="0.25">
      <c r="V7351"/>
    </row>
    <row r="7352" spans="22:22" ht="15" x14ac:dyDescent="0.25">
      <c r="V7352"/>
    </row>
    <row r="7353" spans="22:22" ht="15" x14ac:dyDescent="0.25">
      <c r="V7353"/>
    </row>
    <row r="7354" spans="22:22" ht="15" x14ac:dyDescent="0.25">
      <c r="V7354"/>
    </row>
    <row r="7355" spans="22:22" ht="15" x14ac:dyDescent="0.25">
      <c r="V7355"/>
    </row>
    <row r="7356" spans="22:22" ht="15" x14ac:dyDescent="0.25">
      <c r="V7356"/>
    </row>
    <row r="7357" spans="22:22" ht="15" x14ac:dyDescent="0.25">
      <c r="V7357"/>
    </row>
    <row r="7358" spans="22:22" ht="15" x14ac:dyDescent="0.25">
      <c r="V7358"/>
    </row>
    <row r="7359" spans="22:22" ht="15" x14ac:dyDescent="0.25">
      <c r="V7359"/>
    </row>
    <row r="7360" spans="22:22" ht="15" x14ac:dyDescent="0.25">
      <c r="V7360"/>
    </row>
    <row r="7361" spans="22:22" ht="15" x14ac:dyDescent="0.25">
      <c r="V7361"/>
    </row>
    <row r="7362" spans="22:22" ht="15" x14ac:dyDescent="0.25">
      <c r="V7362"/>
    </row>
    <row r="7363" spans="22:22" ht="15" x14ac:dyDescent="0.25">
      <c r="V7363"/>
    </row>
    <row r="7364" spans="22:22" ht="15" x14ac:dyDescent="0.25">
      <c r="V7364"/>
    </row>
    <row r="7365" spans="22:22" ht="15" x14ac:dyDescent="0.25">
      <c r="V7365"/>
    </row>
    <row r="7366" spans="22:22" ht="15" x14ac:dyDescent="0.25">
      <c r="V7366"/>
    </row>
    <row r="7367" spans="22:22" ht="15" x14ac:dyDescent="0.25">
      <c r="V7367"/>
    </row>
    <row r="7368" spans="22:22" ht="15" x14ac:dyDescent="0.25">
      <c r="V7368"/>
    </row>
    <row r="7369" spans="22:22" ht="15" x14ac:dyDescent="0.25">
      <c r="V7369"/>
    </row>
    <row r="7370" spans="22:22" ht="15" x14ac:dyDescent="0.25">
      <c r="V7370"/>
    </row>
    <row r="7371" spans="22:22" ht="15" x14ac:dyDescent="0.25">
      <c r="V7371"/>
    </row>
    <row r="7372" spans="22:22" ht="15" x14ac:dyDescent="0.25">
      <c r="V7372"/>
    </row>
    <row r="7373" spans="22:22" ht="15" x14ac:dyDescent="0.25">
      <c r="V7373"/>
    </row>
    <row r="7374" spans="22:22" ht="15" x14ac:dyDescent="0.25">
      <c r="V7374"/>
    </row>
    <row r="7375" spans="22:22" ht="15" x14ac:dyDescent="0.25">
      <c r="V7375"/>
    </row>
    <row r="7376" spans="22:22" ht="15" x14ac:dyDescent="0.25">
      <c r="V7376"/>
    </row>
    <row r="7377" spans="22:22" ht="15" x14ac:dyDescent="0.25">
      <c r="V7377"/>
    </row>
    <row r="7378" spans="22:22" ht="15" x14ac:dyDescent="0.25">
      <c r="V7378"/>
    </row>
    <row r="7379" spans="22:22" ht="15" x14ac:dyDescent="0.25">
      <c r="V7379"/>
    </row>
    <row r="7380" spans="22:22" ht="15" x14ac:dyDescent="0.25">
      <c r="V7380"/>
    </row>
    <row r="7381" spans="22:22" ht="15" x14ac:dyDescent="0.25">
      <c r="V7381"/>
    </row>
    <row r="7382" spans="22:22" ht="15" x14ac:dyDescent="0.25">
      <c r="V7382"/>
    </row>
    <row r="7383" spans="22:22" ht="15" x14ac:dyDescent="0.25">
      <c r="V7383"/>
    </row>
    <row r="7384" spans="22:22" ht="15" x14ac:dyDescent="0.25">
      <c r="V7384"/>
    </row>
    <row r="7385" spans="22:22" ht="15" x14ac:dyDescent="0.25">
      <c r="V7385"/>
    </row>
    <row r="7386" spans="22:22" ht="15" x14ac:dyDescent="0.25">
      <c r="V7386"/>
    </row>
    <row r="7387" spans="22:22" ht="15" x14ac:dyDescent="0.25">
      <c r="V7387"/>
    </row>
    <row r="7388" spans="22:22" ht="15" x14ac:dyDescent="0.25">
      <c r="V7388"/>
    </row>
    <row r="7389" spans="22:22" ht="15" x14ac:dyDescent="0.25">
      <c r="V7389"/>
    </row>
    <row r="7390" spans="22:22" ht="15" x14ac:dyDescent="0.25">
      <c r="V7390"/>
    </row>
    <row r="7391" spans="22:22" ht="15" x14ac:dyDescent="0.25">
      <c r="V7391"/>
    </row>
    <row r="7392" spans="22:22" ht="15" x14ac:dyDescent="0.25">
      <c r="V7392"/>
    </row>
    <row r="7393" spans="22:22" ht="15" x14ac:dyDescent="0.25">
      <c r="V7393"/>
    </row>
    <row r="7394" spans="22:22" ht="15" x14ac:dyDescent="0.25">
      <c r="V7394"/>
    </row>
    <row r="7395" spans="22:22" ht="15" x14ac:dyDescent="0.25">
      <c r="V7395"/>
    </row>
    <row r="7396" spans="22:22" ht="15" x14ac:dyDescent="0.25">
      <c r="V7396"/>
    </row>
    <row r="7397" spans="22:22" ht="15" x14ac:dyDescent="0.25">
      <c r="V7397"/>
    </row>
    <row r="7398" spans="22:22" ht="15" x14ac:dyDescent="0.25">
      <c r="V7398"/>
    </row>
    <row r="7399" spans="22:22" ht="15" x14ac:dyDescent="0.25">
      <c r="V7399"/>
    </row>
    <row r="7400" spans="22:22" ht="15" x14ac:dyDescent="0.25">
      <c r="V7400"/>
    </row>
    <row r="7401" spans="22:22" ht="15" x14ac:dyDescent="0.25">
      <c r="V7401"/>
    </row>
    <row r="7402" spans="22:22" ht="15" x14ac:dyDescent="0.25">
      <c r="V7402"/>
    </row>
    <row r="7403" spans="22:22" ht="15" x14ac:dyDescent="0.25">
      <c r="V7403"/>
    </row>
    <row r="7404" spans="22:22" ht="15" x14ac:dyDescent="0.25">
      <c r="V7404"/>
    </row>
    <row r="7405" spans="22:22" ht="15" x14ac:dyDescent="0.25">
      <c r="V7405"/>
    </row>
    <row r="7406" spans="22:22" ht="15" x14ac:dyDescent="0.25">
      <c r="V7406"/>
    </row>
    <row r="7407" spans="22:22" ht="15" x14ac:dyDescent="0.25">
      <c r="V7407"/>
    </row>
    <row r="7408" spans="22:22" ht="15" x14ac:dyDescent="0.25">
      <c r="V7408"/>
    </row>
    <row r="7409" spans="22:22" ht="15" x14ac:dyDescent="0.25">
      <c r="V7409"/>
    </row>
    <row r="7410" spans="22:22" ht="15" x14ac:dyDescent="0.25">
      <c r="V7410"/>
    </row>
    <row r="7411" spans="22:22" ht="15" x14ac:dyDescent="0.25">
      <c r="V7411"/>
    </row>
    <row r="7412" spans="22:22" ht="15" x14ac:dyDescent="0.25">
      <c r="V7412"/>
    </row>
    <row r="7413" spans="22:22" ht="15" x14ac:dyDescent="0.25">
      <c r="V7413"/>
    </row>
    <row r="7414" spans="22:22" ht="15" x14ac:dyDescent="0.25">
      <c r="V7414"/>
    </row>
    <row r="7415" spans="22:22" ht="15" x14ac:dyDescent="0.25">
      <c r="V7415"/>
    </row>
    <row r="7416" spans="22:22" ht="15" x14ac:dyDescent="0.25">
      <c r="V7416"/>
    </row>
    <row r="7417" spans="22:22" ht="15" x14ac:dyDescent="0.25">
      <c r="V7417"/>
    </row>
    <row r="7418" spans="22:22" ht="15" x14ac:dyDescent="0.25">
      <c r="V7418"/>
    </row>
    <row r="7419" spans="22:22" ht="15" x14ac:dyDescent="0.25">
      <c r="V7419"/>
    </row>
    <row r="7420" spans="22:22" ht="15" x14ac:dyDescent="0.25">
      <c r="V7420"/>
    </row>
    <row r="7421" spans="22:22" ht="15" x14ac:dyDescent="0.25">
      <c r="V7421"/>
    </row>
    <row r="7422" spans="22:22" ht="15" x14ac:dyDescent="0.25">
      <c r="V7422"/>
    </row>
    <row r="7423" spans="22:22" ht="15" x14ac:dyDescent="0.25">
      <c r="V7423"/>
    </row>
    <row r="7424" spans="22:22" ht="15" x14ac:dyDescent="0.25">
      <c r="V7424"/>
    </row>
    <row r="7425" spans="22:22" ht="15" x14ac:dyDescent="0.25">
      <c r="V7425"/>
    </row>
    <row r="7426" spans="22:22" ht="15" x14ac:dyDescent="0.25">
      <c r="V7426"/>
    </row>
    <row r="7427" spans="22:22" ht="15" x14ac:dyDescent="0.25">
      <c r="V7427"/>
    </row>
    <row r="7428" spans="22:22" ht="15" x14ac:dyDescent="0.25">
      <c r="V7428"/>
    </row>
    <row r="7429" spans="22:22" ht="15" x14ac:dyDescent="0.25">
      <c r="V7429"/>
    </row>
    <row r="7430" spans="22:22" ht="15" x14ac:dyDescent="0.25">
      <c r="V7430"/>
    </row>
    <row r="7431" spans="22:22" ht="15" x14ac:dyDescent="0.25">
      <c r="V7431"/>
    </row>
    <row r="7432" spans="22:22" ht="15" x14ac:dyDescent="0.25">
      <c r="V7432"/>
    </row>
    <row r="7433" spans="22:22" ht="15" x14ac:dyDescent="0.25">
      <c r="V7433"/>
    </row>
    <row r="7434" spans="22:22" ht="15" x14ac:dyDescent="0.25">
      <c r="V7434"/>
    </row>
    <row r="7435" spans="22:22" ht="15" x14ac:dyDescent="0.25">
      <c r="V7435"/>
    </row>
    <row r="7436" spans="22:22" ht="15" x14ac:dyDescent="0.25">
      <c r="V7436"/>
    </row>
    <row r="7437" spans="22:22" ht="15" x14ac:dyDescent="0.25">
      <c r="V7437"/>
    </row>
    <row r="7438" spans="22:22" ht="15" x14ac:dyDescent="0.25">
      <c r="V7438"/>
    </row>
    <row r="7439" spans="22:22" ht="15" x14ac:dyDescent="0.25">
      <c r="V7439"/>
    </row>
    <row r="7440" spans="22:22" ht="15" x14ac:dyDescent="0.25">
      <c r="V7440"/>
    </row>
    <row r="7441" spans="22:22" ht="15" x14ac:dyDescent="0.25">
      <c r="V7441"/>
    </row>
    <row r="7442" spans="22:22" ht="15" x14ac:dyDescent="0.25">
      <c r="V7442"/>
    </row>
    <row r="7443" spans="22:22" ht="15" x14ac:dyDescent="0.25">
      <c r="V7443"/>
    </row>
    <row r="7444" spans="22:22" ht="15" x14ac:dyDescent="0.25">
      <c r="V7444"/>
    </row>
    <row r="7445" spans="22:22" ht="15" x14ac:dyDescent="0.25">
      <c r="V7445"/>
    </row>
    <row r="7446" spans="22:22" ht="15" x14ac:dyDescent="0.25">
      <c r="V7446"/>
    </row>
    <row r="7447" spans="22:22" ht="15" x14ac:dyDescent="0.25">
      <c r="V7447"/>
    </row>
    <row r="7448" spans="22:22" ht="15" x14ac:dyDescent="0.25">
      <c r="V7448"/>
    </row>
    <row r="7449" spans="22:22" ht="15" x14ac:dyDescent="0.25">
      <c r="V7449"/>
    </row>
    <row r="7450" spans="22:22" ht="15" x14ac:dyDescent="0.25">
      <c r="V7450"/>
    </row>
    <row r="7451" spans="22:22" ht="15" x14ac:dyDescent="0.25">
      <c r="V7451"/>
    </row>
    <row r="7452" spans="22:22" ht="15" x14ac:dyDescent="0.25">
      <c r="V7452"/>
    </row>
    <row r="7453" spans="22:22" ht="15" x14ac:dyDescent="0.25">
      <c r="V7453"/>
    </row>
    <row r="7454" spans="22:22" ht="15" x14ac:dyDescent="0.25">
      <c r="V7454"/>
    </row>
    <row r="7455" spans="22:22" ht="15" x14ac:dyDescent="0.25">
      <c r="V7455"/>
    </row>
    <row r="7456" spans="22:22" ht="15" x14ac:dyDescent="0.25">
      <c r="V7456"/>
    </row>
    <row r="7457" spans="22:22" ht="15" x14ac:dyDescent="0.25">
      <c r="V7457"/>
    </row>
    <row r="7458" spans="22:22" ht="15" x14ac:dyDescent="0.25">
      <c r="V7458"/>
    </row>
    <row r="7459" spans="22:22" ht="15" x14ac:dyDescent="0.25">
      <c r="V7459"/>
    </row>
    <row r="7460" spans="22:22" ht="15" x14ac:dyDescent="0.25">
      <c r="V7460"/>
    </row>
    <row r="7461" spans="22:22" ht="15" x14ac:dyDescent="0.25">
      <c r="V7461"/>
    </row>
    <row r="7462" spans="22:22" ht="15" x14ac:dyDescent="0.25">
      <c r="V7462"/>
    </row>
    <row r="7463" spans="22:22" ht="15" x14ac:dyDescent="0.25">
      <c r="V7463"/>
    </row>
    <row r="7464" spans="22:22" ht="15" x14ac:dyDescent="0.25">
      <c r="V7464"/>
    </row>
    <row r="7465" spans="22:22" ht="15" x14ac:dyDescent="0.25">
      <c r="V7465"/>
    </row>
    <row r="7466" spans="22:22" ht="15" x14ac:dyDescent="0.25">
      <c r="V7466"/>
    </row>
    <row r="7467" spans="22:22" ht="15" x14ac:dyDescent="0.25">
      <c r="V7467"/>
    </row>
    <row r="7468" spans="22:22" ht="15" x14ac:dyDescent="0.25">
      <c r="V7468"/>
    </row>
    <row r="7469" spans="22:22" ht="15" x14ac:dyDescent="0.25">
      <c r="V7469"/>
    </row>
    <row r="7470" spans="22:22" ht="15" x14ac:dyDescent="0.25">
      <c r="V7470"/>
    </row>
    <row r="7471" spans="22:22" ht="15" x14ac:dyDescent="0.25">
      <c r="V7471"/>
    </row>
    <row r="7472" spans="22:22" ht="15" x14ac:dyDescent="0.25">
      <c r="V7472"/>
    </row>
    <row r="7473" spans="22:22" ht="15" x14ac:dyDescent="0.25">
      <c r="V7473"/>
    </row>
    <row r="7474" spans="22:22" ht="15" x14ac:dyDescent="0.25">
      <c r="V7474"/>
    </row>
    <row r="7475" spans="22:22" ht="15" x14ac:dyDescent="0.25">
      <c r="V7475"/>
    </row>
    <row r="7476" spans="22:22" ht="15" x14ac:dyDescent="0.25">
      <c r="V7476"/>
    </row>
    <row r="7477" spans="22:22" ht="15" x14ac:dyDescent="0.25">
      <c r="V7477"/>
    </row>
    <row r="7478" spans="22:22" ht="15" x14ac:dyDescent="0.25">
      <c r="V7478"/>
    </row>
    <row r="7479" spans="22:22" ht="15" x14ac:dyDescent="0.25">
      <c r="V7479"/>
    </row>
    <row r="7480" spans="22:22" ht="15" x14ac:dyDescent="0.25">
      <c r="V7480"/>
    </row>
    <row r="7481" spans="22:22" ht="15" x14ac:dyDescent="0.25">
      <c r="V7481"/>
    </row>
    <row r="7482" spans="22:22" ht="15" x14ac:dyDescent="0.25">
      <c r="V7482"/>
    </row>
    <row r="7483" spans="22:22" ht="15" x14ac:dyDescent="0.25">
      <c r="V7483"/>
    </row>
    <row r="7484" spans="22:22" ht="15" x14ac:dyDescent="0.25">
      <c r="V7484"/>
    </row>
    <row r="7485" spans="22:22" ht="15" x14ac:dyDescent="0.25">
      <c r="V7485"/>
    </row>
    <row r="7486" spans="22:22" ht="15" x14ac:dyDescent="0.25">
      <c r="V7486"/>
    </row>
    <row r="7487" spans="22:22" ht="15" x14ac:dyDescent="0.25">
      <c r="V7487"/>
    </row>
    <row r="7488" spans="22:22" ht="15" x14ac:dyDescent="0.25">
      <c r="V7488"/>
    </row>
    <row r="7489" spans="22:22" ht="15" x14ac:dyDescent="0.25">
      <c r="V7489"/>
    </row>
    <row r="7490" spans="22:22" ht="15" x14ac:dyDescent="0.25">
      <c r="V7490"/>
    </row>
    <row r="7491" spans="22:22" ht="15" x14ac:dyDescent="0.25">
      <c r="V7491"/>
    </row>
    <row r="7492" spans="22:22" ht="15" x14ac:dyDescent="0.25">
      <c r="V7492"/>
    </row>
    <row r="7493" spans="22:22" ht="15" x14ac:dyDescent="0.25">
      <c r="V7493"/>
    </row>
    <row r="7494" spans="22:22" ht="15" x14ac:dyDescent="0.25">
      <c r="V7494"/>
    </row>
    <row r="7495" spans="22:22" ht="15" x14ac:dyDescent="0.25">
      <c r="V7495"/>
    </row>
    <row r="7496" spans="22:22" ht="15" x14ac:dyDescent="0.25">
      <c r="V7496"/>
    </row>
    <row r="7497" spans="22:22" ht="15" x14ac:dyDescent="0.25">
      <c r="V7497"/>
    </row>
    <row r="7498" spans="22:22" ht="15" x14ac:dyDescent="0.25">
      <c r="V7498"/>
    </row>
    <row r="7499" spans="22:22" ht="15" x14ac:dyDescent="0.25">
      <c r="V7499"/>
    </row>
    <row r="7500" spans="22:22" ht="15" x14ac:dyDescent="0.25">
      <c r="V7500"/>
    </row>
    <row r="7501" spans="22:22" ht="15" x14ac:dyDescent="0.25">
      <c r="V7501"/>
    </row>
    <row r="7502" spans="22:22" ht="15" x14ac:dyDescent="0.25">
      <c r="V7502"/>
    </row>
    <row r="7503" spans="22:22" ht="15" x14ac:dyDescent="0.25">
      <c r="V7503"/>
    </row>
    <row r="7504" spans="22:22" ht="15" x14ac:dyDescent="0.25">
      <c r="V7504"/>
    </row>
    <row r="7505" spans="22:22" ht="15" x14ac:dyDescent="0.25">
      <c r="V7505"/>
    </row>
    <row r="7506" spans="22:22" ht="15" x14ac:dyDescent="0.25">
      <c r="V7506"/>
    </row>
    <row r="7507" spans="22:22" ht="15" x14ac:dyDescent="0.25">
      <c r="V7507"/>
    </row>
    <row r="7508" spans="22:22" ht="15" x14ac:dyDescent="0.25">
      <c r="V7508"/>
    </row>
    <row r="7509" spans="22:22" ht="15" x14ac:dyDescent="0.25">
      <c r="V7509"/>
    </row>
    <row r="7510" spans="22:22" ht="15" x14ac:dyDescent="0.25">
      <c r="V7510"/>
    </row>
    <row r="7511" spans="22:22" ht="15" x14ac:dyDescent="0.25">
      <c r="V7511"/>
    </row>
    <row r="7512" spans="22:22" ht="15" x14ac:dyDescent="0.25">
      <c r="V7512"/>
    </row>
    <row r="7513" spans="22:22" ht="15" x14ac:dyDescent="0.25">
      <c r="V7513"/>
    </row>
    <row r="7514" spans="22:22" ht="15" x14ac:dyDescent="0.25">
      <c r="V7514"/>
    </row>
    <row r="7515" spans="22:22" ht="15" x14ac:dyDescent="0.25">
      <c r="V7515"/>
    </row>
    <row r="7516" spans="22:22" ht="15" x14ac:dyDescent="0.25">
      <c r="V7516"/>
    </row>
    <row r="7517" spans="22:22" ht="15" x14ac:dyDescent="0.25">
      <c r="V7517"/>
    </row>
    <row r="7518" spans="22:22" ht="15" x14ac:dyDescent="0.25">
      <c r="V7518"/>
    </row>
    <row r="7519" spans="22:22" ht="15" x14ac:dyDescent="0.25">
      <c r="V7519"/>
    </row>
    <row r="7520" spans="22:22" ht="15" x14ac:dyDescent="0.25">
      <c r="V7520"/>
    </row>
    <row r="7521" spans="22:22" ht="15" x14ac:dyDescent="0.25">
      <c r="V7521"/>
    </row>
    <row r="7522" spans="22:22" ht="15" x14ac:dyDescent="0.25">
      <c r="V7522"/>
    </row>
    <row r="7523" spans="22:22" ht="15" x14ac:dyDescent="0.25">
      <c r="V7523"/>
    </row>
    <row r="7524" spans="22:22" ht="15" x14ac:dyDescent="0.25">
      <c r="V7524"/>
    </row>
    <row r="7525" spans="22:22" ht="15" x14ac:dyDescent="0.25">
      <c r="V7525"/>
    </row>
    <row r="7526" spans="22:22" ht="15" x14ac:dyDescent="0.25">
      <c r="V7526"/>
    </row>
    <row r="7527" spans="22:22" ht="15" x14ac:dyDescent="0.25">
      <c r="V7527"/>
    </row>
    <row r="7528" spans="22:22" ht="15" x14ac:dyDescent="0.25">
      <c r="V7528"/>
    </row>
    <row r="7529" spans="22:22" ht="15" x14ac:dyDescent="0.25">
      <c r="V7529"/>
    </row>
    <row r="7530" spans="22:22" ht="15" x14ac:dyDescent="0.25">
      <c r="V7530"/>
    </row>
    <row r="7531" spans="22:22" ht="15" x14ac:dyDescent="0.25">
      <c r="V7531"/>
    </row>
    <row r="7532" spans="22:22" ht="15" x14ac:dyDescent="0.25">
      <c r="V7532"/>
    </row>
    <row r="7533" spans="22:22" ht="15" x14ac:dyDescent="0.25">
      <c r="V7533"/>
    </row>
    <row r="7534" spans="22:22" ht="15" x14ac:dyDescent="0.25">
      <c r="V7534"/>
    </row>
    <row r="7535" spans="22:22" ht="15" x14ac:dyDescent="0.25">
      <c r="V7535"/>
    </row>
    <row r="7536" spans="22:22" ht="15" x14ac:dyDescent="0.25">
      <c r="V7536"/>
    </row>
    <row r="7537" spans="22:22" ht="15" x14ac:dyDescent="0.25">
      <c r="V7537"/>
    </row>
    <row r="7538" spans="22:22" ht="15" x14ac:dyDescent="0.25">
      <c r="V7538"/>
    </row>
    <row r="7539" spans="22:22" ht="15" x14ac:dyDescent="0.25">
      <c r="V7539"/>
    </row>
    <row r="7540" spans="22:22" ht="15" x14ac:dyDescent="0.25">
      <c r="V7540"/>
    </row>
    <row r="7541" spans="22:22" ht="15" x14ac:dyDescent="0.25">
      <c r="V7541"/>
    </row>
    <row r="7542" spans="22:22" ht="15" x14ac:dyDescent="0.25">
      <c r="V7542"/>
    </row>
    <row r="7543" spans="22:22" ht="15" x14ac:dyDescent="0.25">
      <c r="V7543"/>
    </row>
    <row r="7544" spans="22:22" ht="15" x14ac:dyDescent="0.25">
      <c r="V7544"/>
    </row>
    <row r="7545" spans="22:22" ht="15" x14ac:dyDescent="0.25">
      <c r="V7545"/>
    </row>
    <row r="7546" spans="22:22" ht="15" x14ac:dyDescent="0.25">
      <c r="V7546"/>
    </row>
    <row r="7547" spans="22:22" ht="15" x14ac:dyDescent="0.25">
      <c r="V7547"/>
    </row>
    <row r="7548" spans="22:22" ht="15" x14ac:dyDescent="0.25">
      <c r="V7548"/>
    </row>
    <row r="7549" spans="22:22" ht="15" x14ac:dyDescent="0.25">
      <c r="V7549"/>
    </row>
    <row r="7550" spans="22:22" ht="15" x14ac:dyDescent="0.25">
      <c r="V7550"/>
    </row>
    <row r="7551" spans="22:22" ht="15" x14ac:dyDescent="0.25">
      <c r="V7551"/>
    </row>
    <row r="7552" spans="22:22" ht="15" x14ac:dyDescent="0.25">
      <c r="V7552"/>
    </row>
    <row r="7553" spans="22:22" ht="15" x14ac:dyDescent="0.25">
      <c r="V7553"/>
    </row>
    <row r="7554" spans="22:22" ht="15" x14ac:dyDescent="0.25">
      <c r="V7554"/>
    </row>
    <row r="7555" spans="22:22" ht="15" x14ac:dyDescent="0.25">
      <c r="V7555"/>
    </row>
    <row r="7556" spans="22:22" ht="15" x14ac:dyDescent="0.25">
      <c r="V7556"/>
    </row>
    <row r="7557" spans="22:22" ht="15" x14ac:dyDescent="0.25">
      <c r="V7557"/>
    </row>
    <row r="7558" spans="22:22" ht="15" x14ac:dyDescent="0.25">
      <c r="V7558"/>
    </row>
    <row r="7559" spans="22:22" ht="15" x14ac:dyDescent="0.25">
      <c r="V7559"/>
    </row>
    <row r="7560" spans="22:22" ht="15" x14ac:dyDescent="0.25">
      <c r="V7560"/>
    </row>
    <row r="7561" spans="22:22" ht="15" x14ac:dyDescent="0.25">
      <c r="V7561"/>
    </row>
    <row r="7562" spans="22:22" ht="15" x14ac:dyDescent="0.25">
      <c r="V7562"/>
    </row>
    <row r="7563" spans="22:22" ht="15" x14ac:dyDescent="0.25">
      <c r="V7563"/>
    </row>
    <row r="7564" spans="22:22" ht="15" x14ac:dyDescent="0.25">
      <c r="V7564"/>
    </row>
    <row r="7565" spans="22:22" ht="15" x14ac:dyDescent="0.25">
      <c r="V7565"/>
    </row>
    <row r="7566" spans="22:22" ht="15" x14ac:dyDescent="0.25">
      <c r="V7566"/>
    </row>
    <row r="7567" spans="22:22" ht="15" x14ac:dyDescent="0.25">
      <c r="V7567"/>
    </row>
    <row r="7568" spans="22:22" ht="15" x14ac:dyDescent="0.25">
      <c r="V7568"/>
    </row>
    <row r="7569" spans="22:22" ht="15" x14ac:dyDescent="0.25">
      <c r="V7569"/>
    </row>
    <row r="7570" spans="22:22" ht="15" x14ac:dyDescent="0.25">
      <c r="V7570"/>
    </row>
    <row r="7571" spans="22:22" ht="15" x14ac:dyDescent="0.25">
      <c r="V7571"/>
    </row>
    <row r="7572" spans="22:22" ht="15" x14ac:dyDescent="0.25">
      <c r="V7572"/>
    </row>
    <row r="7573" spans="22:22" ht="15" x14ac:dyDescent="0.25">
      <c r="V7573"/>
    </row>
    <row r="7574" spans="22:22" ht="15" x14ac:dyDescent="0.25">
      <c r="V7574"/>
    </row>
    <row r="7575" spans="22:22" ht="15" x14ac:dyDescent="0.25">
      <c r="V7575"/>
    </row>
    <row r="7576" spans="22:22" ht="15" x14ac:dyDescent="0.25">
      <c r="V7576"/>
    </row>
    <row r="7577" spans="22:22" ht="15" x14ac:dyDescent="0.25">
      <c r="V7577"/>
    </row>
    <row r="7578" spans="22:22" ht="15" x14ac:dyDescent="0.25">
      <c r="V7578"/>
    </row>
    <row r="7579" spans="22:22" ht="15" x14ac:dyDescent="0.25">
      <c r="V7579"/>
    </row>
    <row r="7580" spans="22:22" ht="15" x14ac:dyDescent="0.25">
      <c r="V7580"/>
    </row>
    <row r="7581" spans="22:22" ht="15" x14ac:dyDescent="0.25">
      <c r="V7581"/>
    </row>
    <row r="7582" spans="22:22" ht="15" x14ac:dyDescent="0.25">
      <c r="V7582"/>
    </row>
    <row r="7583" spans="22:22" ht="15" x14ac:dyDescent="0.25">
      <c r="V7583"/>
    </row>
    <row r="7584" spans="22:22" ht="15" x14ac:dyDescent="0.25">
      <c r="V7584"/>
    </row>
    <row r="7585" spans="22:22" ht="15" x14ac:dyDescent="0.25">
      <c r="V7585"/>
    </row>
    <row r="7586" spans="22:22" ht="15" x14ac:dyDescent="0.25">
      <c r="V7586"/>
    </row>
    <row r="7587" spans="22:22" ht="15" x14ac:dyDescent="0.25">
      <c r="V7587"/>
    </row>
    <row r="7588" spans="22:22" ht="15" x14ac:dyDescent="0.25">
      <c r="V7588"/>
    </row>
    <row r="7589" spans="22:22" ht="15" x14ac:dyDescent="0.25">
      <c r="V7589"/>
    </row>
    <row r="7590" spans="22:22" ht="15" x14ac:dyDescent="0.25">
      <c r="V7590"/>
    </row>
    <row r="7591" spans="22:22" ht="15" x14ac:dyDescent="0.25">
      <c r="V7591"/>
    </row>
    <row r="7592" spans="22:22" ht="15" x14ac:dyDescent="0.25">
      <c r="V7592"/>
    </row>
    <row r="7593" spans="22:22" ht="15" x14ac:dyDescent="0.25">
      <c r="V7593"/>
    </row>
    <row r="7594" spans="22:22" ht="15" x14ac:dyDescent="0.25">
      <c r="V7594"/>
    </row>
    <row r="7595" spans="22:22" ht="15" x14ac:dyDescent="0.25">
      <c r="V7595"/>
    </row>
    <row r="7596" spans="22:22" ht="15" x14ac:dyDescent="0.25">
      <c r="V7596"/>
    </row>
    <row r="7597" spans="22:22" ht="15" x14ac:dyDescent="0.25">
      <c r="V7597"/>
    </row>
    <row r="7598" spans="22:22" ht="15" x14ac:dyDescent="0.25">
      <c r="V7598"/>
    </row>
    <row r="7599" spans="22:22" ht="15" x14ac:dyDescent="0.25">
      <c r="V7599"/>
    </row>
    <row r="7600" spans="22:22" ht="15" x14ac:dyDescent="0.25">
      <c r="V7600"/>
    </row>
    <row r="7601" spans="22:22" ht="15" x14ac:dyDescent="0.25">
      <c r="V7601"/>
    </row>
    <row r="7602" spans="22:22" ht="15" x14ac:dyDescent="0.25">
      <c r="V7602"/>
    </row>
    <row r="7603" spans="22:22" ht="15" x14ac:dyDescent="0.25">
      <c r="V7603"/>
    </row>
    <row r="7604" spans="22:22" ht="15" x14ac:dyDescent="0.25">
      <c r="V7604"/>
    </row>
    <row r="7605" spans="22:22" ht="15" x14ac:dyDescent="0.25">
      <c r="V7605"/>
    </row>
    <row r="7606" spans="22:22" ht="15" x14ac:dyDescent="0.25">
      <c r="V7606"/>
    </row>
    <row r="7607" spans="22:22" ht="15" x14ac:dyDescent="0.25">
      <c r="V7607"/>
    </row>
    <row r="7608" spans="22:22" ht="15" x14ac:dyDescent="0.25">
      <c r="V7608"/>
    </row>
    <row r="7609" spans="22:22" ht="15" x14ac:dyDescent="0.25">
      <c r="V7609"/>
    </row>
    <row r="7610" spans="22:22" ht="15" x14ac:dyDescent="0.25">
      <c r="V7610"/>
    </row>
    <row r="7611" spans="22:22" ht="15" x14ac:dyDescent="0.25">
      <c r="V7611"/>
    </row>
    <row r="7612" spans="22:22" ht="15" x14ac:dyDescent="0.25">
      <c r="V7612"/>
    </row>
    <row r="7613" spans="22:22" ht="15" x14ac:dyDescent="0.25">
      <c r="V7613"/>
    </row>
    <row r="7614" spans="22:22" ht="15" x14ac:dyDescent="0.25">
      <c r="V7614"/>
    </row>
    <row r="7615" spans="22:22" ht="15" x14ac:dyDescent="0.25">
      <c r="V7615"/>
    </row>
    <row r="7616" spans="22:22" ht="15" x14ac:dyDescent="0.25">
      <c r="V7616"/>
    </row>
    <row r="7617" spans="22:22" ht="15" x14ac:dyDescent="0.25">
      <c r="V7617"/>
    </row>
    <row r="7618" spans="22:22" ht="15" x14ac:dyDescent="0.25">
      <c r="V7618"/>
    </row>
    <row r="7619" spans="22:22" ht="15" x14ac:dyDescent="0.25">
      <c r="V7619"/>
    </row>
    <row r="7620" spans="22:22" ht="15" x14ac:dyDescent="0.25">
      <c r="V7620"/>
    </row>
    <row r="7621" spans="22:22" ht="15" x14ac:dyDescent="0.25">
      <c r="V7621"/>
    </row>
    <row r="7622" spans="22:22" ht="15" x14ac:dyDescent="0.25">
      <c r="V7622"/>
    </row>
    <row r="7623" spans="22:22" ht="15" x14ac:dyDescent="0.25">
      <c r="V7623"/>
    </row>
    <row r="7624" spans="22:22" ht="15" x14ac:dyDescent="0.25">
      <c r="V7624"/>
    </row>
    <row r="7625" spans="22:22" ht="15" x14ac:dyDescent="0.25">
      <c r="V7625"/>
    </row>
    <row r="7626" spans="22:22" ht="15" x14ac:dyDescent="0.25">
      <c r="V7626"/>
    </row>
    <row r="7627" spans="22:22" ht="15" x14ac:dyDescent="0.25">
      <c r="V7627"/>
    </row>
    <row r="7628" spans="22:22" ht="15" x14ac:dyDescent="0.25">
      <c r="V7628"/>
    </row>
    <row r="7629" spans="22:22" ht="15" x14ac:dyDescent="0.25">
      <c r="V7629"/>
    </row>
    <row r="7630" spans="22:22" ht="15" x14ac:dyDescent="0.25">
      <c r="V7630"/>
    </row>
    <row r="7631" spans="22:22" ht="15" x14ac:dyDescent="0.25">
      <c r="V7631"/>
    </row>
    <row r="7632" spans="22:22" ht="15" x14ac:dyDescent="0.25">
      <c r="V7632"/>
    </row>
    <row r="7633" spans="22:22" ht="15" x14ac:dyDescent="0.25">
      <c r="V7633"/>
    </row>
    <row r="7634" spans="22:22" ht="15" x14ac:dyDescent="0.25">
      <c r="V7634"/>
    </row>
    <row r="7635" spans="22:22" ht="15" x14ac:dyDescent="0.25">
      <c r="V7635"/>
    </row>
    <row r="7636" spans="22:22" ht="15" x14ac:dyDescent="0.25">
      <c r="V7636"/>
    </row>
    <row r="7637" spans="22:22" ht="15" x14ac:dyDescent="0.25">
      <c r="V7637"/>
    </row>
    <row r="7638" spans="22:22" ht="15" x14ac:dyDescent="0.25">
      <c r="V7638"/>
    </row>
    <row r="7639" spans="22:22" ht="15" x14ac:dyDescent="0.25">
      <c r="V7639"/>
    </row>
    <row r="7640" spans="22:22" ht="15" x14ac:dyDescent="0.25">
      <c r="V7640"/>
    </row>
    <row r="7641" spans="22:22" ht="15" x14ac:dyDescent="0.25">
      <c r="V7641"/>
    </row>
    <row r="7642" spans="22:22" ht="15" x14ac:dyDescent="0.25">
      <c r="V7642"/>
    </row>
    <row r="7643" spans="22:22" ht="15" x14ac:dyDescent="0.25">
      <c r="V7643"/>
    </row>
    <row r="7644" spans="22:22" ht="15" x14ac:dyDescent="0.25">
      <c r="V7644"/>
    </row>
    <row r="7645" spans="22:22" ht="15" x14ac:dyDescent="0.25">
      <c r="V7645"/>
    </row>
    <row r="7646" spans="22:22" ht="15" x14ac:dyDescent="0.25">
      <c r="V7646"/>
    </row>
    <row r="7647" spans="22:22" ht="15" x14ac:dyDescent="0.25">
      <c r="V7647"/>
    </row>
    <row r="7648" spans="22:22" ht="15" x14ac:dyDescent="0.25">
      <c r="V7648"/>
    </row>
    <row r="7649" spans="22:22" ht="15" x14ac:dyDescent="0.25">
      <c r="V7649"/>
    </row>
    <row r="7650" spans="22:22" ht="15" x14ac:dyDescent="0.25">
      <c r="V7650"/>
    </row>
    <row r="7651" spans="22:22" ht="15" x14ac:dyDescent="0.25">
      <c r="V7651"/>
    </row>
    <row r="7652" spans="22:22" ht="15" x14ac:dyDescent="0.25">
      <c r="V7652"/>
    </row>
    <row r="7653" spans="22:22" ht="15" x14ac:dyDescent="0.25">
      <c r="V7653"/>
    </row>
    <row r="7654" spans="22:22" ht="15" x14ac:dyDescent="0.25">
      <c r="V7654"/>
    </row>
    <row r="7655" spans="22:22" ht="15" x14ac:dyDescent="0.25">
      <c r="V7655"/>
    </row>
    <row r="7656" spans="22:22" ht="15" x14ac:dyDescent="0.25">
      <c r="V7656"/>
    </row>
    <row r="7657" spans="22:22" ht="15" x14ac:dyDescent="0.25">
      <c r="V7657"/>
    </row>
    <row r="7658" spans="22:22" ht="15" x14ac:dyDescent="0.25">
      <c r="V7658"/>
    </row>
    <row r="7659" spans="22:22" ht="15" x14ac:dyDescent="0.25">
      <c r="V7659"/>
    </row>
    <row r="7660" spans="22:22" ht="15" x14ac:dyDescent="0.25">
      <c r="V7660"/>
    </row>
    <row r="7661" spans="22:22" ht="15" x14ac:dyDescent="0.25">
      <c r="V7661"/>
    </row>
    <row r="7662" spans="22:22" ht="15" x14ac:dyDescent="0.25">
      <c r="V7662"/>
    </row>
    <row r="7663" spans="22:22" ht="15" x14ac:dyDescent="0.25">
      <c r="V7663"/>
    </row>
    <row r="7664" spans="22:22" ht="15" x14ac:dyDescent="0.25">
      <c r="V7664"/>
    </row>
    <row r="7665" spans="22:22" ht="15" x14ac:dyDescent="0.25">
      <c r="V7665"/>
    </row>
    <row r="7666" spans="22:22" ht="15" x14ac:dyDescent="0.25">
      <c r="V7666"/>
    </row>
    <row r="7667" spans="22:22" ht="15" x14ac:dyDescent="0.25">
      <c r="V7667"/>
    </row>
    <row r="7668" spans="22:22" ht="15" x14ac:dyDescent="0.25">
      <c r="V7668"/>
    </row>
    <row r="7669" spans="22:22" ht="15" x14ac:dyDescent="0.25">
      <c r="V7669"/>
    </row>
    <row r="7670" spans="22:22" ht="15" x14ac:dyDescent="0.25">
      <c r="V7670"/>
    </row>
    <row r="7671" spans="22:22" ht="15" x14ac:dyDescent="0.25">
      <c r="V7671"/>
    </row>
    <row r="7672" spans="22:22" ht="15" x14ac:dyDescent="0.25">
      <c r="V7672"/>
    </row>
    <row r="7673" spans="22:22" ht="15" x14ac:dyDescent="0.25">
      <c r="V7673"/>
    </row>
    <row r="7674" spans="22:22" ht="15" x14ac:dyDescent="0.25">
      <c r="V7674"/>
    </row>
    <row r="7675" spans="22:22" ht="15" x14ac:dyDescent="0.25">
      <c r="V7675"/>
    </row>
    <row r="7676" spans="22:22" ht="15" x14ac:dyDescent="0.25">
      <c r="V7676"/>
    </row>
    <row r="7677" spans="22:22" ht="15" x14ac:dyDescent="0.25">
      <c r="V7677"/>
    </row>
    <row r="7678" spans="22:22" ht="15" x14ac:dyDescent="0.25">
      <c r="V7678"/>
    </row>
    <row r="7679" spans="22:22" ht="15" x14ac:dyDescent="0.25">
      <c r="V7679"/>
    </row>
    <row r="7680" spans="22:22" ht="15" x14ac:dyDescent="0.25">
      <c r="V7680"/>
    </row>
    <row r="7681" spans="22:22" ht="15" x14ac:dyDescent="0.25">
      <c r="V7681"/>
    </row>
    <row r="7682" spans="22:22" ht="15" x14ac:dyDescent="0.25">
      <c r="V7682"/>
    </row>
    <row r="7683" spans="22:22" ht="15" x14ac:dyDescent="0.25">
      <c r="V7683"/>
    </row>
    <row r="7684" spans="22:22" ht="15" x14ac:dyDescent="0.25">
      <c r="V7684"/>
    </row>
    <row r="7685" spans="22:22" ht="15" x14ac:dyDescent="0.25">
      <c r="V7685"/>
    </row>
    <row r="7686" spans="22:22" ht="15" x14ac:dyDescent="0.25">
      <c r="V7686"/>
    </row>
    <row r="7687" spans="22:22" ht="15" x14ac:dyDescent="0.25">
      <c r="V7687"/>
    </row>
    <row r="7688" spans="22:22" ht="15" x14ac:dyDescent="0.25">
      <c r="V7688"/>
    </row>
    <row r="7689" spans="22:22" ht="15" x14ac:dyDescent="0.25">
      <c r="V7689"/>
    </row>
    <row r="7690" spans="22:22" ht="15" x14ac:dyDescent="0.25">
      <c r="V7690"/>
    </row>
    <row r="7691" spans="22:22" ht="15" x14ac:dyDescent="0.25">
      <c r="V7691"/>
    </row>
    <row r="7692" spans="22:22" ht="15" x14ac:dyDescent="0.25">
      <c r="V7692"/>
    </row>
    <row r="7693" spans="22:22" ht="15" x14ac:dyDescent="0.25">
      <c r="V7693"/>
    </row>
    <row r="7694" spans="22:22" ht="15" x14ac:dyDescent="0.25">
      <c r="V7694"/>
    </row>
    <row r="7695" spans="22:22" ht="15" x14ac:dyDescent="0.25">
      <c r="V7695"/>
    </row>
    <row r="7696" spans="22:22" ht="15" x14ac:dyDescent="0.25">
      <c r="V7696"/>
    </row>
    <row r="7697" spans="22:22" ht="15" x14ac:dyDescent="0.25">
      <c r="V7697"/>
    </row>
    <row r="7698" spans="22:22" ht="15" x14ac:dyDescent="0.25">
      <c r="V7698"/>
    </row>
    <row r="7699" spans="22:22" ht="15" x14ac:dyDescent="0.25">
      <c r="V7699"/>
    </row>
    <row r="7700" spans="22:22" ht="15" x14ac:dyDescent="0.25">
      <c r="V7700"/>
    </row>
    <row r="7701" spans="22:22" ht="15" x14ac:dyDescent="0.25">
      <c r="V7701"/>
    </row>
    <row r="7702" spans="22:22" ht="15" x14ac:dyDescent="0.25">
      <c r="V7702"/>
    </row>
    <row r="7703" spans="22:22" ht="15" x14ac:dyDescent="0.25">
      <c r="V7703"/>
    </row>
    <row r="7704" spans="22:22" ht="15" x14ac:dyDescent="0.25">
      <c r="V7704"/>
    </row>
    <row r="7705" spans="22:22" ht="15" x14ac:dyDescent="0.25">
      <c r="V7705"/>
    </row>
    <row r="7706" spans="22:22" ht="15" x14ac:dyDescent="0.25">
      <c r="V7706"/>
    </row>
    <row r="7707" spans="22:22" ht="15" x14ac:dyDescent="0.25">
      <c r="V7707"/>
    </row>
    <row r="7708" spans="22:22" ht="15" x14ac:dyDescent="0.25">
      <c r="V7708"/>
    </row>
    <row r="7709" spans="22:22" ht="15" x14ac:dyDescent="0.25">
      <c r="V7709"/>
    </row>
    <row r="7710" spans="22:22" ht="15" x14ac:dyDescent="0.25">
      <c r="V7710"/>
    </row>
    <row r="7711" spans="22:22" ht="15" x14ac:dyDescent="0.25">
      <c r="V7711"/>
    </row>
    <row r="7712" spans="22:22" ht="15" x14ac:dyDescent="0.25">
      <c r="V7712"/>
    </row>
    <row r="7713" spans="22:22" ht="15" x14ac:dyDescent="0.25">
      <c r="V7713"/>
    </row>
    <row r="7714" spans="22:22" ht="15" x14ac:dyDescent="0.25">
      <c r="V7714"/>
    </row>
    <row r="7715" spans="22:22" ht="15" x14ac:dyDescent="0.25">
      <c r="V7715"/>
    </row>
    <row r="7716" spans="22:22" ht="15" x14ac:dyDescent="0.25">
      <c r="V7716"/>
    </row>
    <row r="7717" spans="22:22" ht="15" x14ac:dyDescent="0.25">
      <c r="V7717"/>
    </row>
    <row r="7718" spans="22:22" ht="15" x14ac:dyDescent="0.25">
      <c r="V7718"/>
    </row>
    <row r="7719" spans="22:22" ht="15" x14ac:dyDescent="0.25">
      <c r="V7719"/>
    </row>
    <row r="7720" spans="22:22" ht="15" x14ac:dyDescent="0.25">
      <c r="V7720"/>
    </row>
    <row r="7721" spans="22:22" ht="15" x14ac:dyDescent="0.25">
      <c r="V7721"/>
    </row>
    <row r="7722" spans="22:22" ht="15" x14ac:dyDescent="0.25">
      <c r="V7722"/>
    </row>
    <row r="7723" spans="22:22" ht="15" x14ac:dyDescent="0.25">
      <c r="V7723"/>
    </row>
    <row r="7724" spans="22:22" ht="15" x14ac:dyDescent="0.25">
      <c r="V7724"/>
    </row>
    <row r="7725" spans="22:22" ht="15" x14ac:dyDescent="0.25">
      <c r="V7725"/>
    </row>
    <row r="7726" spans="22:22" ht="15" x14ac:dyDescent="0.25">
      <c r="V7726"/>
    </row>
    <row r="7727" spans="22:22" ht="15" x14ac:dyDescent="0.25">
      <c r="V7727"/>
    </row>
    <row r="7728" spans="22:22" ht="15" x14ac:dyDescent="0.25">
      <c r="V7728"/>
    </row>
    <row r="7729" spans="22:22" ht="15" x14ac:dyDescent="0.25">
      <c r="V7729"/>
    </row>
    <row r="7730" spans="22:22" ht="15" x14ac:dyDescent="0.25">
      <c r="V7730"/>
    </row>
    <row r="7731" spans="22:22" ht="15" x14ac:dyDescent="0.25">
      <c r="V7731"/>
    </row>
    <row r="7732" spans="22:22" ht="15" x14ac:dyDescent="0.25">
      <c r="V7732"/>
    </row>
    <row r="7733" spans="22:22" ht="15" x14ac:dyDescent="0.25">
      <c r="V7733"/>
    </row>
    <row r="7734" spans="22:22" ht="15" x14ac:dyDescent="0.25">
      <c r="V7734"/>
    </row>
    <row r="7735" spans="22:22" ht="15" x14ac:dyDescent="0.25">
      <c r="V7735"/>
    </row>
    <row r="7736" spans="22:22" ht="15" x14ac:dyDescent="0.25">
      <c r="V7736"/>
    </row>
    <row r="7737" spans="22:22" ht="15" x14ac:dyDescent="0.25">
      <c r="V7737"/>
    </row>
    <row r="7738" spans="22:22" ht="15" x14ac:dyDescent="0.25">
      <c r="V7738"/>
    </row>
    <row r="7739" spans="22:22" ht="15" x14ac:dyDescent="0.25">
      <c r="V7739"/>
    </row>
    <row r="7740" spans="22:22" ht="15" x14ac:dyDescent="0.25">
      <c r="V7740"/>
    </row>
    <row r="7741" spans="22:22" ht="15" x14ac:dyDescent="0.25">
      <c r="V7741"/>
    </row>
    <row r="7742" spans="22:22" ht="15" x14ac:dyDescent="0.25">
      <c r="V7742"/>
    </row>
    <row r="7743" spans="22:22" ht="15" x14ac:dyDescent="0.25">
      <c r="V7743"/>
    </row>
    <row r="7744" spans="22:22" ht="15" x14ac:dyDescent="0.25">
      <c r="V7744"/>
    </row>
    <row r="7745" spans="22:22" ht="15" x14ac:dyDescent="0.25">
      <c r="V7745"/>
    </row>
    <row r="7746" spans="22:22" ht="15" x14ac:dyDescent="0.25">
      <c r="V7746"/>
    </row>
    <row r="7747" spans="22:22" ht="15" x14ac:dyDescent="0.25">
      <c r="V7747"/>
    </row>
    <row r="7748" spans="22:22" ht="15" x14ac:dyDescent="0.25">
      <c r="V7748"/>
    </row>
    <row r="7749" spans="22:22" ht="15" x14ac:dyDescent="0.25">
      <c r="V7749"/>
    </row>
    <row r="7750" spans="22:22" ht="15" x14ac:dyDescent="0.25">
      <c r="V7750"/>
    </row>
    <row r="7751" spans="22:22" ht="15" x14ac:dyDescent="0.25">
      <c r="V7751"/>
    </row>
    <row r="7752" spans="22:22" ht="15" x14ac:dyDescent="0.25">
      <c r="V7752"/>
    </row>
    <row r="7753" spans="22:22" ht="15" x14ac:dyDescent="0.25">
      <c r="V7753"/>
    </row>
    <row r="7754" spans="22:22" ht="15" x14ac:dyDescent="0.25">
      <c r="V7754"/>
    </row>
    <row r="7755" spans="22:22" ht="15" x14ac:dyDescent="0.25">
      <c r="V7755"/>
    </row>
    <row r="7756" spans="22:22" ht="15" x14ac:dyDescent="0.25">
      <c r="V7756"/>
    </row>
    <row r="7757" spans="22:22" ht="15" x14ac:dyDescent="0.25">
      <c r="V7757"/>
    </row>
    <row r="7758" spans="22:22" ht="15" x14ac:dyDescent="0.25">
      <c r="V7758"/>
    </row>
    <row r="7759" spans="22:22" ht="15" x14ac:dyDescent="0.25">
      <c r="V7759"/>
    </row>
    <row r="7760" spans="22:22" ht="15" x14ac:dyDescent="0.25">
      <c r="V7760"/>
    </row>
    <row r="7761" spans="22:22" ht="15" x14ac:dyDescent="0.25">
      <c r="V7761"/>
    </row>
    <row r="7762" spans="22:22" ht="15" x14ac:dyDescent="0.25">
      <c r="V7762"/>
    </row>
    <row r="7763" spans="22:22" ht="15" x14ac:dyDescent="0.25">
      <c r="V7763"/>
    </row>
    <row r="7764" spans="22:22" ht="15" x14ac:dyDescent="0.25">
      <c r="V7764"/>
    </row>
    <row r="7765" spans="22:22" ht="15" x14ac:dyDescent="0.25">
      <c r="V7765"/>
    </row>
    <row r="7766" spans="22:22" ht="15" x14ac:dyDescent="0.25">
      <c r="V7766"/>
    </row>
    <row r="7767" spans="22:22" ht="15" x14ac:dyDescent="0.25">
      <c r="V7767"/>
    </row>
    <row r="7768" spans="22:22" ht="15" x14ac:dyDescent="0.25">
      <c r="V7768"/>
    </row>
    <row r="7769" spans="22:22" ht="15" x14ac:dyDescent="0.25">
      <c r="V7769"/>
    </row>
    <row r="7770" spans="22:22" ht="15" x14ac:dyDescent="0.25">
      <c r="V7770"/>
    </row>
    <row r="7771" spans="22:22" ht="15" x14ac:dyDescent="0.25">
      <c r="V7771"/>
    </row>
    <row r="7772" spans="22:22" ht="15" x14ac:dyDescent="0.25">
      <c r="V7772"/>
    </row>
    <row r="7773" spans="22:22" ht="15" x14ac:dyDescent="0.25">
      <c r="V7773"/>
    </row>
    <row r="7774" spans="22:22" ht="15" x14ac:dyDescent="0.25">
      <c r="V7774"/>
    </row>
    <row r="7775" spans="22:22" ht="15" x14ac:dyDescent="0.25">
      <c r="V7775"/>
    </row>
    <row r="7776" spans="22:22" ht="15" x14ac:dyDescent="0.25">
      <c r="V7776"/>
    </row>
    <row r="7777" spans="22:22" ht="15" x14ac:dyDescent="0.25">
      <c r="V7777"/>
    </row>
    <row r="7778" spans="22:22" ht="15" x14ac:dyDescent="0.25">
      <c r="V7778"/>
    </row>
    <row r="7779" spans="22:22" ht="15" x14ac:dyDescent="0.25">
      <c r="V7779"/>
    </row>
    <row r="7780" spans="22:22" ht="15" x14ac:dyDescent="0.25">
      <c r="V7780"/>
    </row>
    <row r="7781" spans="22:22" ht="15" x14ac:dyDescent="0.25">
      <c r="V7781"/>
    </row>
    <row r="7782" spans="22:22" ht="15" x14ac:dyDescent="0.25">
      <c r="V7782"/>
    </row>
    <row r="7783" spans="22:22" ht="15" x14ac:dyDescent="0.25">
      <c r="V7783"/>
    </row>
    <row r="7784" spans="22:22" ht="15" x14ac:dyDescent="0.25">
      <c r="V7784"/>
    </row>
    <row r="7785" spans="22:22" ht="15" x14ac:dyDescent="0.25">
      <c r="V7785"/>
    </row>
    <row r="7786" spans="22:22" ht="15" x14ac:dyDescent="0.25">
      <c r="V7786"/>
    </row>
    <row r="7787" spans="22:22" ht="15" x14ac:dyDescent="0.25">
      <c r="V7787"/>
    </row>
    <row r="7788" spans="22:22" ht="15" x14ac:dyDescent="0.25">
      <c r="V7788"/>
    </row>
    <row r="7789" spans="22:22" ht="15" x14ac:dyDescent="0.25">
      <c r="V7789"/>
    </row>
    <row r="7790" spans="22:22" ht="15" x14ac:dyDescent="0.25">
      <c r="V7790"/>
    </row>
    <row r="7791" spans="22:22" ht="15" x14ac:dyDescent="0.25">
      <c r="V7791"/>
    </row>
    <row r="7792" spans="22:22" ht="15" x14ac:dyDescent="0.25">
      <c r="V7792"/>
    </row>
    <row r="7793" spans="22:22" ht="15" x14ac:dyDescent="0.25">
      <c r="V7793"/>
    </row>
    <row r="7794" spans="22:22" ht="15" x14ac:dyDescent="0.25">
      <c r="V7794"/>
    </row>
    <row r="7795" spans="22:22" ht="15" x14ac:dyDescent="0.25">
      <c r="V7795"/>
    </row>
    <row r="7796" spans="22:22" ht="15" x14ac:dyDescent="0.25">
      <c r="V7796"/>
    </row>
    <row r="7797" spans="22:22" ht="15" x14ac:dyDescent="0.25">
      <c r="V7797"/>
    </row>
    <row r="7798" spans="22:22" ht="15" x14ac:dyDescent="0.25">
      <c r="V7798"/>
    </row>
    <row r="7799" spans="22:22" ht="15" x14ac:dyDescent="0.25">
      <c r="V7799"/>
    </row>
    <row r="7800" spans="22:22" ht="15" x14ac:dyDescent="0.25">
      <c r="V7800"/>
    </row>
    <row r="7801" spans="22:22" ht="15" x14ac:dyDescent="0.25">
      <c r="V7801"/>
    </row>
    <row r="7802" spans="22:22" ht="15" x14ac:dyDescent="0.25">
      <c r="V7802"/>
    </row>
    <row r="7803" spans="22:22" ht="15" x14ac:dyDescent="0.25">
      <c r="V7803"/>
    </row>
    <row r="7804" spans="22:22" ht="15" x14ac:dyDescent="0.25">
      <c r="V7804"/>
    </row>
    <row r="7805" spans="22:22" ht="15" x14ac:dyDescent="0.25">
      <c r="V7805"/>
    </row>
    <row r="7806" spans="22:22" ht="15" x14ac:dyDescent="0.25">
      <c r="V7806"/>
    </row>
    <row r="7807" spans="22:22" ht="15" x14ac:dyDescent="0.25">
      <c r="V7807"/>
    </row>
    <row r="7808" spans="22:22" ht="15" x14ac:dyDescent="0.25">
      <c r="V7808"/>
    </row>
    <row r="7809" spans="22:22" ht="15" x14ac:dyDescent="0.25">
      <c r="V7809"/>
    </row>
    <row r="7810" spans="22:22" ht="15" x14ac:dyDescent="0.25">
      <c r="V7810"/>
    </row>
    <row r="7811" spans="22:22" ht="15" x14ac:dyDescent="0.25">
      <c r="V7811"/>
    </row>
    <row r="7812" spans="22:22" ht="15" x14ac:dyDescent="0.25">
      <c r="V7812"/>
    </row>
    <row r="7813" spans="22:22" ht="15" x14ac:dyDescent="0.25">
      <c r="V7813"/>
    </row>
    <row r="7814" spans="22:22" ht="15" x14ac:dyDescent="0.25">
      <c r="V7814"/>
    </row>
    <row r="7815" spans="22:22" ht="15" x14ac:dyDescent="0.25">
      <c r="V7815"/>
    </row>
    <row r="7816" spans="22:22" ht="15" x14ac:dyDescent="0.25">
      <c r="V7816"/>
    </row>
    <row r="7817" spans="22:22" ht="15" x14ac:dyDescent="0.25">
      <c r="V7817"/>
    </row>
    <row r="7818" spans="22:22" ht="15" x14ac:dyDescent="0.25">
      <c r="V7818"/>
    </row>
    <row r="7819" spans="22:22" ht="15" x14ac:dyDescent="0.25">
      <c r="V7819"/>
    </row>
    <row r="7820" spans="22:22" ht="15" x14ac:dyDescent="0.25">
      <c r="V7820"/>
    </row>
    <row r="7821" spans="22:22" ht="15" x14ac:dyDescent="0.25">
      <c r="V7821"/>
    </row>
    <row r="7822" spans="22:22" ht="15" x14ac:dyDescent="0.25">
      <c r="V7822"/>
    </row>
    <row r="7823" spans="22:22" ht="15" x14ac:dyDescent="0.25">
      <c r="V7823"/>
    </row>
    <row r="7824" spans="22:22" ht="15" x14ac:dyDescent="0.25">
      <c r="V7824"/>
    </row>
    <row r="7825" spans="22:22" ht="15" x14ac:dyDescent="0.25">
      <c r="V7825"/>
    </row>
    <row r="7826" spans="22:22" ht="15" x14ac:dyDescent="0.25">
      <c r="V7826"/>
    </row>
    <row r="7827" spans="22:22" ht="15" x14ac:dyDescent="0.25">
      <c r="V7827"/>
    </row>
    <row r="7828" spans="22:22" ht="15" x14ac:dyDescent="0.25">
      <c r="V7828"/>
    </row>
    <row r="7829" spans="22:22" ht="15" x14ac:dyDescent="0.25">
      <c r="V7829"/>
    </row>
    <row r="7830" spans="22:22" ht="15" x14ac:dyDescent="0.25">
      <c r="V7830"/>
    </row>
    <row r="7831" spans="22:22" ht="15" x14ac:dyDescent="0.25">
      <c r="V7831"/>
    </row>
    <row r="7832" spans="22:22" ht="15" x14ac:dyDescent="0.25">
      <c r="V7832"/>
    </row>
    <row r="7833" spans="22:22" ht="15" x14ac:dyDescent="0.25">
      <c r="V7833"/>
    </row>
    <row r="7834" spans="22:22" ht="15" x14ac:dyDescent="0.25">
      <c r="V7834"/>
    </row>
    <row r="7835" spans="22:22" ht="15" x14ac:dyDescent="0.25">
      <c r="V7835"/>
    </row>
    <row r="7836" spans="22:22" ht="15" x14ac:dyDescent="0.25">
      <c r="V7836"/>
    </row>
    <row r="7837" spans="22:22" ht="15" x14ac:dyDescent="0.25">
      <c r="V7837"/>
    </row>
    <row r="7838" spans="22:22" ht="15" x14ac:dyDescent="0.25">
      <c r="V7838"/>
    </row>
    <row r="7839" spans="22:22" ht="15" x14ac:dyDescent="0.25">
      <c r="V7839"/>
    </row>
    <row r="7840" spans="22:22" ht="15" x14ac:dyDescent="0.25">
      <c r="V7840"/>
    </row>
    <row r="7841" spans="22:22" ht="15" x14ac:dyDescent="0.25">
      <c r="V7841"/>
    </row>
    <row r="7842" spans="22:22" ht="15" x14ac:dyDescent="0.25">
      <c r="V7842"/>
    </row>
    <row r="7843" spans="22:22" ht="15" x14ac:dyDescent="0.25">
      <c r="V7843"/>
    </row>
    <row r="7844" spans="22:22" ht="15" x14ac:dyDescent="0.25">
      <c r="V7844"/>
    </row>
    <row r="7845" spans="22:22" ht="15" x14ac:dyDescent="0.25">
      <c r="V7845"/>
    </row>
    <row r="7846" spans="22:22" ht="15" x14ac:dyDescent="0.25">
      <c r="V7846"/>
    </row>
    <row r="7847" spans="22:22" ht="15" x14ac:dyDescent="0.25">
      <c r="V7847"/>
    </row>
    <row r="7848" spans="22:22" ht="15" x14ac:dyDescent="0.25">
      <c r="V7848"/>
    </row>
    <row r="7849" spans="22:22" ht="15" x14ac:dyDescent="0.25">
      <c r="V7849"/>
    </row>
    <row r="7850" spans="22:22" ht="15" x14ac:dyDescent="0.25">
      <c r="V7850"/>
    </row>
    <row r="7851" spans="22:22" ht="15" x14ac:dyDescent="0.25">
      <c r="V7851"/>
    </row>
    <row r="7852" spans="22:22" ht="15" x14ac:dyDescent="0.25">
      <c r="V7852"/>
    </row>
    <row r="7853" spans="22:22" ht="15" x14ac:dyDescent="0.25">
      <c r="V7853"/>
    </row>
    <row r="7854" spans="22:22" ht="15" x14ac:dyDescent="0.25">
      <c r="V7854"/>
    </row>
    <row r="7855" spans="22:22" ht="15" x14ac:dyDescent="0.25">
      <c r="V7855"/>
    </row>
    <row r="7856" spans="22:22" ht="15" x14ac:dyDescent="0.25">
      <c r="V7856"/>
    </row>
    <row r="7857" spans="22:22" ht="15" x14ac:dyDescent="0.25">
      <c r="V7857"/>
    </row>
    <row r="7858" spans="22:22" ht="15" x14ac:dyDescent="0.25">
      <c r="V7858"/>
    </row>
    <row r="7859" spans="22:22" ht="15" x14ac:dyDescent="0.25">
      <c r="V7859"/>
    </row>
    <row r="7860" spans="22:22" ht="15" x14ac:dyDescent="0.25">
      <c r="V7860"/>
    </row>
    <row r="7861" spans="22:22" ht="15" x14ac:dyDescent="0.25">
      <c r="V7861"/>
    </row>
    <row r="7862" spans="22:22" ht="15" x14ac:dyDescent="0.25">
      <c r="V7862"/>
    </row>
    <row r="7863" spans="22:22" ht="15" x14ac:dyDescent="0.25">
      <c r="V7863"/>
    </row>
    <row r="7864" spans="22:22" ht="15" x14ac:dyDescent="0.25">
      <c r="V7864"/>
    </row>
    <row r="7865" spans="22:22" ht="15" x14ac:dyDescent="0.25">
      <c r="V7865"/>
    </row>
    <row r="7866" spans="22:22" ht="15" x14ac:dyDescent="0.25">
      <c r="V7866"/>
    </row>
    <row r="7867" spans="22:22" ht="15" x14ac:dyDescent="0.25">
      <c r="V7867"/>
    </row>
    <row r="7868" spans="22:22" ht="15" x14ac:dyDescent="0.25">
      <c r="V7868"/>
    </row>
    <row r="7869" spans="22:22" ht="15" x14ac:dyDescent="0.25">
      <c r="V7869"/>
    </row>
    <row r="7870" spans="22:22" ht="15" x14ac:dyDescent="0.25">
      <c r="V7870"/>
    </row>
    <row r="7871" spans="22:22" ht="15" x14ac:dyDescent="0.25">
      <c r="V7871"/>
    </row>
    <row r="7872" spans="22:22" ht="15" x14ac:dyDescent="0.25">
      <c r="V7872"/>
    </row>
    <row r="7873" spans="22:22" ht="15" x14ac:dyDescent="0.25">
      <c r="V7873"/>
    </row>
    <row r="7874" spans="22:22" ht="15" x14ac:dyDescent="0.25">
      <c r="V7874"/>
    </row>
    <row r="7875" spans="22:22" ht="15" x14ac:dyDescent="0.25">
      <c r="V7875"/>
    </row>
    <row r="7876" spans="22:22" ht="15" x14ac:dyDescent="0.25">
      <c r="V7876"/>
    </row>
    <row r="7877" spans="22:22" ht="15" x14ac:dyDescent="0.25">
      <c r="V7877"/>
    </row>
    <row r="7878" spans="22:22" ht="15" x14ac:dyDescent="0.25">
      <c r="V7878"/>
    </row>
    <row r="7879" spans="22:22" ht="15" x14ac:dyDescent="0.25">
      <c r="V7879"/>
    </row>
    <row r="7880" spans="22:22" ht="15" x14ac:dyDescent="0.25">
      <c r="V7880"/>
    </row>
    <row r="7881" spans="22:22" ht="15" x14ac:dyDescent="0.25">
      <c r="V7881"/>
    </row>
    <row r="7882" spans="22:22" ht="15" x14ac:dyDescent="0.25">
      <c r="V7882"/>
    </row>
    <row r="7883" spans="22:22" ht="15" x14ac:dyDescent="0.25">
      <c r="V7883"/>
    </row>
    <row r="7884" spans="22:22" ht="15" x14ac:dyDescent="0.25">
      <c r="V7884"/>
    </row>
    <row r="7885" spans="22:22" ht="15" x14ac:dyDescent="0.25">
      <c r="V7885"/>
    </row>
    <row r="7886" spans="22:22" ht="15" x14ac:dyDescent="0.25">
      <c r="V7886"/>
    </row>
    <row r="7887" spans="22:22" ht="15" x14ac:dyDescent="0.25">
      <c r="V7887"/>
    </row>
    <row r="7888" spans="22:22" ht="15" x14ac:dyDescent="0.25">
      <c r="V7888"/>
    </row>
    <row r="7889" spans="22:22" ht="15" x14ac:dyDescent="0.25">
      <c r="V7889"/>
    </row>
    <row r="7890" spans="22:22" ht="15" x14ac:dyDescent="0.25">
      <c r="V7890"/>
    </row>
    <row r="7891" spans="22:22" ht="15" x14ac:dyDescent="0.25">
      <c r="V7891"/>
    </row>
    <row r="7892" spans="22:22" ht="15" x14ac:dyDescent="0.25">
      <c r="V7892"/>
    </row>
    <row r="7893" spans="22:22" ht="15" x14ac:dyDescent="0.25">
      <c r="V7893"/>
    </row>
    <row r="7894" spans="22:22" ht="15" x14ac:dyDescent="0.25">
      <c r="V7894"/>
    </row>
    <row r="7895" spans="22:22" ht="15" x14ac:dyDescent="0.25">
      <c r="V7895"/>
    </row>
    <row r="7896" spans="22:22" ht="15" x14ac:dyDescent="0.25">
      <c r="V7896"/>
    </row>
    <row r="7897" spans="22:22" ht="15" x14ac:dyDescent="0.25">
      <c r="V7897"/>
    </row>
    <row r="7898" spans="22:22" ht="15" x14ac:dyDescent="0.25">
      <c r="V7898"/>
    </row>
    <row r="7899" spans="22:22" ht="15" x14ac:dyDescent="0.25">
      <c r="V7899"/>
    </row>
    <row r="7900" spans="22:22" ht="15" x14ac:dyDescent="0.25">
      <c r="V7900"/>
    </row>
    <row r="7901" spans="22:22" ht="15" x14ac:dyDescent="0.25">
      <c r="V7901"/>
    </row>
    <row r="7902" spans="22:22" ht="15" x14ac:dyDescent="0.25">
      <c r="V7902"/>
    </row>
    <row r="7903" spans="22:22" ht="15" x14ac:dyDescent="0.25">
      <c r="V7903"/>
    </row>
    <row r="7904" spans="22:22" ht="15" x14ac:dyDescent="0.25">
      <c r="V7904"/>
    </row>
    <row r="7905" spans="22:22" ht="15" x14ac:dyDescent="0.25">
      <c r="V7905"/>
    </row>
    <row r="7906" spans="22:22" ht="15" x14ac:dyDescent="0.25">
      <c r="V7906"/>
    </row>
    <row r="7907" spans="22:22" ht="15" x14ac:dyDescent="0.25">
      <c r="V7907"/>
    </row>
    <row r="7908" spans="22:22" ht="15" x14ac:dyDescent="0.25">
      <c r="V7908"/>
    </row>
    <row r="7909" spans="22:22" ht="15" x14ac:dyDescent="0.25">
      <c r="V7909"/>
    </row>
    <row r="7910" spans="22:22" ht="15" x14ac:dyDescent="0.25">
      <c r="V7910"/>
    </row>
    <row r="7911" spans="22:22" ht="15" x14ac:dyDescent="0.25">
      <c r="V7911"/>
    </row>
    <row r="7912" spans="22:22" ht="15" x14ac:dyDescent="0.25">
      <c r="V7912"/>
    </row>
    <row r="7913" spans="22:22" ht="15" x14ac:dyDescent="0.25">
      <c r="V7913"/>
    </row>
    <row r="7914" spans="22:22" ht="15" x14ac:dyDescent="0.25">
      <c r="V7914"/>
    </row>
    <row r="7915" spans="22:22" ht="15" x14ac:dyDescent="0.25">
      <c r="V7915"/>
    </row>
    <row r="7916" spans="22:22" ht="15" x14ac:dyDescent="0.25">
      <c r="V7916"/>
    </row>
    <row r="7917" spans="22:22" ht="15" x14ac:dyDescent="0.25">
      <c r="V7917"/>
    </row>
    <row r="7918" spans="22:22" ht="15" x14ac:dyDescent="0.25">
      <c r="V7918"/>
    </row>
    <row r="7919" spans="22:22" ht="15" x14ac:dyDescent="0.25">
      <c r="V7919"/>
    </row>
    <row r="7920" spans="22:22" ht="15" x14ac:dyDescent="0.25">
      <c r="V7920"/>
    </row>
    <row r="7921" spans="22:22" ht="15" x14ac:dyDescent="0.25">
      <c r="V7921"/>
    </row>
    <row r="7922" spans="22:22" ht="15" x14ac:dyDescent="0.25">
      <c r="V7922"/>
    </row>
    <row r="7923" spans="22:22" ht="15" x14ac:dyDescent="0.25">
      <c r="V7923"/>
    </row>
    <row r="7924" spans="22:22" ht="15" x14ac:dyDescent="0.25">
      <c r="V7924"/>
    </row>
    <row r="7925" spans="22:22" ht="15" x14ac:dyDescent="0.25">
      <c r="V7925"/>
    </row>
    <row r="7926" spans="22:22" ht="15" x14ac:dyDescent="0.25">
      <c r="V7926"/>
    </row>
    <row r="7927" spans="22:22" ht="15" x14ac:dyDescent="0.25">
      <c r="V7927"/>
    </row>
    <row r="7928" spans="22:22" ht="15" x14ac:dyDescent="0.25">
      <c r="V7928"/>
    </row>
    <row r="7929" spans="22:22" ht="15" x14ac:dyDescent="0.25">
      <c r="V7929"/>
    </row>
    <row r="7930" spans="22:22" ht="15" x14ac:dyDescent="0.25">
      <c r="V7930"/>
    </row>
    <row r="7931" spans="22:22" ht="15" x14ac:dyDescent="0.25">
      <c r="V7931"/>
    </row>
    <row r="7932" spans="22:22" ht="15" x14ac:dyDescent="0.25">
      <c r="V7932"/>
    </row>
    <row r="7933" spans="22:22" ht="15" x14ac:dyDescent="0.25">
      <c r="V7933"/>
    </row>
    <row r="7934" spans="22:22" ht="15" x14ac:dyDescent="0.25">
      <c r="V7934"/>
    </row>
    <row r="7935" spans="22:22" ht="15" x14ac:dyDescent="0.25">
      <c r="V7935"/>
    </row>
    <row r="7936" spans="22:22" ht="15" x14ac:dyDescent="0.25">
      <c r="V7936"/>
    </row>
    <row r="7937" spans="22:22" ht="15" x14ac:dyDescent="0.25">
      <c r="V7937"/>
    </row>
    <row r="7938" spans="22:22" ht="15" x14ac:dyDescent="0.25">
      <c r="V7938"/>
    </row>
    <row r="7939" spans="22:22" ht="15" x14ac:dyDescent="0.25">
      <c r="V7939"/>
    </row>
    <row r="7940" spans="22:22" ht="15" x14ac:dyDescent="0.25">
      <c r="V7940"/>
    </row>
    <row r="7941" spans="22:22" ht="15" x14ac:dyDescent="0.25">
      <c r="V7941"/>
    </row>
    <row r="7942" spans="22:22" ht="15" x14ac:dyDescent="0.25">
      <c r="V7942"/>
    </row>
    <row r="7943" spans="22:22" ht="15" x14ac:dyDescent="0.25">
      <c r="V7943"/>
    </row>
    <row r="7944" spans="22:22" ht="15" x14ac:dyDescent="0.25">
      <c r="V7944"/>
    </row>
    <row r="7945" spans="22:22" ht="15" x14ac:dyDescent="0.25">
      <c r="V7945"/>
    </row>
    <row r="7946" spans="22:22" ht="15" x14ac:dyDescent="0.25">
      <c r="V7946"/>
    </row>
    <row r="7947" spans="22:22" ht="15" x14ac:dyDescent="0.25">
      <c r="V7947"/>
    </row>
    <row r="7948" spans="22:22" ht="15" x14ac:dyDescent="0.25">
      <c r="V7948"/>
    </row>
    <row r="7949" spans="22:22" ht="15" x14ac:dyDescent="0.25">
      <c r="V7949"/>
    </row>
    <row r="7950" spans="22:22" ht="15" x14ac:dyDescent="0.25">
      <c r="V7950"/>
    </row>
    <row r="7951" spans="22:22" ht="15" x14ac:dyDescent="0.25">
      <c r="V7951"/>
    </row>
    <row r="7952" spans="22:22" ht="15" x14ac:dyDescent="0.25">
      <c r="V7952"/>
    </row>
    <row r="7953" spans="22:22" ht="15" x14ac:dyDescent="0.25">
      <c r="V7953"/>
    </row>
    <row r="7954" spans="22:22" ht="15" x14ac:dyDescent="0.25">
      <c r="V7954"/>
    </row>
    <row r="7955" spans="22:22" ht="15" x14ac:dyDescent="0.25">
      <c r="V7955"/>
    </row>
    <row r="7956" spans="22:22" ht="15" x14ac:dyDescent="0.25">
      <c r="V7956"/>
    </row>
    <row r="7957" spans="22:22" ht="15" x14ac:dyDescent="0.25">
      <c r="V7957"/>
    </row>
    <row r="7958" spans="22:22" ht="15" x14ac:dyDescent="0.25">
      <c r="V7958"/>
    </row>
    <row r="7959" spans="22:22" ht="15" x14ac:dyDescent="0.25">
      <c r="V7959"/>
    </row>
    <row r="7960" spans="22:22" ht="15" x14ac:dyDescent="0.25">
      <c r="V7960"/>
    </row>
    <row r="7961" spans="22:22" ht="15" x14ac:dyDescent="0.25">
      <c r="V7961"/>
    </row>
    <row r="7962" spans="22:22" ht="15" x14ac:dyDescent="0.25">
      <c r="V7962"/>
    </row>
    <row r="7963" spans="22:22" ht="15" x14ac:dyDescent="0.25">
      <c r="V7963"/>
    </row>
    <row r="7964" spans="22:22" ht="15" x14ac:dyDescent="0.25">
      <c r="V7964"/>
    </row>
    <row r="7965" spans="22:22" ht="15" x14ac:dyDescent="0.25">
      <c r="V7965"/>
    </row>
    <row r="7966" spans="22:22" ht="15" x14ac:dyDescent="0.25">
      <c r="V7966"/>
    </row>
    <row r="7967" spans="22:22" ht="15" x14ac:dyDescent="0.25">
      <c r="V7967"/>
    </row>
    <row r="7968" spans="22:22" ht="15" x14ac:dyDescent="0.25">
      <c r="V7968"/>
    </row>
    <row r="7969" spans="22:22" ht="15" x14ac:dyDescent="0.25">
      <c r="V7969"/>
    </row>
    <row r="7970" spans="22:22" ht="15" x14ac:dyDescent="0.25">
      <c r="V7970"/>
    </row>
    <row r="7971" spans="22:22" ht="15" x14ac:dyDescent="0.25">
      <c r="V7971"/>
    </row>
    <row r="7972" spans="22:22" ht="15" x14ac:dyDescent="0.25">
      <c r="V7972"/>
    </row>
    <row r="7973" spans="22:22" ht="15" x14ac:dyDescent="0.25">
      <c r="V7973"/>
    </row>
    <row r="7974" spans="22:22" ht="15" x14ac:dyDescent="0.25">
      <c r="V7974"/>
    </row>
    <row r="7975" spans="22:22" ht="15" x14ac:dyDescent="0.25">
      <c r="V7975"/>
    </row>
    <row r="7976" spans="22:22" ht="15" x14ac:dyDescent="0.25">
      <c r="V7976"/>
    </row>
    <row r="7977" spans="22:22" ht="15" x14ac:dyDescent="0.25">
      <c r="V7977"/>
    </row>
    <row r="7978" spans="22:22" ht="15" x14ac:dyDescent="0.25">
      <c r="V7978"/>
    </row>
    <row r="7979" spans="22:22" ht="15" x14ac:dyDescent="0.25">
      <c r="V7979"/>
    </row>
    <row r="7980" spans="22:22" ht="15" x14ac:dyDescent="0.25">
      <c r="V7980"/>
    </row>
    <row r="7981" spans="22:22" ht="15" x14ac:dyDescent="0.25">
      <c r="V7981"/>
    </row>
    <row r="7982" spans="22:22" ht="15" x14ac:dyDescent="0.25">
      <c r="V7982"/>
    </row>
    <row r="7983" spans="22:22" ht="15" x14ac:dyDescent="0.25">
      <c r="V7983"/>
    </row>
    <row r="7984" spans="22:22" ht="15" x14ac:dyDescent="0.25">
      <c r="V7984"/>
    </row>
    <row r="7985" spans="22:22" ht="15" x14ac:dyDescent="0.25">
      <c r="V7985"/>
    </row>
    <row r="7986" spans="22:22" ht="15" x14ac:dyDescent="0.25">
      <c r="V7986"/>
    </row>
    <row r="7987" spans="22:22" ht="15" x14ac:dyDescent="0.25">
      <c r="V7987"/>
    </row>
    <row r="7988" spans="22:22" ht="15" x14ac:dyDescent="0.25">
      <c r="V7988"/>
    </row>
    <row r="7989" spans="22:22" ht="15" x14ac:dyDescent="0.25">
      <c r="V7989"/>
    </row>
    <row r="7990" spans="22:22" ht="15" x14ac:dyDescent="0.25">
      <c r="V7990"/>
    </row>
    <row r="7991" spans="22:22" ht="15" x14ac:dyDescent="0.25">
      <c r="V7991"/>
    </row>
    <row r="7992" spans="22:22" ht="15" x14ac:dyDescent="0.25">
      <c r="V7992"/>
    </row>
    <row r="7993" spans="22:22" ht="15" x14ac:dyDescent="0.25">
      <c r="V7993"/>
    </row>
    <row r="7994" spans="22:22" ht="15" x14ac:dyDescent="0.25">
      <c r="V7994"/>
    </row>
    <row r="7995" spans="22:22" ht="15" x14ac:dyDescent="0.25">
      <c r="V7995"/>
    </row>
    <row r="7996" spans="22:22" ht="15" x14ac:dyDescent="0.25">
      <c r="V7996"/>
    </row>
    <row r="7997" spans="22:22" ht="15" x14ac:dyDescent="0.25">
      <c r="V7997"/>
    </row>
    <row r="7998" spans="22:22" ht="15" x14ac:dyDescent="0.25">
      <c r="V7998"/>
    </row>
    <row r="7999" spans="22:22" ht="15" x14ac:dyDescent="0.25">
      <c r="V7999"/>
    </row>
    <row r="8000" spans="22:22" ht="15" x14ac:dyDescent="0.25">
      <c r="V8000"/>
    </row>
    <row r="8001" spans="22:22" ht="15" x14ac:dyDescent="0.25">
      <c r="V8001"/>
    </row>
    <row r="8002" spans="22:22" ht="15" x14ac:dyDescent="0.25">
      <c r="V8002"/>
    </row>
    <row r="8003" spans="22:22" ht="15" x14ac:dyDescent="0.25">
      <c r="V8003"/>
    </row>
    <row r="8004" spans="22:22" ht="15" x14ac:dyDescent="0.25">
      <c r="V8004"/>
    </row>
    <row r="8005" spans="22:22" ht="15" x14ac:dyDescent="0.25">
      <c r="V8005"/>
    </row>
    <row r="8006" spans="22:22" ht="15" x14ac:dyDescent="0.25">
      <c r="V8006"/>
    </row>
    <row r="8007" spans="22:22" ht="15" x14ac:dyDescent="0.25">
      <c r="V8007"/>
    </row>
    <row r="8008" spans="22:22" ht="15" x14ac:dyDescent="0.25">
      <c r="V8008"/>
    </row>
    <row r="8009" spans="22:22" ht="15" x14ac:dyDescent="0.25">
      <c r="V8009"/>
    </row>
    <row r="8010" spans="22:22" ht="15" x14ac:dyDescent="0.25">
      <c r="V8010"/>
    </row>
    <row r="8011" spans="22:22" ht="15" x14ac:dyDescent="0.25">
      <c r="V8011"/>
    </row>
    <row r="8012" spans="22:22" ht="15" x14ac:dyDescent="0.25">
      <c r="V8012"/>
    </row>
    <row r="8013" spans="22:22" ht="15" x14ac:dyDescent="0.25">
      <c r="V8013"/>
    </row>
    <row r="8014" spans="22:22" ht="15" x14ac:dyDescent="0.25">
      <c r="V8014"/>
    </row>
    <row r="8015" spans="22:22" ht="15" x14ac:dyDescent="0.25">
      <c r="V8015"/>
    </row>
    <row r="8016" spans="22:22" ht="15" x14ac:dyDescent="0.25">
      <c r="V8016"/>
    </row>
    <row r="8017" spans="22:22" ht="15" x14ac:dyDescent="0.25">
      <c r="V8017"/>
    </row>
    <row r="8018" spans="22:22" ht="15" x14ac:dyDescent="0.25">
      <c r="V8018"/>
    </row>
    <row r="8019" spans="22:22" ht="15" x14ac:dyDescent="0.25">
      <c r="V8019"/>
    </row>
    <row r="8020" spans="22:22" ht="15" x14ac:dyDescent="0.25">
      <c r="V8020"/>
    </row>
    <row r="8021" spans="22:22" ht="15" x14ac:dyDescent="0.25">
      <c r="V8021"/>
    </row>
    <row r="8022" spans="22:22" ht="15" x14ac:dyDescent="0.25">
      <c r="V8022"/>
    </row>
    <row r="8023" spans="22:22" ht="15" x14ac:dyDescent="0.25">
      <c r="V8023"/>
    </row>
    <row r="8024" spans="22:22" ht="15" x14ac:dyDescent="0.25">
      <c r="V8024"/>
    </row>
    <row r="8025" spans="22:22" ht="15" x14ac:dyDescent="0.25">
      <c r="V8025"/>
    </row>
    <row r="8026" spans="22:22" ht="15" x14ac:dyDescent="0.25">
      <c r="V8026"/>
    </row>
    <row r="8027" spans="22:22" ht="15" x14ac:dyDescent="0.25">
      <c r="V8027"/>
    </row>
    <row r="8028" spans="22:22" ht="15" x14ac:dyDescent="0.25">
      <c r="V8028"/>
    </row>
    <row r="8029" spans="22:22" ht="15" x14ac:dyDescent="0.25">
      <c r="V8029"/>
    </row>
    <row r="8030" spans="22:22" ht="15" x14ac:dyDescent="0.25">
      <c r="V8030"/>
    </row>
    <row r="8031" spans="22:22" ht="15" x14ac:dyDescent="0.25">
      <c r="V8031"/>
    </row>
    <row r="8032" spans="22:22" ht="15" x14ac:dyDescent="0.25">
      <c r="V8032"/>
    </row>
    <row r="8033" spans="22:22" ht="15" x14ac:dyDescent="0.25">
      <c r="V8033"/>
    </row>
    <row r="8034" spans="22:22" ht="15" x14ac:dyDescent="0.25">
      <c r="V8034"/>
    </row>
    <row r="8035" spans="22:22" ht="15" x14ac:dyDescent="0.25">
      <c r="V8035"/>
    </row>
    <row r="8036" spans="22:22" ht="15" x14ac:dyDescent="0.25">
      <c r="V8036"/>
    </row>
    <row r="8037" spans="22:22" ht="15" x14ac:dyDescent="0.25">
      <c r="V8037"/>
    </row>
    <row r="8038" spans="22:22" ht="15" x14ac:dyDescent="0.25">
      <c r="V8038"/>
    </row>
    <row r="8039" spans="22:22" ht="15" x14ac:dyDescent="0.25">
      <c r="V8039"/>
    </row>
    <row r="8040" spans="22:22" ht="15" x14ac:dyDescent="0.25">
      <c r="V8040"/>
    </row>
    <row r="8041" spans="22:22" ht="15" x14ac:dyDescent="0.25">
      <c r="V8041"/>
    </row>
    <row r="8042" spans="22:22" ht="15" x14ac:dyDescent="0.25">
      <c r="V8042"/>
    </row>
    <row r="8043" spans="22:22" ht="15" x14ac:dyDescent="0.25">
      <c r="V8043"/>
    </row>
    <row r="8044" spans="22:22" ht="15" x14ac:dyDescent="0.25">
      <c r="V8044"/>
    </row>
    <row r="8045" spans="22:22" ht="15" x14ac:dyDescent="0.25">
      <c r="V8045"/>
    </row>
    <row r="8046" spans="22:22" ht="15" x14ac:dyDescent="0.25">
      <c r="V8046"/>
    </row>
    <row r="8047" spans="22:22" ht="15" x14ac:dyDescent="0.25">
      <c r="V8047"/>
    </row>
    <row r="8048" spans="22:22" ht="15" x14ac:dyDescent="0.25">
      <c r="V8048"/>
    </row>
    <row r="8049" spans="22:22" ht="15" x14ac:dyDescent="0.25">
      <c r="V8049"/>
    </row>
    <row r="8050" spans="22:22" ht="15" x14ac:dyDescent="0.25">
      <c r="V8050"/>
    </row>
    <row r="8051" spans="22:22" ht="15" x14ac:dyDescent="0.25">
      <c r="V8051"/>
    </row>
    <row r="8052" spans="22:22" ht="15" x14ac:dyDescent="0.25">
      <c r="V8052"/>
    </row>
    <row r="8053" spans="22:22" ht="15" x14ac:dyDescent="0.25">
      <c r="V8053"/>
    </row>
    <row r="8054" spans="22:22" ht="15" x14ac:dyDescent="0.25">
      <c r="V8054"/>
    </row>
    <row r="8055" spans="22:22" ht="15" x14ac:dyDescent="0.25">
      <c r="V8055"/>
    </row>
    <row r="8056" spans="22:22" ht="15" x14ac:dyDescent="0.25">
      <c r="V8056"/>
    </row>
    <row r="8057" spans="22:22" ht="15" x14ac:dyDescent="0.25">
      <c r="V8057"/>
    </row>
    <row r="8058" spans="22:22" ht="15" x14ac:dyDescent="0.25">
      <c r="V8058"/>
    </row>
    <row r="8059" spans="22:22" ht="15" x14ac:dyDescent="0.25">
      <c r="V8059"/>
    </row>
    <row r="8060" spans="22:22" ht="15" x14ac:dyDescent="0.25">
      <c r="V8060"/>
    </row>
    <row r="8061" spans="22:22" ht="15" x14ac:dyDescent="0.25">
      <c r="V8061"/>
    </row>
    <row r="8062" spans="22:22" ht="15" x14ac:dyDescent="0.25">
      <c r="V8062"/>
    </row>
    <row r="8063" spans="22:22" ht="15" x14ac:dyDescent="0.25">
      <c r="V8063"/>
    </row>
    <row r="8064" spans="22:22" ht="15" x14ac:dyDescent="0.25">
      <c r="V8064"/>
    </row>
    <row r="8065" spans="22:22" ht="15" x14ac:dyDescent="0.25">
      <c r="V8065"/>
    </row>
    <row r="8066" spans="22:22" ht="15" x14ac:dyDescent="0.25">
      <c r="V8066"/>
    </row>
    <row r="8067" spans="22:22" ht="15" x14ac:dyDescent="0.25">
      <c r="V8067"/>
    </row>
    <row r="8068" spans="22:22" ht="15" x14ac:dyDescent="0.25">
      <c r="V8068"/>
    </row>
    <row r="8069" spans="22:22" ht="15" x14ac:dyDescent="0.25">
      <c r="V8069"/>
    </row>
    <row r="8070" spans="22:22" ht="15" x14ac:dyDescent="0.25">
      <c r="V8070"/>
    </row>
    <row r="8071" spans="22:22" ht="15" x14ac:dyDescent="0.25">
      <c r="V8071"/>
    </row>
    <row r="8072" spans="22:22" ht="15" x14ac:dyDescent="0.25">
      <c r="V8072"/>
    </row>
    <row r="8073" spans="22:22" ht="15" x14ac:dyDescent="0.25">
      <c r="V8073"/>
    </row>
    <row r="8074" spans="22:22" ht="15" x14ac:dyDescent="0.25">
      <c r="V8074"/>
    </row>
    <row r="8075" spans="22:22" ht="15" x14ac:dyDescent="0.25">
      <c r="V8075"/>
    </row>
    <row r="8076" spans="22:22" ht="15" x14ac:dyDescent="0.25">
      <c r="V8076"/>
    </row>
    <row r="8077" spans="22:22" ht="15" x14ac:dyDescent="0.25">
      <c r="V8077"/>
    </row>
    <row r="8078" spans="22:22" ht="15" x14ac:dyDescent="0.25">
      <c r="V8078"/>
    </row>
    <row r="8079" spans="22:22" ht="15" x14ac:dyDescent="0.25">
      <c r="V8079"/>
    </row>
    <row r="8080" spans="22:22" ht="15" x14ac:dyDescent="0.25">
      <c r="V8080"/>
    </row>
    <row r="8081" spans="22:22" ht="15" x14ac:dyDescent="0.25">
      <c r="V8081"/>
    </row>
    <row r="8082" spans="22:22" ht="15" x14ac:dyDescent="0.25">
      <c r="V8082"/>
    </row>
    <row r="8083" spans="22:22" ht="15" x14ac:dyDescent="0.25">
      <c r="V8083"/>
    </row>
    <row r="8084" spans="22:22" ht="15" x14ac:dyDescent="0.25">
      <c r="V8084"/>
    </row>
    <row r="8085" spans="22:22" ht="15" x14ac:dyDescent="0.25">
      <c r="V8085"/>
    </row>
    <row r="8086" spans="22:22" ht="15" x14ac:dyDescent="0.25">
      <c r="V8086"/>
    </row>
    <row r="8087" spans="22:22" ht="15" x14ac:dyDescent="0.25">
      <c r="V8087"/>
    </row>
    <row r="8088" spans="22:22" ht="15" x14ac:dyDescent="0.25">
      <c r="V8088"/>
    </row>
    <row r="8089" spans="22:22" ht="15" x14ac:dyDescent="0.25">
      <c r="V8089"/>
    </row>
    <row r="8090" spans="22:22" ht="15" x14ac:dyDescent="0.25">
      <c r="V8090"/>
    </row>
    <row r="8091" spans="22:22" ht="15" x14ac:dyDescent="0.25">
      <c r="V8091"/>
    </row>
    <row r="8092" spans="22:22" ht="15" x14ac:dyDescent="0.25">
      <c r="V8092"/>
    </row>
    <row r="8093" spans="22:22" ht="15" x14ac:dyDescent="0.25">
      <c r="V8093"/>
    </row>
    <row r="8094" spans="22:22" ht="15" x14ac:dyDescent="0.25">
      <c r="V8094"/>
    </row>
    <row r="8095" spans="22:22" ht="15" x14ac:dyDescent="0.25">
      <c r="V8095"/>
    </row>
    <row r="8096" spans="22:22" ht="15" x14ac:dyDescent="0.25">
      <c r="V8096"/>
    </row>
    <row r="8097" spans="22:22" ht="15" x14ac:dyDescent="0.25">
      <c r="V8097"/>
    </row>
    <row r="8098" spans="22:22" ht="15" x14ac:dyDescent="0.25">
      <c r="V8098"/>
    </row>
    <row r="8099" spans="22:22" ht="15" x14ac:dyDescent="0.25">
      <c r="V8099"/>
    </row>
    <row r="8100" spans="22:22" ht="15" x14ac:dyDescent="0.25">
      <c r="V8100"/>
    </row>
    <row r="8101" spans="22:22" ht="15" x14ac:dyDescent="0.25">
      <c r="V8101"/>
    </row>
    <row r="8102" spans="22:22" ht="15" x14ac:dyDescent="0.25">
      <c r="V8102"/>
    </row>
    <row r="8103" spans="22:22" ht="15" x14ac:dyDescent="0.25">
      <c r="V8103"/>
    </row>
    <row r="8104" spans="22:22" ht="15" x14ac:dyDescent="0.25">
      <c r="V8104"/>
    </row>
    <row r="8105" spans="22:22" ht="15" x14ac:dyDescent="0.25">
      <c r="V8105"/>
    </row>
    <row r="8106" spans="22:22" ht="15" x14ac:dyDescent="0.25">
      <c r="V8106"/>
    </row>
    <row r="8107" spans="22:22" ht="15" x14ac:dyDescent="0.25">
      <c r="V8107"/>
    </row>
    <row r="8108" spans="22:22" ht="15" x14ac:dyDescent="0.25">
      <c r="V8108"/>
    </row>
    <row r="8109" spans="22:22" ht="15" x14ac:dyDescent="0.25">
      <c r="V8109"/>
    </row>
    <row r="8110" spans="22:22" ht="15" x14ac:dyDescent="0.25">
      <c r="V8110"/>
    </row>
    <row r="8111" spans="22:22" ht="15" x14ac:dyDescent="0.25">
      <c r="V8111"/>
    </row>
    <row r="8112" spans="22:22" ht="15" x14ac:dyDescent="0.25">
      <c r="V8112"/>
    </row>
    <row r="8113" spans="22:22" ht="15" x14ac:dyDescent="0.25">
      <c r="V8113"/>
    </row>
    <row r="8114" spans="22:22" ht="15" x14ac:dyDescent="0.25">
      <c r="V8114"/>
    </row>
    <row r="8115" spans="22:22" ht="15" x14ac:dyDescent="0.25">
      <c r="V8115"/>
    </row>
    <row r="8116" spans="22:22" ht="15" x14ac:dyDescent="0.25">
      <c r="V8116"/>
    </row>
    <row r="8117" spans="22:22" ht="15" x14ac:dyDescent="0.25">
      <c r="V8117"/>
    </row>
    <row r="8118" spans="22:22" ht="15" x14ac:dyDescent="0.25">
      <c r="V8118"/>
    </row>
    <row r="8119" spans="22:22" ht="15" x14ac:dyDescent="0.25">
      <c r="V8119"/>
    </row>
    <row r="8120" spans="22:22" ht="15" x14ac:dyDescent="0.25">
      <c r="V8120"/>
    </row>
    <row r="8121" spans="22:22" ht="15" x14ac:dyDescent="0.25">
      <c r="V8121"/>
    </row>
    <row r="8122" spans="22:22" ht="15" x14ac:dyDescent="0.25">
      <c r="V8122"/>
    </row>
    <row r="8123" spans="22:22" ht="15" x14ac:dyDescent="0.25">
      <c r="V8123"/>
    </row>
    <row r="8124" spans="22:22" ht="15" x14ac:dyDescent="0.25">
      <c r="V8124"/>
    </row>
    <row r="8125" spans="22:22" ht="15" x14ac:dyDescent="0.25">
      <c r="V8125"/>
    </row>
    <row r="8126" spans="22:22" ht="15" x14ac:dyDescent="0.25">
      <c r="V8126"/>
    </row>
    <row r="8127" spans="22:22" ht="15" x14ac:dyDescent="0.25">
      <c r="V8127"/>
    </row>
    <row r="8128" spans="22:22" ht="15" x14ac:dyDescent="0.25">
      <c r="V8128"/>
    </row>
    <row r="8129" spans="22:22" ht="15" x14ac:dyDescent="0.25">
      <c r="V8129"/>
    </row>
    <row r="8130" spans="22:22" ht="15" x14ac:dyDescent="0.25">
      <c r="V8130"/>
    </row>
    <row r="8131" spans="22:22" ht="15" x14ac:dyDescent="0.25">
      <c r="V8131"/>
    </row>
    <row r="8132" spans="22:22" ht="15" x14ac:dyDescent="0.25">
      <c r="V8132"/>
    </row>
    <row r="8133" spans="22:22" ht="15" x14ac:dyDescent="0.25">
      <c r="V8133"/>
    </row>
    <row r="8134" spans="22:22" ht="15" x14ac:dyDescent="0.25">
      <c r="V8134"/>
    </row>
    <row r="8135" spans="22:22" ht="15" x14ac:dyDescent="0.25">
      <c r="V8135"/>
    </row>
    <row r="8136" spans="22:22" ht="15" x14ac:dyDescent="0.25">
      <c r="V8136"/>
    </row>
    <row r="8137" spans="22:22" ht="15" x14ac:dyDescent="0.25">
      <c r="V8137"/>
    </row>
    <row r="8138" spans="22:22" ht="15" x14ac:dyDescent="0.25">
      <c r="V8138"/>
    </row>
    <row r="8139" spans="22:22" ht="15" x14ac:dyDescent="0.25">
      <c r="V8139"/>
    </row>
    <row r="8140" spans="22:22" ht="15" x14ac:dyDescent="0.25">
      <c r="V8140"/>
    </row>
    <row r="8141" spans="22:22" ht="15" x14ac:dyDescent="0.25">
      <c r="V8141"/>
    </row>
    <row r="8142" spans="22:22" ht="15" x14ac:dyDescent="0.25">
      <c r="V8142"/>
    </row>
    <row r="8143" spans="22:22" ht="15" x14ac:dyDescent="0.25">
      <c r="V8143"/>
    </row>
    <row r="8144" spans="22:22" ht="15" x14ac:dyDescent="0.25">
      <c r="V8144"/>
    </row>
    <row r="8145" spans="22:22" ht="15" x14ac:dyDescent="0.25">
      <c r="V8145"/>
    </row>
    <row r="8146" spans="22:22" ht="15" x14ac:dyDescent="0.25">
      <c r="V8146"/>
    </row>
    <row r="8147" spans="22:22" ht="15" x14ac:dyDescent="0.25">
      <c r="V8147"/>
    </row>
    <row r="8148" spans="22:22" ht="15" x14ac:dyDescent="0.25">
      <c r="V8148"/>
    </row>
    <row r="8149" spans="22:22" ht="15" x14ac:dyDescent="0.25">
      <c r="V8149"/>
    </row>
    <row r="8150" spans="22:22" ht="15" x14ac:dyDescent="0.25">
      <c r="V8150"/>
    </row>
    <row r="8151" spans="22:22" ht="15" x14ac:dyDescent="0.25">
      <c r="V8151"/>
    </row>
    <row r="8152" spans="22:22" ht="15" x14ac:dyDescent="0.25">
      <c r="V8152"/>
    </row>
    <row r="8153" spans="22:22" ht="15" x14ac:dyDescent="0.25">
      <c r="V8153"/>
    </row>
    <row r="8154" spans="22:22" ht="15" x14ac:dyDescent="0.25">
      <c r="V8154"/>
    </row>
    <row r="8155" spans="22:22" ht="15" x14ac:dyDescent="0.25">
      <c r="V8155"/>
    </row>
    <row r="8156" spans="22:22" ht="15" x14ac:dyDescent="0.25">
      <c r="V8156"/>
    </row>
    <row r="8157" spans="22:22" ht="15" x14ac:dyDescent="0.25">
      <c r="V8157"/>
    </row>
    <row r="8158" spans="22:22" ht="15" x14ac:dyDescent="0.25">
      <c r="V8158"/>
    </row>
    <row r="8159" spans="22:22" ht="15" x14ac:dyDescent="0.25">
      <c r="V8159"/>
    </row>
    <row r="8160" spans="22:22" ht="15" x14ac:dyDescent="0.25">
      <c r="V8160"/>
    </row>
    <row r="8161" spans="22:22" ht="15" x14ac:dyDescent="0.25">
      <c r="V8161"/>
    </row>
    <row r="8162" spans="22:22" ht="15" x14ac:dyDescent="0.25">
      <c r="V8162"/>
    </row>
    <row r="8163" spans="22:22" ht="15" x14ac:dyDescent="0.25">
      <c r="V8163"/>
    </row>
    <row r="8164" spans="22:22" ht="15" x14ac:dyDescent="0.25">
      <c r="V8164"/>
    </row>
    <row r="8165" spans="22:22" ht="15" x14ac:dyDescent="0.25">
      <c r="V8165"/>
    </row>
    <row r="8166" spans="22:22" ht="15" x14ac:dyDescent="0.25">
      <c r="V8166"/>
    </row>
    <row r="8167" spans="22:22" ht="15" x14ac:dyDescent="0.25">
      <c r="V8167"/>
    </row>
    <row r="8168" spans="22:22" ht="15" x14ac:dyDescent="0.25">
      <c r="V8168"/>
    </row>
    <row r="8169" spans="22:22" ht="15" x14ac:dyDescent="0.25">
      <c r="V8169"/>
    </row>
    <row r="8170" spans="22:22" ht="15" x14ac:dyDescent="0.25">
      <c r="V8170"/>
    </row>
    <row r="8171" spans="22:22" ht="15" x14ac:dyDescent="0.25">
      <c r="V8171"/>
    </row>
    <row r="8172" spans="22:22" ht="15" x14ac:dyDescent="0.25">
      <c r="V8172"/>
    </row>
    <row r="8173" spans="22:22" ht="15" x14ac:dyDescent="0.25">
      <c r="V8173"/>
    </row>
    <row r="8174" spans="22:22" ht="15" x14ac:dyDescent="0.25">
      <c r="V8174"/>
    </row>
    <row r="8175" spans="22:22" ht="15" x14ac:dyDescent="0.25">
      <c r="V8175"/>
    </row>
    <row r="8176" spans="22:22" ht="15" x14ac:dyDescent="0.25">
      <c r="V8176"/>
    </row>
    <row r="8177" spans="22:22" ht="15" x14ac:dyDescent="0.25">
      <c r="V8177"/>
    </row>
    <row r="8178" spans="22:22" ht="15" x14ac:dyDescent="0.25">
      <c r="V8178"/>
    </row>
    <row r="8179" spans="22:22" ht="15" x14ac:dyDescent="0.25">
      <c r="V8179"/>
    </row>
    <row r="8180" spans="22:22" ht="15" x14ac:dyDescent="0.25">
      <c r="V8180"/>
    </row>
    <row r="8181" spans="22:22" ht="15" x14ac:dyDescent="0.25">
      <c r="V8181"/>
    </row>
    <row r="8182" spans="22:22" ht="15" x14ac:dyDescent="0.25">
      <c r="V8182"/>
    </row>
    <row r="8183" spans="22:22" ht="15" x14ac:dyDescent="0.25">
      <c r="V8183"/>
    </row>
    <row r="8184" spans="22:22" ht="15" x14ac:dyDescent="0.25">
      <c r="V8184"/>
    </row>
    <row r="8185" spans="22:22" ht="15" x14ac:dyDescent="0.25">
      <c r="V8185"/>
    </row>
    <row r="8186" spans="22:22" ht="15" x14ac:dyDescent="0.25">
      <c r="V8186"/>
    </row>
    <row r="8187" spans="22:22" ht="15" x14ac:dyDescent="0.25">
      <c r="V8187"/>
    </row>
    <row r="8188" spans="22:22" ht="15" x14ac:dyDescent="0.25">
      <c r="V8188"/>
    </row>
    <row r="8189" spans="22:22" ht="15" x14ac:dyDescent="0.25">
      <c r="V8189"/>
    </row>
    <row r="8190" spans="22:22" ht="15" x14ac:dyDescent="0.25">
      <c r="V8190"/>
    </row>
    <row r="8191" spans="22:22" ht="15" x14ac:dyDescent="0.25">
      <c r="V8191"/>
    </row>
    <row r="8192" spans="22:22" ht="15" x14ac:dyDescent="0.25">
      <c r="V8192"/>
    </row>
    <row r="8193" spans="22:22" ht="15" x14ac:dyDescent="0.25">
      <c r="V8193"/>
    </row>
    <row r="8194" spans="22:22" ht="15" x14ac:dyDescent="0.25">
      <c r="V8194"/>
    </row>
    <row r="8195" spans="22:22" ht="15" x14ac:dyDescent="0.25">
      <c r="V8195"/>
    </row>
    <row r="8196" spans="22:22" ht="15" x14ac:dyDescent="0.25">
      <c r="V8196"/>
    </row>
    <row r="8197" spans="22:22" ht="15" x14ac:dyDescent="0.25">
      <c r="V8197"/>
    </row>
    <row r="8198" spans="22:22" ht="15" x14ac:dyDescent="0.25">
      <c r="V8198"/>
    </row>
    <row r="8199" spans="22:22" ht="15" x14ac:dyDescent="0.25">
      <c r="V8199"/>
    </row>
    <row r="8200" spans="22:22" ht="15" x14ac:dyDescent="0.25">
      <c r="V8200"/>
    </row>
    <row r="8201" spans="22:22" ht="15" x14ac:dyDescent="0.25">
      <c r="V8201"/>
    </row>
    <row r="8202" spans="22:22" ht="15" x14ac:dyDescent="0.25">
      <c r="V8202"/>
    </row>
    <row r="8203" spans="22:22" ht="15" x14ac:dyDescent="0.25">
      <c r="V8203"/>
    </row>
    <row r="8204" spans="22:22" ht="15" x14ac:dyDescent="0.25">
      <c r="V8204"/>
    </row>
    <row r="8205" spans="22:22" ht="15" x14ac:dyDescent="0.25">
      <c r="V8205"/>
    </row>
    <row r="8206" spans="22:22" ht="15" x14ac:dyDescent="0.25">
      <c r="V8206"/>
    </row>
    <row r="8207" spans="22:22" ht="15" x14ac:dyDescent="0.25">
      <c r="V8207"/>
    </row>
    <row r="8208" spans="22:22" ht="15" x14ac:dyDescent="0.25">
      <c r="V8208"/>
    </row>
    <row r="8209" spans="22:22" ht="15" x14ac:dyDescent="0.25">
      <c r="V8209"/>
    </row>
    <row r="8210" spans="22:22" ht="15" x14ac:dyDescent="0.25">
      <c r="V8210"/>
    </row>
    <row r="8211" spans="22:22" ht="15" x14ac:dyDescent="0.25">
      <c r="V8211"/>
    </row>
    <row r="8212" spans="22:22" ht="15" x14ac:dyDescent="0.25">
      <c r="V8212"/>
    </row>
    <row r="8213" spans="22:22" ht="15" x14ac:dyDescent="0.25">
      <c r="V8213"/>
    </row>
    <row r="8214" spans="22:22" ht="15" x14ac:dyDescent="0.25">
      <c r="V8214"/>
    </row>
    <row r="8215" spans="22:22" ht="15" x14ac:dyDescent="0.25">
      <c r="V8215"/>
    </row>
    <row r="8216" spans="22:22" ht="15" x14ac:dyDescent="0.25">
      <c r="V8216"/>
    </row>
    <row r="8217" spans="22:22" ht="15" x14ac:dyDescent="0.25">
      <c r="V8217"/>
    </row>
    <row r="8218" spans="22:22" ht="15" x14ac:dyDescent="0.25">
      <c r="V8218"/>
    </row>
    <row r="8219" spans="22:22" ht="15" x14ac:dyDescent="0.25">
      <c r="V8219"/>
    </row>
    <row r="8220" spans="22:22" ht="15" x14ac:dyDescent="0.25">
      <c r="V8220"/>
    </row>
    <row r="8221" spans="22:22" ht="15" x14ac:dyDescent="0.25">
      <c r="V8221"/>
    </row>
    <row r="8222" spans="22:22" ht="15" x14ac:dyDescent="0.25">
      <c r="V8222"/>
    </row>
    <row r="8223" spans="22:22" ht="15" x14ac:dyDescent="0.25">
      <c r="V8223"/>
    </row>
    <row r="8224" spans="22:22" ht="15" x14ac:dyDescent="0.25">
      <c r="V8224"/>
    </row>
    <row r="8225" spans="22:22" ht="15" x14ac:dyDescent="0.25">
      <c r="V8225"/>
    </row>
    <row r="8226" spans="22:22" ht="15" x14ac:dyDescent="0.25">
      <c r="V8226"/>
    </row>
    <row r="8227" spans="22:22" ht="15" x14ac:dyDescent="0.25">
      <c r="V8227"/>
    </row>
    <row r="8228" spans="22:22" ht="15" x14ac:dyDescent="0.25">
      <c r="V8228"/>
    </row>
    <row r="8229" spans="22:22" ht="15" x14ac:dyDescent="0.25">
      <c r="V8229"/>
    </row>
    <row r="8230" spans="22:22" ht="15" x14ac:dyDescent="0.25">
      <c r="V8230"/>
    </row>
    <row r="8231" spans="22:22" ht="15" x14ac:dyDescent="0.25">
      <c r="V8231"/>
    </row>
    <row r="8232" spans="22:22" ht="15" x14ac:dyDescent="0.25">
      <c r="V8232"/>
    </row>
    <row r="8233" spans="22:22" ht="15" x14ac:dyDescent="0.25">
      <c r="V8233"/>
    </row>
    <row r="8234" spans="22:22" ht="15" x14ac:dyDescent="0.25">
      <c r="V8234"/>
    </row>
    <row r="8235" spans="22:22" ht="15" x14ac:dyDescent="0.25">
      <c r="V8235"/>
    </row>
    <row r="8236" spans="22:22" ht="15" x14ac:dyDescent="0.25">
      <c r="V8236"/>
    </row>
    <row r="8237" spans="22:22" ht="15" x14ac:dyDescent="0.25">
      <c r="V8237"/>
    </row>
    <row r="8238" spans="22:22" ht="15" x14ac:dyDescent="0.25">
      <c r="V8238"/>
    </row>
    <row r="8239" spans="22:22" ht="15" x14ac:dyDescent="0.25">
      <c r="V8239"/>
    </row>
    <row r="8240" spans="22:22" ht="15" x14ac:dyDescent="0.25">
      <c r="V8240"/>
    </row>
    <row r="8241" spans="22:22" ht="15" x14ac:dyDescent="0.25">
      <c r="V8241"/>
    </row>
    <row r="8242" spans="22:22" ht="15" x14ac:dyDescent="0.25">
      <c r="V8242"/>
    </row>
    <row r="8243" spans="22:22" ht="15" x14ac:dyDescent="0.25">
      <c r="V8243"/>
    </row>
    <row r="8244" spans="22:22" ht="15" x14ac:dyDescent="0.25">
      <c r="V8244"/>
    </row>
    <row r="8245" spans="22:22" ht="15" x14ac:dyDescent="0.25">
      <c r="V8245"/>
    </row>
  </sheetData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44</vt:i4>
      </vt:variant>
    </vt:vector>
  </HeadingPairs>
  <TitlesOfParts>
    <vt:vector size="56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ASIGNACION</vt:lpstr>
      <vt:lpstr>SALA DE MAQUINAS</vt:lpstr>
      <vt:lpstr>SEGUIMIENTOS</vt:lpstr>
      <vt:lpstr>BD</vt:lpstr>
      <vt:lpstr>ACEPTADO</vt:lpstr>
      <vt:lpstr>ALIADO</vt:lpstr>
      <vt:lpstr>AST_BOGOTA</vt:lpstr>
      <vt:lpstr>AST_PEREIRA</vt:lpstr>
      <vt:lpstr>ASIGNACION!BASE_DE_GESTION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CREER_EN_EL_CLIENTE</vt:lpstr>
      <vt:lpstr>EQUIPOS</vt:lpstr>
      <vt:lpstr>ERROR_OT</vt:lpstr>
      <vt:lpstr>FACTURACION</vt:lpstr>
      <vt:lpstr>FACTURACION_PQR</vt:lpstr>
      <vt:lpstr>FRAUDE</vt:lpstr>
      <vt:lpstr>LINKS</vt:lpstr>
      <vt:lpstr>BD!MOTIVOS</vt:lpstr>
      <vt:lpstr>'SALA DE MAQUINAS'!MOTIVOS</vt:lpstr>
      <vt:lpstr>SEGUIMIENTOS!MOTIVOS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RESPUESTA</vt:lpstr>
      <vt:lpstr>REVISTAS</vt:lpstr>
      <vt:lpstr>SSEE</vt:lpstr>
      <vt:lpstr>TIPOLOGIAS</vt:lpstr>
      <vt:lpstr>TOMAS_ADICIONALES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2023-01-13T20:53:22Z</dcterms:modified>
</cp:coreProperties>
</file>